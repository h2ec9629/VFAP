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樹脂指示書\"/>
    </mc:Choice>
  </mc:AlternateContent>
  <xr:revisionPtr revIDLastSave="0" documentId="13_ncr:1_{8241CF14-541B-49FC-9E2B-BC20872DCA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帳票レイアウト Copy" sheetId="1" r:id="rId1"/>
  </sheets>
  <externalReferences>
    <externalReference r:id="rId2"/>
    <externalReference r:id="rId3"/>
  </externalReferences>
  <definedNames>
    <definedName name="DB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6" i="1" l="1" a="1"/>
  <c r="J46" i="1" s="1"/>
  <c r="C45" i="1" a="1"/>
  <c r="C45" i="1" s="1"/>
  <c r="B45" i="1" a="1"/>
  <c r="B45" i="1" s="1"/>
  <c r="A45" i="1" a="1"/>
  <c r="A45" i="1" s="1"/>
  <c r="D43" i="1"/>
  <c r="B43" i="1"/>
  <c r="A43" i="1"/>
  <c r="D42" i="1"/>
  <c r="D41" i="1"/>
  <c r="B41" i="1"/>
  <c r="A41" i="1"/>
  <c r="F40" i="1" a="1"/>
  <c r="F40" i="1" s="1"/>
  <c r="J39" i="1" a="1"/>
  <c r="J39" i="1" s="1"/>
  <c r="G39" i="1" a="1"/>
  <c r="G39" i="1" s="1"/>
  <c r="F39" i="1" a="1"/>
  <c r="F39" i="1" s="1"/>
  <c r="E39" i="1" a="1"/>
  <c r="E39" i="1" s="1"/>
  <c r="C39" i="1"/>
  <c r="B39" i="1"/>
  <c r="A39" i="1"/>
  <c r="J103" i="1" a="1"/>
  <c r="J103" i="1" s="1"/>
  <c r="C102" i="1" a="1"/>
  <c r="C102" i="1" s="1"/>
  <c r="B102" i="1" a="1"/>
  <c r="B102" i="1" s="1"/>
  <c r="A102" i="1" a="1"/>
  <c r="A102" i="1" s="1"/>
  <c r="D100" i="1"/>
  <c r="B100" i="1"/>
  <c r="A100" i="1"/>
  <c r="D99" i="1"/>
  <c r="D98" i="1"/>
  <c r="B98" i="1"/>
  <c r="A98" i="1"/>
  <c r="F97" i="1" a="1"/>
  <c r="F97" i="1" s="1"/>
  <c r="J96" i="1" a="1"/>
  <c r="J96" i="1" s="1"/>
  <c r="G96" i="1" a="1"/>
  <c r="G96" i="1" s="1"/>
  <c r="F96" i="1" a="1"/>
  <c r="F96" i="1" s="1"/>
  <c r="E96" i="1" a="1"/>
  <c r="E96" i="1" s="1"/>
  <c r="C96" i="1"/>
  <c r="B96" i="1"/>
  <c r="A96" i="1"/>
  <c r="B44" i="1" l="1" a="1"/>
  <c r="B44" i="1" s="1"/>
  <c r="F44" i="1" a="1"/>
  <c r="F44" i="1" s="1"/>
  <c r="B101" i="1" a="1"/>
  <c r="B101" i="1" s="1"/>
  <c r="F101" i="1" a="1"/>
  <c r="F10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<sst xmlns="http://schemas.openxmlformats.org/spreadsheetml/2006/main" count="206" uniqueCount="122">
  <si>
    <t>検査梱包指示書</t>
  </si>
  <si>
    <t>品目番号</t>
  </si>
  <si>
    <t>J1JAZZB10808880</t>
  </si>
  <si>
    <t>Ｌ寸</t>
  </si>
  <si>
    <t>名称</t>
  </si>
  <si>
    <t>8FL2813045010</t>
  </si>
  <si>
    <t>上長</t>
  </si>
  <si>
    <t>係員</t>
  </si>
  <si>
    <t>製造指図№</t>
  </si>
  <si>
    <t>000000000011488</t>
  </si>
  <si>
    <t>原料名</t>
  </si>
  <si>
    <t>(CASE 888MILK-W4)</t>
  </si>
  <si>
    <t>発注明細№</t>
  </si>
  <si>
    <t>000000000826214</t>
  </si>
  <si>
    <t>色　名</t>
  </si>
  <si>
    <t>J6VZ034</t>
  </si>
  <si>
    <t>製品Grp</t>
  </si>
  <si>
    <t>J1ZB</t>
  </si>
  <si>
    <t>開始日</t>
  </si>
  <si>
    <t>入り数</t>
  </si>
  <si>
    <t>終了日</t>
  </si>
  <si>
    <t>梱包数</t>
  </si>
  <si>
    <t>指示数量</t>
  </si>
  <si>
    <t>金　型</t>
  </si>
  <si>
    <t>4350</t>
  </si>
  <si>
    <t>*J1JAZZB10808880*</t>
  </si>
  <si>
    <t>格納先</t>
  </si>
  <si>
    <t>V3J04</t>
  </si>
  <si>
    <t>樹脂第4倉庫 (在庫)</t>
  </si>
  <si>
    <t>指図書備考</t>
  </si>
  <si>
    <t>工順</t>
  </si>
  <si>
    <t>製造場所</t>
  </si>
  <si>
    <t>製造場所名</t>
  </si>
  <si>
    <t>工程</t>
  </si>
  <si>
    <t>工程名</t>
  </si>
  <si>
    <t>作業時間</t>
  </si>
  <si>
    <t>V3Z01</t>
  </si>
  <si>
    <t>黒部工業</t>
  </si>
  <si>
    <t>V3P05</t>
  </si>
  <si>
    <t>切断</t>
  </si>
  <si>
    <t>V3P16</t>
  </si>
  <si>
    <t>検査・梱包</t>
  </si>
  <si>
    <t>品目コード</t>
  </si>
  <si>
    <t>品目名１</t>
  </si>
  <si>
    <t>在庫場所</t>
  </si>
  <si>
    <t>出庫数量</t>
  </si>
  <si>
    <t>バッチ必要数</t>
  </si>
  <si>
    <t>品目名２</t>
  </si>
  <si>
    <t>J1JAZZA10818200</t>
  </si>
  <si>
    <t>@8FL28130 L1820</t>
  </si>
  <si>
    <t>*J1JAZZA10818200*</t>
  </si>
  <si>
    <t>J6DW0089</t>
  </si>
  <si>
    <t>LED-A888　898X275X166</t>
  </si>
  <si>
    <t>*J6DW0089*</t>
  </si>
  <si>
    <t>L888×W275×H166</t>
  </si>
  <si>
    <t>J6XX0044</t>
  </si>
  <si>
    <t>(管理外)筋入ｸﾗﾌﾄ紙</t>
  </si>
  <si>
    <t>*J6XX0044*</t>
  </si>
  <si>
    <t>400＊900</t>
  </si>
  <si>
    <t>J6XX0051</t>
  </si>
  <si>
    <t>(管理外)LLDPE規格ｼｰﾄ0.02×950×100m</t>
  </si>
  <si>
    <t>*J6XX0051*</t>
  </si>
  <si>
    <t>0.02×950×100m</t>
  </si>
  <si>
    <t>J1ZAFJB00211835</t>
  </si>
  <si>
    <t>463301-2050灯具ｶﾊﾞｰPC IN</t>
  </si>
  <si>
    <t>000000000011489</t>
  </si>
  <si>
    <t>J6VZ041</t>
  </si>
  <si>
    <t>000000000826215</t>
  </si>
  <si>
    <t>拡散</t>
  </si>
  <si>
    <t>J1ZA</t>
  </si>
  <si>
    <t>4317</t>
  </si>
  <si>
    <t>*J1ZAFJB00211835*</t>
  </si>
  <si>
    <t>V3J03</t>
  </si>
  <si>
    <t>樹脂第3倉庫 (在庫)</t>
  </si>
  <si>
    <t>V3P13</t>
  </si>
  <si>
    <t>捺印</t>
  </si>
  <si>
    <t>J1ZAFJA00211835</t>
  </si>
  <si>
    <t>@463301-2050灯具ｶﾊﾞｰPCIN</t>
  </si>
  <si>
    <t>*J1ZAFJA00211835*</t>
  </si>
  <si>
    <t>J6DW0043</t>
  </si>
  <si>
    <t>灯具-1</t>
  </si>
  <si>
    <t>*J6DW0043*</t>
  </si>
  <si>
    <t>J6XX0050</t>
  </si>
  <si>
    <t>*J6XX0050*</t>
  </si>
  <si>
    <t>300＊100</t>
  </si>
  <si>
    <t>使用数</t>
    <rPh sb="0" eb="2">
      <t>シヨウ</t>
    </rPh>
    <rPh sb="2" eb="3">
      <t>スウ</t>
    </rPh>
    <phoneticPr fontId="2"/>
  </si>
  <si>
    <t>不良内訳</t>
    <rPh sb="0" eb="2">
      <t>フリョウ</t>
    </rPh>
    <rPh sb="2" eb="4">
      <t>ウチワケ</t>
    </rPh>
    <phoneticPr fontId="2"/>
  </si>
  <si>
    <t>入庫日</t>
    <rPh sb="0" eb="3">
      <t>ニュウコビ</t>
    </rPh>
    <phoneticPr fontId="2"/>
  </si>
  <si>
    <t>入庫数</t>
    <rPh sb="0" eb="3">
      <t>ニュウコスウ</t>
    </rPh>
    <phoneticPr fontId="2"/>
  </si>
  <si>
    <t>温度換算</t>
    <phoneticPr fontId="2"/>
  </si>
  <si>
    <t>取数</t>
    <phoneticPr fontId="2"/>
  </si>
  <si>
    <t>L寸</t>
    <phoneticPr fontId="2"/>
  </si>
  <si>
    <t>+公差</t>
    <phoneticPr fontId="2"/>
  </si>
  <si>
    <t>端材使用</t>
    <rPh sb="0" eb="2">
      <t>ハザイ</t>
    </rPh>
    <rPh sb="2" eb="4">
      <t>シヨウ</t>
    </rPh>
    <phoneticPr fontId="2"/>
  </si>
  <si>
    <t>切断寸法</t>
    <phoneticPr fontId="2"/>
  </si>
  <si>
    <t>-公差</t>
    <phoneticPr fontId="2"/>
  </si>
  <si>
    <t>作業日</t>
    <phoneticPr fontId="2"/>
  </si>
  <si>
    <t>加工Lot</t>
    <phoneticPr fontId="2"/>
  </si>
  <si>
    <t>梱包箱</t>
    <rPh sb="0" eb="3">
      <t>コンポウバコ</t>
    </rPh>
    <phoneticPr fontId="2"/>
  </si>
  <si>
    <t>箱数</t>
    <rPh sb="0" eb="2">
      <t>ハコスウ</t>
    </rPh>
    <phoneticPr fontId="2"/>
  </si>
  <si>
    <t>加工明細</t>
    <rPh sb="0" eb="4">
      <t>カコウメイサイ</t>
    </rPh>
    <phoneticPr fontId="2"/>
  </si>
  <si>
    <t>梱包
方法</t>
    <rPh sb="0" eb="2">
      <t>コンポウ</t>
    </rPh>
    <rPh sb="3" eb="5">
      <t>ホウホウ</t>
    </rPh>
    <phoneticPr fontId="2"/>
  </si>
  <si>
    <t>使用基材数</t>
    <rPh sb="0" eb="2">
      <t>シヨウ</t>
    </rPh>
    <rPh sb="2" eb="5">
      <t>キザイスウ</t>
    </rPh>
    <phoneticPr fontId="2"/>
  </si>
  <si>
    <t>備考</t>
    <rPh sb="0" eb="2">
      <t>ビコウ</t>
    </rPh>
    <phoneticPr fontId="2"/>
  </si>
  <si>
    <t>温度</t>
    <rPh sb="0" eb="2">
      <t>オンド</t>
    </rPh>
    <phoneticPr fontId="2"/>
  </si>
  <si>
    <t>換算</t>
    <rPh sb="0" eb="2">
      <t>カンサン</t>
    </rPh>
    <phoneticPr fontId="2"/>
  </si>
  <si>
    <t>計測値</t>
    <rPh sb="0" eb="2">
      <t>ケイソク</t>
    </rPh>
    <rPh sb="2" eb="3">
      <t>アタイ</t>
    </rPh>
    <phoneticPr fontId="2"/>
  </si>
  <si>
    <t>基材換算</t>
    <rPh sb="0" eb="2">
      <t>キザイ</t>
    </rPh>
    <rPh sb="2" eb="4">
      <t>カンサン</t>
    </rPh>
    <phoneticPr fontId="2"/>
  </si>
  <si>
    <t>キズ</t>
    <phoneticPr fontId="2"/>
  </si>
  <si>
    <t>凹み</t>
    <rPh sb="0" eb="1">
      <t>ヘコ</t>
    </rPh>
    <phoneticPr fontId="2"/>
  </si>
  <si>
    <t>異物</t>
    <rPh sb="0" eb="2">
      <t>イブツ</t>
    </rPh>
    <phoneticPr fontId="2"/>
  </si>
  <si>
    <t>欠け</t>
    <rPh sb="0" eb="1">
      <t>カ</t>
    </rPh>
    <phoneticPr fontId="2"/>
  </si>
  <si>
    <t>メヤニ</t>
    <phoneticPr fontId="2"/>
  </si>
  <si>
    <t>ベコツキ</t>
    <phoneticPr fontId="2"/>
  </si>
  <si>
    <t>その他</t>
    <rPh sb="2" eb="3">
      <t>タ</t>
    </rPh>
    <phoneticPr fontId="2"/>
  </si>
  <si>
    <t>合計</t>
    <rPh sb="0" eb="2">
      <t>ゴウケイ</t>
    </rPh>
    <phoneticPr fontId="2"/>
  </si>
  <si>
    <t>製品不良</t>
    <rPh sb="0" eb="2">
      <t>セイヒン</t>
    </rPh>
    <rPh sb="2" eb="4">
      <t>フリョウ</t>
    </rPh>
    <phoneticPr fontId="2"/>
  </si>
  <si>
    <t>基材不良</t>
    <rPh sb="0" eb="2">
      <t>キザイ</t>
    </rPh>
    <rPh sb="2" eb="4">
      <t>フリョウ</t>
    </rPh>
    <phoneticPr fontId="2"/>
  </si>
  <si>
    <t>汚損</t>
    <rPh sb="0" eb="2">
      <t>オソン</t>
    </rPh>
    <phoneticPr fontId="2"/>
  </si>
  <si>
    <t>形状異常</t>
    <rPh sb="0" eb="2">
      <t>ケイジョウ</t>
    </rPh>
    <rPh sb="2" eb="4">
      <t>イジョウ</t>
    </rPh>
    <phoneticPr fontId="2"/>
  </si>
  <si>
    <t>作業者</t>
    <rPh sb="0" eb="3">
      <t>サギョウシャ</t>
    </rPh>
    <phoneticPr fontId="2"/>
  </si>
  <si>
    <t>加工数</t>
    <rPh sb="0" eb="3">
      <t>カコウスウ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</si>
</sst>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[$-F800]dddd\,\ mmmm\ dd\,\ yyyy"/>
    <numFmt numFmtId="177" formatCode="#,##0.0_ "/>
    <numFmt numFmtId="178" formatCode="#,##0_ "/>
    <numFmt numFmtId="179" formatCode="#"/>
    <numFmt numFmtId="180" formatCode="&quot;L=&quot;0.0_ "/>
    <numFmt numFmtId="181" formatCode="0.00_ "/>
    <numFmt numFmtId="182" formatCode="yy\,mm\,dd"/>
    <numFmt numFmtId="183" formatCode="#&quot;箱&quot;"/>
    <numFmt numFmtId="184" formatCode="#&quot;枚&quot;;;"/>
    <numFmt numFmtId="185" formatCode="mm/dd;;"/>
    <numFmt numFmtId="186" formatCode="#;;"/>
    <numFmt numFmtId="187" formatCode="mm&quot;月&quot;dd&quot;日&quot;;;"/>
    <numFmt numFmtId="188" formatCode="&quot;切断作業&quot;"/>
    <numFmt numFmtId="189" formatCode="&quot;外観検査&quot;#"/>
    <numFmt numFmtId="190" formatCode="&quot;端&quot;mm/dd;;"/>
    <numFmt numFmtId="191" formatCode="&quot;初&quot;mm/dd;;"/>
    <numFmt numFmtId="192" formatCode="&quot;不&quot;mm/dd;;"/>
  </numFmts>
  <fonts count="34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72"/>
      <name val="K's BarCodeFont Code39"/>
      <family val="2"/>
    </font>
    <font>
      <sz val="36"/>
      <name val="K's BarCodeFont Code39"/>
      <family val="2"/>
    </font>
    <font>
      <b/>
      <sz val="2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2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2"/>
      <name val="游ゴシック"/>
      <family val="3"/>
      <charset val="128"/>
    </font>
    <font>
      <sz val="11"/>
      <name val="游ゴシック"/>
      <family val="3"/>
      <charset val="128"/>
    </font>
    <font>
      <b/>
      <sz val="11"/>
      <color theme="0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theme="0"/>
      <name val="游ゴシック"/>
      <family val="3"/>
      <charset val="128"/>
      <scheme val="minor"/>
    </font>
    <font>
      <b/>
      <sz val="12"/>
      <name val="游ゴシック"/>
      <family val="3"/>
      <charset val="128"/>
      <scheme val="minor"/>
    </font>
    <font>
      <sz val="10"/>
      <color theme="0"/>
      <name val="游ゴシック"/>
      <family val="3"/>
      <charset val="128"/>
      <scheme val="minor"/>
    </font>
    <font>
      <sz val="9"/>
      <name val="游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b/>
      <sz val="12"/>
      <color theme="0"/>
      <name val="游ゴシック"/>
      <family val="3"/>
      <charset val="128"/>
      <scheme val="minor"/>
    </font>
    <font>
      <b/>
      <sz val="14"/>
      <name val="游ゴシック"/>
      <family val="3"/>
      <charset val="128"/>
      <scheme val="minor"/>
    </font>
    <font>
      <b/>
      <sz val="10"/>
      <name val="游ゴシック"/>
      <family val="3"/>
      <charset val="128"/>
      <scheme val="minor"/>
    </font>
    <font>
      <sz val="12"/>
      <name val="游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B9C"/>
      </patternFill>
    </fill>
    <fill>
      <patternFill patternType="solid">
        <fgColor theme="1" tint="0.249977111117893"/>
        <bgColor indexed="64"/>
      </patternFill>
    </fill>
  </fills>
  <borders count="36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 style="thin">
        <color auto="1"/>
      </diagonal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 style="thin">
        <color auto="1"/>
      </diagonal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 diagonalUp="1">
      <left style="thin">
        <color auto="1"/>
      </left>
      <right/>
      <top style="thin">
        <color indexed="64"/>
      </top>
      <bottom style="thin">
        <color indexed="64"/>
      </bottom>
      <diagonal style="thin">
        <color auto="1"/>
      </diagonal>
    </border>
    <border diagonalUp="1">
      <left style="thin">
        <color auto="1"/>
      </left>
      <right/>
      <top style="thin">
        <color indexed="64"/>
      </top>
      <bottom style="medium">
        <color indexed="64"/>
      </bottom>
      <diagonal style="thin">
        <color auto="1"/>
      </diagonal>
    </border>
  </borders>
  <cellStyleXfs count="4">
    <xf numFmtId="0" fontId="0" fillId="0" borderId="0">
      <alignment vertical="center"/>
    </xf>
    <xf numFmtId="0" fontId="1" fillId="0" borderId="0"/>
    <xf numFmtId="0" fontId="24" fillId="6" borderId="0" applyNumberFormat="0" applyBorder="0" applyAlignment="0" applyProtection="0">
      <alignment vertical="center"/>
    </xf>
    <xf numFmtId="0" fontId="1" fillId="0" borderId="0"/>
  </cellStyleXfs>
  <cellXfs count="156">
    <xf numFmtId="0" fontId="0" fillId="0" borderId="0" xfId="0">
      <alignment vertical="center"/>
    </xf>
    <xf numFmtId="49" fontId="1" fillId="0" borderId="0" xfId="1" applyNumberFormat="1" applyAlignment="1">
      <alignment vertical="center" shrinkToFit="1"/>
    </xf>
    <xf numFmtId="49" fontId="3" fillId="0" borderId="0" xfId="1" applyNumberFormat="1" applyFont="1" applyAlignment="1">
      <alignment horizontal="center" vertical="center" shrinkToFit="1"/>
    </xf>
    <xf numFmtId="49" fontId="3" fillId="0" borderId="0" xfId="1" applyNumberFormat="1" applyFont="1" applyAlignment="1">
      <alignment vertical="center" shrinkToFit="1"/>
    </xf>
    <xf numFmtId="176" fontId="3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vertical="center" shrinkToFit="1"/>
    </xf>
    <xf numFmtId="49" fontId="1" fillId="0" borderId="0" xfId="1" applyNumberFormat="1" applyAlignment="1">
      <alignment horizontal="left" vertical="center" shrinkToFit="1"/>
    </xf>
    <xf numFmtId="49" fontId="5" fillId="0" borderId="9" xfId="1" applyNumberFormat="1" applyFont="1" applyBorder="1" applyAlignment="1">
      <alignment vertical="center" shrinkToFit="1"/>
    </xf>
    <xf numFmtId="49" fontId="6" fillId="0" borderId="0" xfId="1" applyNumberFormat="1" applyFont="1" applyAlignment="1">
      <alignment vertical="center" shrinkToFit="1"/>
    </xf>
    <xf numFmtId="49" fontId="1" fillId="0" borderId="1" xfId="1" applyNumberFormat="1" applyBorder="1" applyAlignment="1">
      <alignment vertical="center" shrinkToFit="1"/>
    </xf>
    <xf numFmtId="49" fontId="1" fillId="0" borderId="0" xfId="1" applyNumberFormat="1" applyAlignment="1">
      <alignment horizontal="center" vertical="center" shrinkToFit="1"/>
    </xf>
    <xf numFmtId="49" fontId="1" fillId="0" borderId="1" xfId="1" applyNumberFormat="1" applyBorder="1" applyAlignment="1">
      <alignment horizontal="center" vertical="center" shrinkToFit="1"/>
    </xf>
    <xf numFmtId="49" fontId="1" fillId="0" borderId="4" xfId="1" applyNumberFormat="1" applyBorder="1" applyAlignment="1">
      <alignment vertical="center" shrinkToFit="1"/>
    </xf>
    <xf numFmtId="49" fontId="1" fillId="0" borderId="5" xfId="1" applyNumberFormat="1" applyBorder="1" applyAlignment="1">
      <alignment vertical="center" shrinkToFit="1"/>
    </xf>
    <xf numFmtId="49" fontId="1" fillId="0" borderId="6" xfId="1" applyNumberFormat="1" applyBorder="1" applyAlignment="1">
      <alignment vertical="center" shrinkToFit="1"/>
    </xf>
    <xf numFmtId="49" fontId="1" fillId="0" borderId="7" xfId="1" applyNumberFormat="1" applyBorder="1" applyAlignment="1">
      <alignment horizontal="left" vertical="center" shrinkToFit="1"/>
    </xf>
    <xf numFmtId="49" fontId="1" fillId="0" borderId="8" xfId="1" applyNumberFormat="1" applyBorder="1" applyAlignment="1">
      <alignment vertical="center" shrinkToFit="1"/>
    </xf>
    <xf numFmtId="49" fontId="1" fillId="0" borderId="9" xfId="1" applyNumberFormat="1" applyBorder="1" applyAlignment="1">
      <alignment vertical="center" shrinkToFit="1"/>
    </xf>
    <xf numFmtId="49" fontId="7" fillId="0" borderId="0" xfId="1" applyNumberFormat="1" applyFont="1" applyAlignment="1">
      <alignment horizontal="center" vertical="center" shrinkToFit="1"/>
    </xf>
    <xf numFmtId="49" fontId="7" fillId="0" borderId="0" xfId="1" applyNumberFormat="1" applyFont="1" applyAlignment="1">
      <alignment vertical="center" shrinkToFit="1"/>
    </xf>
    <xf numFmtId="49" fontId="3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right" vertical="center" shrinkToFit="1"/>
    </xf>
    <xf numFmtId="49" fontId="1" fillId="0" borderId="7" xfId="1" applyNumberFormat="1" applyBorder="1" applyAlignment="1">
      <alignment horizontal="right" vertical="center" shrinkToFit="1"/>
    </xf>
    <xf numFmtId="49" fontId="1" fillId="0" borderId="2" xfId="1" applyNumberFormat="1" applyBorder="1" applyAlignment="1">
      <alignment horizontal="center" vertical="center" shrinkToFit="1"/>
    </xf>
    <xf numFmtId="0" fontId="12" fillId="0" borderId="0" xfId="0" applyFont="1">
      <alignment vertical="center"/>
    </xf>
    <xf numFmtId="0" fontId="12" fillId="0" borderId="0" xfId="0" applyFont="1" applyAlignment="1"/>
    <xf numFmtId="0" fontId="13" fillId="0" borderId="0" xfId="0" applyFont="1">
      <alignment vertical="center"/>
    </xf>
    <xf numFmtId="49" fontId="16" fillId="0" borderId="0" xfId="1" applyNumberFormat="1" applyFont="1" applyAlignment="1">
      <alignment horizontal="left" vertical="center" shrinkToFit="1"/>
    </xf>
    <xf numFmtId="49" fontId="17" fillId="0" borderId="0" xfId="1" applyNumberFormat="1" applyFont="1" applyAlignment="1">
      <alignment horizontal="left" vertical="center" shrinkToFit="1"/>
    </xf>
    <xf numFmtId="0" fontId="19" fillId="0" borderId="0" xfId="0" applyFont="1">
      <alignment vertical="center"/>
    </xf>
    <xf numFmtId="49" fontId="20" fillId="0" borderId="0" xfId="0" applyNumberFormat="1" applyFont="1" applyAlignment="1">
      <alignment vertical="top" shrinkToFit="1"/>
    </xf>
    <xf numFmtId="179" fontId="21" fillId="4" borderId="15" xfId="0" applyNumberFormat="1" applyFont="1" applyFill="1" applyBorder="1" applyAlignment="1">
      <alignment horizontal="center" vertical="center"/>
    </xf>
    <xf numFmtId="179" fontId="21" fillId="4" borderId="21" xfId="0" applyNumberFormat="1" applyFont="1" applyFill="1" applyBorder="1" applyAlignment="1">
      <alignment horizontal="center" vertical="center"/>
    </xf>
    <xf numFmtId="0" fontId="22" fillId="0" borderId="0" xfId="0" applyFont="1">
      <alignment vertical="center"/>
    </xf>
    <xf numFmtId="49" fontId="23" fillId="0" borderId="0" xfId="0" applyNumberFormat="1" applyFont="1" applyAlignment="1">
      <alignment vertical="top" shrinkToFit="1"/>
    </xf>
    <xf numFmtId="49" fontId="28" fillId="4" borderId="22" xfId="1" applyNumberFormat="1" applyFont="1" applyFill="1" applyBorder="1" applyAlignment="1">
      <alignment horizontal="center" vertical="center" shrinkToFit="1"/>
    </xf>
    <xf numFmtId="0" fontId="18" fillId="7" borderId="17" xfId="0" applyFont="1" applyFill="1" applyBorder="1" applyAlignment="1">
      <alignment horizontal="center" vertical="center"/>
    </xf>
    <xf numFmtId="49" fontId="18" fillId="7" borderId="18" xfId="0" applyNumberFormat="1" applyFont="1" applyFill="1" applyBorder="1" applyAlignment="1">
      <alignment horizontal="center" vertical="center" shrinkToFit="1"/>
    </xf>
    <xf numFmtId="49" fontId="18" fillId="7" borderId="19" xfId="0" applyNumberFormat="1" applyFont="1" applyFill="1" applyBorder="1" applyAlignment="1">
      <alignment horizontal="center" vertical="center" shrinkToFit="1"/>
    </xf>
    <xf numFmtId="179" fontId="21" fillId="0" borderId="15" xfId="3" applyNumberFormat="1" applyFont="1" applyBorder="1" applyAlignment="1">
      <alignment horizontal="center" vertical="center" shrinkToFit="1"/>
    </xf>
    <xf numFmtId="179" fontId="21" fillId="0" borderId="21" xfId="3" applyNumberFormat="1" applyFont="1" applyBorder="1" applyAlignment="1">
      <alignment horizontal="center" vertical="center" shrinkToFit="1"/>
    </xf>
    <xf numFmtId="179" fontId="21" fillId="4" borderId="23" xfId="3" applyNumberFormat="1" applyFont="1" applyFill="1" applyBorder="1" applyAlignment="1">
      <alignment horizontal="center" vertical="center" shrinkToFit="1"/>
    </xf>
    <xf numFmtId="179" fontId="21" fillId="4" borderId="24" xfId="3" applyNumberFormat="1" applyFont="1" applyFill="1" applyBorder="1" applyAlignment="1">
      <alignment horizontal="center" vertical="center" shrinkToFit="1"/>
    </xf>
    <xf numFmtId="0" fontId="15" fillId="0" borderId="20" xfId="2" applyFont="1" applyFill="1" applyBorder="1" applyAlignment="1">
      <alignment horizontal="center" vertical="center"/>
    </xf>
    <xf numFmtId="49" fontId="23" fillId="0" borderId="0" xfId="1" applyNumberFormat="1" applyFont="1" applyAlignment="1">
      <alignment horizontal="left" vertical="center" shrinkToFit="1"/>
    </xf>
    <xf numFmtId="49" fontId="19" fillId="0" borderId="0" xfId="0" applyNumberFormat="1" applyFont="1">
      <alignment vertical="center"/>
    </xf>
    <xf numFmtId="49" fontId="22" fillId="0" borderId="0" xfId="0" applyNumberFormat="1" applyFont="1">
      <alignment vertical="center"/>
    </xf>
    <xf numFmtId="0" fontId="15" fillId="0" borderId="22" xfId="2" applyFont="1" applyFill="1" applyBorder="1" applyAlignment="1">
      <alignment horizontal="center" vertical="center"/>
    </xf>
    <xf numFmtId="49" fontId="29" fillId="0" borderId="0" xfId="3" applyNumberFormat="1" applyFont="1" applyAlignment="1">
      <alignment horizontal="center" vertical="center" shrinkToFit="1"/>
    </xf>
    <xf numFmtId="49" fontId="29" fillId="0" borderId="0" xfId="3" applyNumberFormat="1" applyFont="1" applyAlignment="1">
      <alignment vertical="center" shrinkToFit="1"/>
    </xf>
    <xf numFmtId="0" fontId="25" fillId="2" borderId="16" xfId="0" applyFont="1" applyFill="1" applyBorder="1" applyAlignment="1">
      <alignment horizontal="center" vertical="center"/>
    </xf>
    <xf numFmtId="0" fontId="26" fillId="0" borderId="27" xfId="0" applyFont="1" applyBorder="1" applyAlignment="1">
      <alignment horizontal="center" vertical="center"/>
    </xf>
    <xf numFmtId="49" fontId="23" fillId="0" borderId="20" xfId="1" applyNumberFormat="1" applyFont="1" applyBorder="1" applyAlignment="1">
      <alignment horizontal="center" vertical="center" shrinkToFit="1"/>
    </xf>
    <xf numFmtId="49" fontId="27" fillId="2" borderId="27" xfId="0" applyNumberFormat="1" applyFont="1" applyFill="1" applyBorder="1" applyAlignment="1">
      <alignment horizontal="center" vertical="center"/>
    </xf>
    <xf numFmtId="49" fontId="27" fillId="2" borderId="27" xfId="1" applyNumberFormat="1" applyFont="1" applyFill="1" applyBorder="1" applyAlignment="1">
      <alignment horizontal="center" vertical="center" shrinkToFit="1"/>
    </xf>
    <xf numFmtId="0" fontId="26" fillId="0" borderId="29" xfId="0" applyFont="1" applyBorder="1" applyAlignment="1">
      <alignment horizontal="center" vertical="center"/>
    </xf>
    <xf numFmtId="0" fontId="18" fillId="7" borderId="16" xfId="0" applyFont="1" applyFill="1" applyBorder="1" applyAlignment="1">
      <alignment horizontal="center" vertical="center"/>
    </xf>
    <xf numFmtId="49" fontId="23" fillId="0" borderId="22" xfId="1" applyNumberFormat="1" applyFont="1" applyBorder="1" applyAlignment="1">
      <alignment horizontal="center" vertical="center" shrinkToFit="1"/>
    </xf>
    <xf numFmtId="185" fontId="21" fillId="0" borderId="27" xfId="3" applyNumberFormat="1" applyFont="1" applyBorder="1" applyAlignment="1">
      <alignment horizontal="center" vertical="center" shrinkToFit="1"/>
    </xf>
    <xf numFmtId="186" fontId="21" fillId="4" borderId="20" xfId="1" applyNumberFormat="1" applyFont="1" applyFill="1" applyBorder="1" applyAlignment="1">
      <alignment horizontal="left" vertical="center" wrapText="1" shrinkToFit="1"/>
    </xf>
    <xf numFmtId="49" fontId="21" fillId="0" borderId="20" xfId="3" applyNumberFormat="1" applyFont="1" applyBorder="1" applyAlignment="1">
      <alignment horizontal="left" vertical="center" shrinkToFit="1"/>
    </xf>
    <xf numFmtId="181" fontId="21" fillId="4" borderId="25" xfId="0" applyNumberFormat="1" applyFont="1" applyFill="1" applyBorder="1" applyAlignment="1">
      <alignment horizontal="center" vertical="center"/>
    </xf>
    <xf numFmtId="181" fontId="21" fillId="0" borderId="15" xfId="3" applyNumberFormat="1" applyFont="1" applyBorder="1" applyAlignment="1">
      <alignment horizontal="center" vertical="center" shrinkToFit="1"/>
    </xf>
    <xf numFmtId="179" fontId="21" fillId="4" borderId="30" xfId="3" applyNumberFormat="1" applyFont="1" applyFill="1" applyBorder="1" applyAlignment="1">
      <alignment horizontal="center" vertical="center" shrinkToFit="1"/>
    </xf>
    <xf numFmtId="181" fontId="21" fillId="4" borderId="30" xfId="3" applyNumberFormat="1" applyFont="1" applyFill="1" applyBorder="1" applyAlignment="1">
      <alignment horizontal="right" vertical="center" shrinkToFit="1"/>
    </xf>
    <xf numFmtId="49" fontId="23" fillId="0" borderId="20" xfId="0" applyNumberFormat="1" applyFont="1" applyBorder="1" applyAlignment="1">
      <alignment horizontal="center" vertical="top" shrinkToFit="1"/>
    </xf>
    <xf numFmtId="187" fontId="23" fillId="0" borderId="21" xfId="1" applyNumberFormat="1" applyFont="1" applyBorder="1" applyAlignment="1">
      <alignment horizontal="center" vertical="center" shrinkToFit="1"/>
    </xf>
    <xf numFmtId="49" fontId="21" fillId="4" borderId="22" xfId="3" applyNumberFormat="1" applyFont="1" applyFill="1" applyBorder="1" applyAlignment="1">
      <alignment horizontal="left" vertical="center" shrinkToFit="1"/>
    </xf>
    <xf numFmtId="0" fontId="23" fillId="4" borderId="25" xfId="3" applyFont="1" applyFill="1" applyBorder="1" applyAlignment="1">
      <alignment vertical="center" shrinkToFit="1"/>
    </xf>
    <xf numFmtId="49" fontId="26" fillId="4" borderId="26" xfId="1" applyNumberFormat="1" applyFont="1" applyFill="1" applyBorder="1" applyAlignment="1">
      <alignment horizontal="center" vertical="center" shrinkToFit="1"/>
    </xf>
    <xf numFmtId="49" fontId="26" fillId="4" borderId="19" xfId="1" applyNumberFormat="1" applyFont="1" applyFill="1" applyBorder="1" applyAlignment="1">
      <alignment horizontal="center" vertical="center" shrinkToFit="1"/>
    </xf>
    <xf numFmtId="0" fontId="21" fillId="3" borderId="18" xfId="0" applyFont="1" applyFill="1" applyBorder="1" applyAlignment="1">
      <alignment horizontal="center" vertical="center"/>
    </xf>
    <xf numFmtId="49" fontId="30" fillId="2" borderId="16" xfId="1" applyNumberFormat="1" applyFont="1" applyFill="1" applyBorder="1" applyAlignment="1">
      <alignment horizontal="center" vertical="center" shrinkToFit="1"/>
    </xf>
    <xf numFmtId="49" fontId="23" fillId="3" borderId="19" xfId="1" applyNumberFormat="1" applyFont="1" applyFill="1" applyBorder="1" applyAlignment="1">
      <alignment horizontal="center" vertical="center" shrinkToFit="1"/>
    </xf>
    <xf numFmtId="180" fontId="26" fillId="0" borderId="27" xfId="0" applyNumberFormat="1" applyFont="1" applyBorder="1" applyAlignment="1">
      <alignment horizontal="center" vertical="center"/>
    </xf>
    <xf numFmtId="188" fontId="32" fillId="0" borderId="21" xfId="1" applyNumberFormat="1" applyFont="1" applyBorder="1" applyAlignment="1">
      <alignment vertical="center" shrinkToFit="1"/>
    </xf>
    <xf numFmtId="0" fontId="30" fillId="2" borderId="27" xfId="0" applyFont="1" applyFill="1" applyBorder="1" applyAlignment="1">
      <alignment horizontal="center" vertical="center"/>
    </xf>
    <xf numFmtId="189" fontId="32" fillId="0" borderId="21" xfId="1" applyNumberFormat="1" applyFont="1" applyBorder="1" applyAlignment="1">
      <alignment vertical="center" shrinkToFit="1"/>
    </xf>
    <xf numFmtId="181" fontId="26" fillId="0" borderId="27" xfId="0" applyNumberFormat="1" applyFont="1" applyBorder="1" applyAlignment="1">
      <alignment horizontal="center" vertical="center"/>
    </xf>
    <xf numFmtId="49" fontId="30" fillId="2" borderId="27" xfId="1" applyNumberFormat="1" applyFont="1" applyFill="1" applyBorder="1" applyAlignment="1">
      <alignment horizontal="center" vertical="center" shrinkToFit="1"/>
    </xf>
    <xf numFmtId="0" fontId="14" fillId="0" borderId="29" xfId="1" applyFont="1" applyBorder="1" applyAlignment="1">
      <alignment horizontal="center" vertical="center" shrinkToFit="1"/>
    </xf>
    <xf numFmtId="49" fontId="18" fillId="7" borderId="5" xfId="1" applyNumberFormat="1" applyFont="1" applyFill="1" applyBorder="1" applyAlignment="1">
      <alignment horizontal="center" vertical="center" shrinkToFit="1"/>
    </xf>
    <xf numFmtId="49" fontId="18" fillId="7" borderId="5" xfId="0" applyNumberFormat="1" applyFont="1" applyFill="1" applyBorder="1" applyAlignment="1">
      <alignment horizontal="center" vertical="center" shrinkToFit="1"/>
    </xf>
    <xf numFmtId="0" fontId="32" fillId="0" borderId="27" xfId="0" applyFont="1" applyBorder="1" applyAlignment="1">
      <alignment horizontal="center" vertical="center"/>
    </xf>
    <xf numFmtId="182" fontId="33" fillId="0" borderId="28" xfId="1" applyNumberFormat="1" applyFont="1" applyBorder="1" applyAlignment="1">
      <alignment horizontal="center" vertical="center" shrinkToFit="1"/>
    </xf>
    <xf numFmtId="183" fontId="33" fillId="0" borderId="21" xfId="1" applyNumberFormat="1" applyFont="1" applyBorder="1" applyAlignment="1">
      <alignment horizontal="center" vertical="center" shrinkToFit="1"/>
    </xf>
    <xf numFmtId="182" fontId="33" fillId="0" borderId="33" xfId="1" applyNumberFormat="1" applyFont="1" applyBorder="1" applyAlignment="1">
      <alignment horizontal="center" vertical="center" shrinkToFit="1"/>
    </xf>
    <xf numFmtId="183" fontId="33" fillId="0" borderId="24" xfId="1" applyNumberFormat="1" applyFont="1" applyBorder="1" applyAlignment="1">
      <alignment horizontal="center" vertical="center" shrinkToFit="1"/>
    </xf>
    <xf numFmtId="179" fontId="33" fillId="0" borderId="21" xfId="1" applyNumberFormat="1" applyFont="1" applyBorder="1" applyAlignment="1">
      <alignment horizontal="center" vertical="center" shrinkToFit="1"/>
    </xf>
    <xf numFmtId="179" fontId="33" fillId="0" borderId="32" xfId="1" applyNumberFormat="1" applyFont="1" applyBorder="1" applyAlignment="1">
      <alignment horizontal="center" vertical="center" shrinkToFit="1"/>
    </xf>
    <xf numFmtId="179" fontId="33" fillId="0" borderId="24" xfId="1" applyNumberFormat="1" applyFont="1" applyBorder="1" applyAlignment="1">
      <alignment horizontal="center" vertical="center" shrinkToFit="1"/>
    </xf>
    <xf numFmtId="190" fontId="21" fillId="4" borderId="27" xfId="0" applyNumberFormat="1" applyFont="1" applyFill="1" applyBorder="1" applyAlignment="1">
      <alignment horizontal="center" vertical="center"/>
    </xf>
    <xf numFmtId="191" fontId="21" fillId="0" borderId="27" xfId="3" applyNumberFormat="1" applyFont="1" applyBorder="1" applyAlignment="1">
      <alignment horizontal="center" vertical="center" shrinkToFit="1"/>
    </xf>
    <xf numFmtId="192" fontId="15" fillId="4" borderId="29" xfId="3" applyNumberFormat="1" applyFont="1" applyFill="1" applyBorder="1" applyAlignment="1">
      <alignment horizontal="center" vertical="center" shrinkToFit="1"/>
    </xf>
    <xf numFmtId="179" fontId="33" fillId="0" borderId="21" xfId="0" applyNumberFormat="1" applyFont="1" applyBorder="1" applyAlignment="1">
      <alignment horizontal="center" vertical="top" shrinkToFit="1"/>
    </xf>
    <xf numFmtId="179" fontId="14" fillId="0" borderId="24" xfId="1" applyNumberFormat="1" applyFont="1" applyBorder="1" applyAlignment="1">
      <alignment horizontal="center" vertical="center" shrinkToFit="1"/>
    </xf>
    <xf numFmtId="0" fontId="18" fillId="7" borderId="14" xfId="0" applyFont="1" applyFill="1" applyBorder="1" applyAlignment="1">
      <alignment horizontal="center" vertical="center"/>
    </xf>
    <xf numFmtId="0" fontId="18" fillId="7" borderId="17" xfId="0" applyFont="1" applyFill="1" applyBorder="1" applyAlignment="1">
      <alignment horizontal="center" vertical="center" shrinkToFit="1"/>
    </xf>
    <xf numFmtId="181" fontId="21" fillId="4" borderId="34" xfId="0" applyNumberFormat="1" applyFont="1" applyFill="1" applyBorder="1" applyAlignment="1">
      <alignment horizontal="right" vertical="center"/>
    </xf>
    <xf numFmtId="179" fontId="21" fillId="4" borderId="20" xfId="0" applyNumberFormat="1" applyFont="1" applyFill="1" applyBorder="1" applyAlignment="1">
      <alignment horizontal="center" vertical="center"/>
    </xf>
    <xf numFmtId="181" fontId="21" fillId="0" borderId="10" xfId="3" applyNumberFormat="1" applyFont="1" applyBorder="1" applyAlignment="1">
      <alignment horizontal="right" vertical="center" shrinkToFit="1"/>
    </xf>
    <xf numFmtId="179" fontId="21" fillId="0" borderId="20" xfId="3" applyNumberFormat="1" applyFont="1" applyBorder="1" applyAlignment="1">
      <alignment horizontal="center" vertical="center" shrinkToFit="1"/>
    </xf>
    <xf numFmtId="181" fontId="21" fillId="4" borderId="35" xfId="3" applyNumberFormat="1" applyFont="1" applyFill="1" applyBorder="1" applyAlignment="1">
      <alignment horizontal="right" vertical="center" shrinkToFit="1"/>
    </xf>
    <xf numFmtId="179" fontId="21" fillId="4" borderId="22" xfId="3" applyNumberFormat="1" applyFont="1" applyFill="1" applyBorder="1" applyAlignment="1">
      <alignment horizontal="center" vertical="center" shrinkToFit="1"/>
    </xf>
    <xf numFmtId="49" fontId="20" fillId="4" borderId="16" xfId="0" applyNumberFormat="1" applyFont="1" applyFill="1" applyBorder="1" applyAlignment="1">
      <alignment horizontal="center" vertical="top" shrinkToFit="1"/>
    </xf>
    <xf numFmtId="49" fontId="20" fillId="4" borderId="31" xfId="0" applyNumberFormat="1" applyFont="1" applyFill="1" applyBorder="1" applyAlignment="1">
      <alignment horizontal="center" vertical="top" shrinkToFit="1"/>
    </xf>
    <xf numFmtId="49" fontId="8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vertical="center" shrinkToFit="1"/>
    </xf>
    <xf numFmtId="0" fontId="12" fillId="0" borderId="0" xfId="0" applyFont="1">
      <alignment vertical="center"/>
    </xf>
    <xf numFmtId="49" fontId="26" fillId="4" borderId="17" xfId="1" applyNumberFormat="1" applyFont="1" applyFill="1" applyBorder="1" applyAlignment="1">
      <alignment horizontal="center" vertical="center" shrinkToFit="1"/>
    </xf>
    <xf numFmtId="49" fontId="26" fillId="4" borderId="19" xfId="1" applyNumberFormat="1" applyFont="1" applyFill="1" applyBorder="1" applyAlignment="1">
      <alignment horizontal="center" vertical="center" shrinkToFit="1"/>
    </xf>
    <xf numFmtId="0" fontId="21" fillId="3" borderId="17" xfId="0" applyFont="1" applyFill="1" applyBorder="1" applyAlignment="1">
      <alignment horizontal="center" vertical="center"/>
    </xf>
    <xf numFmtId="0" fontId="21" fillId="3" borderId="18" xfId="0" applyFont="1" applyFill="1" applyBorder="1" applyAlignment="1">
      <alignment horizontal="center" vertical="center"/>
    </xf>
    <xf numFmtId="177" fontId="12" fillId="0" borderId="0" xfId="1" applyNumberFormat="1" applyFont="1" applyAlignment="1">
      <alignment horizontal="left" vertical="center" shrinkToFit="1"/>
    </xf>
    <xf numFmtId="49" fontId="12" fillId="0" borderId="9" xfId="1" applyNumberFormat="1" applyFont="1" applyBorder="1" applyAlignment="1">
      <alignment vertical="center" shrinkToFit="1"/>
    </xf>
    <xf numFmtId="0" fontId="0" fillId="0" borderId="9" xfId="0" applyBorder="1" applyAlignment="1"/>
    <xf numFmtId="179" fontId="26" fillId="5" borderId="15" xfId="0" applyNumberFormat="1" applyFont="1" applyFill="1" applyBorder="1" applyAlignment="1">
      <alignment horizontal="left" vertical="center" shrinkToFit="1"/>
    </xf>
    <xf numFmtId="179" fontId="26" fillId="5" borderId="21" xfId="0" applyNumberFormat="1" applyFont="1" applyFill="1" applyBorder="1" applyAlignment="1">
      <alignment horizontal="left" vertical="center" shrinkToFit="1"/>
    </xf>
    <xf numFmtId="179" fontId="26" fillId="5" borderId="23" xfId="0" applyNumberFormat="1" applyFont="1" applyFill="1" applyBorder="1" applyAlignment="1">
      <alignment horizontal="left" vertical="center" shrinkToFit="1"/>
    </xf>
    <xf numFmtId="179" fontId="26" fillId="5" borderId="24" xfId="0" applyNumberFormat="1" applyFont="1" applyFill="1" applyBorder="1" applyAlignment="1">
      <alignment horizontal="left" vertical="center" shrinkToFit="1"/>
    </xf>
    <xf numFmtId="49" fontId="28" fillId="4" borderId="20" xfId="1" applyNumberFormat="1" applyFont="1" applyFill="1" applyBorder="1" applyAlignment="1">
      <alignment horizontal="center" vertical="center" wrapText="1" shrinkToFit="1"/>
    </xf>
    <xf numFmtId="179" fontId="31" fillId="5" borderId="20" xfId="0" applyNumberFormat="1" applyFont="1" applyFill="1" applyBorder="1" applyAlignment="1">
      <alignment horizontal="center" vertical="center" shrinkToFit="1"/>
    </xf>
    <xf numFmtId="179" fontId="31" fillId="5" borderId="15" xfId="0" applyNumberFormat="1" applyFont="1" applyFill="1" applyBorder="1" applyAlignment="1">
      <alignment horizontal="center" vertical="center" shrinkToFit="1"/>
    </xf>
    <xf numFmtId="184" fontId="31" fillId="0" borderId="15" xfId="1" applyNumberFormat="1" applyFont="1" applyBorder="1" applyAlignment="1">
      <alignment horizontal="center" vertical="center" shrinkToFit="1"/>
    </xf>
    <xf numFmtId="49" fontId="12" fillId="0" borderId="0" xfId="1" applyNumberFormat="1" applyFont="1" applyAlignment="1">
      <alignment horizontal="right" vertical="center" shrinkToFit="1"/>
    </xf>
    <xf numFmtId="49" fontId="11" fillId="0" borderId="0" xfId="1" applyNumberFormat="1" applyFont="1" applyAlignment="1">
      <alignment vertical="center" shrinkToFit="1"/>
    </xf>
    <xf numFmtId="49" fontId="10" fillId="0" borderId="0" xfId="1" applyNumberFormat="1" applyFont="1" applyAlignment="1">
      <alignment horizontal="left" vertical="center" shrinkToFit="1"/>
    </xf>
    <xf numFmtId="49" fontId="9" fillId="0" borderId="0" xfId="1" applyNumberFormat="1" applyFont="1" applyAlignment="1">
      <alignment vertical="center" shrinkToFit="1"/>
    </xf>
    <xf numFmtId="49" fontId="1" fillId="0" borderId="0" xfId="1" applyNumberFormat="1" applyAlignment="1">
      <alignment horizontal="left" vertical="center" shrinkToFit="1"/>
    </xf>
    <xf numFmtId="49" fontId="11" fillId="0" borderId="15" xfId="1" applyNumberFormat="1" applyFont="1" applyBorder="1" applyAlignment="1">
      <alignment vertical="center" shrinkToFit="1"/>
    </xf>
    <xf numFmtId="0" fontId="0" fillId="0" borderId="5" xfId="0" applyBorder="1" applyAlignment="1"/>
    <xf numFmtId="49" fontId="4" fillId="0" borderId="0" xfId="1" applyNumberFormat="1" applyFont="1" applyAlignment="1">
      <alignment horizontal="left" vertical="center" shrinkToFit="1"/>
    </xf>
    <xf numFmtId="49" fontId="10" fillId="0" borderId="0" xfId="1" applyNumberFormat="1" applyFont="1" applyAlignment="1">
      <alignment vertical="center" shrinkToFit="1"/>
    </xf>
    <xf numFmtId="49" fontId="11" fillId="0" borderId="10" xfId="1" applyNumberFormat="1" applyFont="1" applyBorder="1" applyAlignment="1">
      <alignment horizontal="center" vertical="center" shrinkToFit="1"/>
    </xf>
    <xf numFmtId="0" fontId="0" fillId="0" borderId="14" xfId="0" applyBorder="1" applyAlignment="1"/>
    <xf numFmtId="49" fontId="11" fillId="0" borderId="11" xfId="1" applyNumberFormat="1" applyFont="1" applyBorder="1" applyAlignment="1">
      <alignment vertical="center" shrinkToFit="1"/>
    </xf>
    <xf numFmtId="0" fontId="0" fillId="0" borderId="3" xfId="0" applyBorder="1" applyAlignment="1"/>
    <xf numFmtId="0" fontId="0" fillId="0" borderId="11" xfId="0" applyBorder="1" applyAlignment="1"/>
    <xf numFmtId="49" fontId="12" fillId="0" borderId="8" xfId="1" applyNumberFormat="1" applyFont="1" applyBorder="1" applyAlignment="1">
      <alignment vertical="center" shrinkToFit="1"/>
    </xf>
    <xf numFmtId="0" fontId="0" fillId="0" borderId="8" xfId="0" applyBorder="1" applyAlignment="1"/>
    <xf numFmtId="49" fontId="1" fillId="0" borderId="2" xfId="1" applyNumberFormat="1" applyBorder="1" applyAlignment="1">
      <alignment vertical="center" shrinkToFit="1"/>
    </xf>
    <xf numFmtId="0" fontId="0" fillId="0" borderId="4" xfId="0" applyBorder="1" applyAlignment="1"/>
    <xf numFmtId="178" fontId="11" fillId="0" borderId="15" xfId="1" applyNumberFormat="1" applyFont="1" applyBorder="1" applyAlignment="1">
      <alignment horizontal="center" vertical="center" shrinkToFit="1"/>
    </xf>
    <xf numFmtId="0" fontId="0" fillId="0" borderId="12" xfId="0" applyBorder="1" applyAlignment="1"/>
    <xf numFmtId="0" fontId="0" fillId="0" borderId="13" xfId="0" applyBorder="1" applyAlignment="1"/>
    <xf numFmtId="49" fontId="11" fillId="0" borderId="5" xfId="1" applyNumberFormat="1" applyFont="1" applyBorder="1" applyAlignment="1">
      <alignment vertical="center" shrinkToFit="1"/>
    </xf>
    <xf numFmtId="177" fontId="10" fillId="0" borderId="0" xfId="1" applyNumberFormat="1" applyFont="1" applyAlignment="1">
      <alignment vertical="center" shrinkToFit="1"/>
    </xf>
    <xf numFmtId="49" fontId="11" fillId="0" borderId="6" xfId="1" applyNumberFormat="1" applyFont="1" applyBorder="1" applyAlignment="1">
      <alignment vertical="center" shrinkToFit="1"/>
    </xf>
    <xf numFmtId="0" fontId="0" fillId="0" borderId="6" xfId="0" applyBorder="1" applyAlignment="1"/>
    <xf numFmtId="178" fontId="11" fillId="0" borderId="0" xfId="1" applyNumberFormat="1" applyFont="1" applyAlignment="1">
      <alignment horizontal="left" vertical="center" shrinkToFit="1"/>
    </xf>
    <xf numFmtId="49" fontId="12" fillId="0" borderId="7" xfId="1" applyNumberFormat="1" applyFont="1" applyBorder="1" applyAlignment="1">
      <alignment horizontal="right" vertical="center" shrinkToFit="1"/>
    </xf>
    <xf numFmtId="0" fontId="0" fillId="0" borderId="7" xfId="0" applyBorder="1" applyAlignment="1"/>
    <xf numFmtId="49" fontId="12" fillId="0" borderId="7" xfId="1" applyNumberFormat="1" applyFont="1" applyBorder="1" applyAlignment="1">
      <alignment vertical="center" shrinkToFit="1"/>
    </xf>
    <xf numFmtId="49" fontId="11" fillId="0" borderId="0" xfId="1" applyNumberFormat="1" applyFont="1" applyAlignment="1">
      <alignment horizontal="left" vertical="center" shrinkToFit="1"/>
    </xf>
    <xf numFmtId="49" fontId="7" fillId="0" borderId="0" xfId="1" applyNumberFormat="1" applyFont="1" applyAlignment="1">
      <alignment vertical="center" shrinkToFit="1"/>
    </xf>
  </cellXfs>
  <cellStyles count="4">
    <cellStyle name="どちらでもない" xfId="2" builtinId="28"/>
    <cellStyle name="標準" xfId="0" builtinId="0"/>
    <cellStyle name="標準 2" xfId="1" xr:uid="{00000000-0005-0000-0000-000001000000}"/>
    <cellStyle name="標準 2 4" xfId="3" xr:uid="{0C38744E-7A53-45B0-9435-124D2AE0272A}"/>
  </cellStyles>
  <dxfs count="6">
    <dxf>
      <font>
        <color theme="2" tint="-9.9948118533890809E-2"/>
      </font>
    </dxf>
    <dxf>
      <font>
        <color theme="0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133351</xdr:colOff>
      <xdr:row>4</xdr:row>
      <xdr:rowOff>19051</xdr:rowOff>
    </xdr:from>
    <xdr:to>
      <xdr:col>9</xdr:col>
      <xdr:colOff>704851</xdr:colOff>
      <xdr:row>6</xdr:row>
      <xdr:rowOff>152401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C1EA0C3-DA06-D48E-2DF3-5EBEFA2591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58226" y="742951"/>
          <a:ext cx="571500" cy="571500"/>
        </a:xfrm>
        <a:prstGeom prst="rect">
          <a:avLst/>
        </a:prstGeom>
      </xdr:spPr>
    </xdr:pic>
    <xdr:clientData/>
  </xdr:twoCellAnchor>
  <xdr:twoCellAnchor editAs="oneCell">
    <xdr:from>
      <xdr:col>9</xdr:col>
      <xdr:colOff>142875</xdr:colOff>
      <xdr:row>61</xdr:row>
      <xdr:rowOff>85725</xdr:rowOff>
    </xdr:from>
    <xdr:to>
      <xdr:col>9</xdr:col>
      <xdr:colOff>714375</xdr:colOff>
      <xdr:row>64</xdr:row>
      <xdr:rowOff>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5931234-B8A6-433A-B20D-E665350500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67750" y="14039850"/>
          <a:ext cx="571500" cy="571500"/>
        </a:xfrm>
        <a:prstGeom prst="rect">
          <a:avLst/>
        </a:prstGeom>
      </xdr:spPr>
    </xdr:pic>
    <xdr:clientData/>
  </xdr:twoCellAnchor>
  <xdr:twoCellAnchor editAs="oneCell">
    <xdr:from>
      <xdr:col>8</xdr:col>
      <xdr:colOff>133350</xdr:colOff>
      <xdr:row>61</xdr:row>
      <xdr:rowOff>85725</xdr:rowOff>
    </xdr:from>
    <xdr:to>
      <xdr:col>8</xdr:col>
      <xdr:colOff>676275</xdr:colOff>
      <xdr:row>63</xdr:row>
      <xdr:rowOff>190500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3440BE1A-2B3D-430D-E559-BE80EF9FE7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48600" y="14039850"/>
          <a:ext cx="542925" cy="542925"/>
        </a:xfrm>
        <a:prstGeom prst="rect">
          <a:avLst/>
        </a:prstGeom>
      </xdr:spPr>
    </xdr:pic>
    <xdr:clientData/>
  </xdr:twoCellAnchor>
  <xdr:twoCellAnchor editAs="oneCell">
    <xdr:from>
      <xdr:col>8</xdr:col>
      <xdr:colOff>123825</xdr:colOff>
      <xdr:row>4</xdr:row>
      <xdr:rowOff>28575</xdr:rowOff>
    </xdr:from>
    <xdr:to>
      <xdr:col>8</xdr:col>
      <xdr:colOff>666750</xdr:colOff>
      <xdr:row>6</xdr:row>
      <xdr:rowOff>133350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619E25A9-BC6F-4822-B7A7-B6B3B25642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39075" y="752475"/>
          <a:ext cx="542925" cy="5429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VFDB.xlsm" TargetMode="External"/><Relationship Id="rId2" Type="http://schemas.openxmlformats.org/officeDocument/2006/relationships/externalLinkPath" Target="file:///C:\Users\user\Desktop\VFDB.xlsm" TargetMode="External"/><Relationship Id="rId1" Type="http://schemas.openxmlformats.org/officeDocument/2006/relationships/externalLinkPath" Target="/Users/user/Desktop/VFDB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sgt2603.xlsm" TargetMode="External"/><Relationship Id="rId2" Type="http://schemas.openxmlformats.org/officeDocument/2006/relationships/externalLinkPath" Target="file:///C:\Users\user\Desktop\sgt2603.xlsm" TargetMode="External"/><Relationship Id="rId1" Type="http://schemas.openxmlformats.org/officeDocument/2006/relationships/externalLinkPath" Target="/Users/user/Desktop/sgt260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FDB2"/>
      <sheetName val="温度換算"/>
    </sheetNames>
    <sheetDataSet>
      <sheetData sheetId="0">
        <row r="1">
          <cell r="A1" t="str">
            <v>品目コード</v>
          </cell>
          <cell r="J1" t="str">
            <v>温度換算</v>
          </cell>
          <cell r="K1" t="str">
            <v>下限公差</v>
          </cell>
          <cell r="L1" t="str">
            <v>上限公差</v>
          </cell>
          <cell r="P1" t="str">
            <v>取数</v>
          </cell>
          <cell r="R1" t="str">
            <v>梱包方法</v>
          </cell>
          <cell r="V1" t="str">
            <v>備考１</v>
          </cell>
          <cell r="W1" t="str">
            <v>備考２</v>
          </cell>
          <cell r="Z1" t="str">
            <v>箱名</v>
          </cell>
          <cell r="AC1" t="str">
            <v>切断寸法</v>
          </cell>
        </row>
        <row r="2">
          <cell r="A2" t="str">
            <v>J1JAZZB05412100</v>
          </cell>
          <cell r="J2" t="str">
            <v>〇</v>
          </cell>
          <cell r="P2">
            <v>2</v>
          </cell>
          <cell r="R2" t="str">
            <v>ラベル貼付1枚　(中央)　仮梱包</v>
          </cell>
          <cell r="V2" t="str">
            <v>最上段のみ　一部ﾃｰﾋﾟﾝｸﾞ</v>
          </cell>
          <cell r="W2" t="str">
            <v>識別シール貼付</v>
          </cell>
          <cell r="AC2" t="str">
            <v>換算表確認</v>
          </cell>
        </row>
        <row r="3">
          <cell r="A3" t="str">
            <v>J1JAZZB07012100</v>
          </cell>
          <cell r="J3" t="str">
            <v>〇</v>
          </cell>
          <cell r="P3">
            <v>2</v>
          </cell>
          <cell r="R3" t="str">
            <v>ラベル貼付1枚　(中央)　仮梱包</v>
          </cell>
          <cell r="V3" t="str">
            <v>最上段のみ　一部ﾃｰﾋﾟﾝｸﾞ</v>
          </cell>
          <cell r="W3" t="str">
            <v>識別シール貼付</v>
          </cell>
          <cell r="AC3" t="str">
            <v>換算表確認</v>
          </cell>
        </row>
        <row r="4">
          <cell r="A4" t="str">
            <v>J1JAZZB10802970</v>
          </cell>
          <cell r="J4" t="str">
            <v>〇</v>
          </cell>
          <cell r="K4" t="str">
            <v>－0.5</v>
          </cell>
          <cell r="L4" t="str">
            <v>+0.5</v>
          </cell>
          <cell r="P4">
            <v>6</v>
          </cell>
          <cell r="R4" t="str">
            <v>ラベル１枚　長手無　鉢巻１回</v>
          </cell>
          <cell r="V4" t="str">
            <v>1箱目の梱包数 目視確認　以降、重量測定</v>
          </cell>
          <cell r="W4" t="str">
            <v>クラフト紙：592型　1/2</v>
          </cell>
          <cell r="Z4" t="str">
            <v>LED-A300</v>
          </cell>
          <cell r="AC4" t="str">
            <v>換算表確認</v>
          </cell>
        </row>
        <row r="5">
          <cell r="A5" t="str">
            <v>J1JAZZB10804440</v>
          </cell>
          <cell r="J5" t="str">
            <v>〇</v>
          </cell>
          <cell r="K5" t="str">
            <v>-0.5</v>
          </cell>
          <cell r="L5" t="str">
            <v>+0.5</v>
          </cell>
          <cell r="P5">
            <v>4</v>
          </cell>
          <cell r="R5" t="str">
            <v>ラベル１枚　長手無　鉢巻１回</v>
          </cell>
          <cell r="V5" t="str">
            <v>1箱目の梱包数 目視確認　以降、重量測定</v>
          </cell>
          <cell r="W5" t="str">
            <v>L=888用　クラフト紙　1/2</v>
          </cell>
          <cell r="Z5" t="str">
            <v>LED-A444</v>
          </cell>
          <cell r="AC5" t="str">
            <v>換算表確認</v>
          </cell>
        </row>
        <row r="6">
          <cell r="A6" t="str">
            <v>J1JAZZB10805920</v>
          </cell>
          <cell r="J6" t="str">
            <v>〇</v>
          </cell>
          <cell r="K6" t="str">
            <v>-0.5</v>
          </cell>
          <cell r="L6" t="str">
            <v>+0.5</v>
          </cell>
          <cell r="P6">
            <v>3</v>
          </cell>
          <cell r="R6" t="str">
            <v>ラベル１枚　長手無　鉢巻１回</v>
          </cell>
          <cell r="V6" t="str">
            <v>1箱目の梱包数 目視確認　以降、重量測定</v>
          </cell>
          <cell r="W6" t="str">
            <v>クラフト紙：592型</v>
          </cell>
          <cell r="Z6" t="str">
            <v>LED-A592</v>
          </cell>
          <cell r="AC6" t="str">
            <v>換算表確認</v>
          </cell>
        </row>
        <row r="7">
          <cell r="A7" t="str">
            <v>J1JAZZB10807480</v>
          </cell>
          <cell r="J7" t="str">
            <v>〇</v>
          </cell>
          <cell r="K7" t="str">
            <v>－0.5</v>
          </cell>
          <cell r="L7" t="str">
            <v>+0.5</v>
          </cell>
          <cell r="P7">
            <v>2</v>
          </cell>
          <cell r="R7" t="str">
            <v>ラベル１枚　長手無　鉢巻１回</v>
          </cell>
          <cell r="V7" t="str">
            <v>1箱目の梱包数 目視確認　以降、重量測定</v>
          </cell>
          <cell r="W7" t="str">
            <v>L=888用　クラフト紙</v>
          </cell>
          <cell r="Z7" t="str">
            <v>LED-A888</v>
          </cell>
          <cell r="AC7" t="str">
            <v>換算表確認</v>
          </cell>
        </row>
        <row r="8">
          <cell r="A8" t="str">
            <v>J1JAZZB10808880</v>
          </cell>
          <cell r="J8" t="str">
            <v>〇</v>
          </cell>
          <cell r="K8" t="str">
            <v>－0.5</v>
          </cell>
          <cell r="L8" t="str">
            <v>+0.5</v>
          </cell>
          <cell r="P8">
            <v>2</v>
          </cell>
          <cell r="R8" t="str">
            <v>ラベル１枚　長手無　鉢巻１回</v>
          </cell>
          <cell r="V8" t="str">
            <v>1箱目の梱包数 目視確認　以降、重量測定</v>
          </cell>
          <cell r="W8" t="str">
            <v>L=888用　クラフト紙</v>
          </cell>
          <cell r="Z8" t="str">
            <v>LED-A888</v>
          </cell>
          <cell r="AC8" t="str">
            <v>換算表確認</v>
          </cell>
        </row>
        <row r="9">
          <cell r="A9" t="str">
            <v>J1JAZZB10811830</v>
          </cell>
          <cell r="J9" t="str">
            <v>〇</v>
          </cell>
          <cell r="K9" t="str">
            <v>－0.5</v>
          </cell>
          <cell r="L9" t="str">
            <v>+0.5</v>
          </cell>
          <cell r="P9">
            <v>1</v>
          </cell>
          <cell r="R9" t="str">
            <v>ラベル１枚　長手無　鉢巻１回</v>
          </cell>
          <cell r="V9" t="str">
            <v>1箱目の梱包数 目視確認　以降、重量測定</v>
          </cell>
          <cell r="W9" t="str">
            <v>クラフト紙：1370型</v>
          </cell>
          <cell r="Z9" t="str">
            <v>LED-A1183</v>
          </cell>
          <cell r="AC9" t="str">
            <v>換算表確認</v>
          </cell>
        </row>
        <row r="10">
          <cell r="A10" t="str">
            <v>J1JAZZB10813290</v>
          </cell>
          <cell r="J10" t="str">
            <v>〇</v>
          </cell>
          <cell r="K10" t="str">
            <v>－0.5</v>
          </cell>
          <cell r="L10" t="str">
            <v>+0.5</v>
          </cell>
          <cell r="P10">
            <v>1</v>
          </cell>
          <cell r="R10" t="str">
            <v>ラベル１枚　長手無　鉢巻１回</v>
          </cell>
          <cell r="V10" t="str">
            <v>1箱目の梱包数 目視確認　以降、重量測定</v>
          </cell>
          <cell r="W10" t="str">
            <v>クラフト紙：1370型</v>
          </cell>
          <cell r="Z10" t="str">
            <v>LED-A1329</v>
          </cell>
          <cell r="AC10" t="str">
            <v>換算表確認</v>
          </cell>
        </row>
        <row r="11">
          <cell r="A11" t="str">
            <v>J1JAZZB10814780</v>
          </cell>
          <cell r="J11" t="str">
            <v>〇</v>
          </cell>
          <cell r="K11" t="str">
            <v>－0.5</v>
          </cell>
          <cell r="L11" t="str">
            <v>+0.5</v>
          </cell>
          <cell r="P11">
            <v>1</v>
          </cell>
          <cell r="R11" t="str">
            <v>ラベル１枚　長手無　鉢巻１回</v>
          </cell>
          <cell r="V11" t="str">
            <v>1箱目の梱包数 目視確認　以降、重量測定</v>
          </cell>
          <cell r="W11" t="str">
            <v>クラフト紙：1478型</v>
          </cell>
          <cell r="Z11" t="str">
            <v>LED-A1478</v>
          </cell>
          <cell r="AC11" t="str">
            <v>換算表確認</v>
          </cell>
        </row>
        <row r="12">
          <cell r="A12" t="str">
            <v>J1JAZZB11805920</v>
          </cell>
          <cell r="J12" t="str">
            <v>〇</v>
          </cell>
          <cell r="K12" t="str">
            <v>－0.5</v>
          </cell>
          <cell r="L12" t="str">
            <v>+0.5</v>
          </cell>
          <cell r="P12">
            <v>3</v>
          </cell>
          <cell r="R12" t="str">
            <v>ラベル１枚　長手無　鉢巻１回</v>
          </cell>
          <cell r="V12" t="str">
            <v>1箱目の梱包数 目視確認　以降、重量測定</v>
          </cell>
          <cell r="W12" t="str">
            <v>クラフト紙：1370型</v>
          </cell>
          <cell r="Z12" t="str">
            <v>LED-A592</v>
          </cell>
          <cell r="AC12" t="str">
            <v>換算表確認</v>
          </cell>
        </row>
        <row r="13">
          <cell r="A13" t="str">
            <v>J1JAZZB11808880</v>
          </cell>
          <cell r="J13" t="str">
            <v>〇</v>
          </cell>
          <cell r="K13" t="str">
            <v>－0.5</v>
          </cell>
          <cell r="L13" t="str">
            <v>+0.5</v>
          </cell>
          <cell r="P13">
            <v>2</v>
          </cell>
          <cell r="R13" t="str">
            <v>ラベル１枚　長手無　鉢巻１回</v>
          </cell>
          <cell r="V13" t="str">
            <v>1箱目の梱包数 目視確認　以降、重量測定</v>
          </cell>
          <cell r="W13" t="str">
            <v>L=888用　クラフト紙</v>
          </cell>
          <cell r="Z13" t="str">
            <v>LED-A888</v>
          </cell>
          <cell r="AC13" t="str">
            <v>換算表確認</v>
          </cell>
        </row>
        <row r="14">
          <cell r="A14" t="str">
            <v>J1JAZZB11811830</v>
          </cell>
          <cell r="J14" t="str">
            <v>〇</v>
          </cell>
          <cell r="K14" t="str">
            <v>－0.5</v>
          </cell>
          <cell r="L14" t="str">
            <v>+0.5</v>
          </cell>
          <cell r="P14">
            <v>1</v>
          </cell>
          <cell r="R14" t="str">
            <v>ラベル１枚　長手無　鉢巻１回</v>
          </cell>
          <cell r="V14" t="str">
            <v>1箱目の梱包数 目視確認　以降、重量測定</v>
          </cell>
          <cell r="W14" t="str">
            <v>クラフト紙：1370型</v>
          </cell>
          <cell r="Z14" t="str">
            <v>LED-A1183</v>
          </cell>
          <cell r="AC14" t="str">
            <v>換算表確認</v>
          </cell>
        </row>
        <row r="15">
          <cell r="A15" t="str">
            <v>J1JAZZB11814780</v>
          </cell>
          <cell r="J15" t="str">
            <v>〇</v>
          </cell>
          <cell r="K15" t="str">
            <v>－0.5</v>
          </cell>
          <cell r="L15" t="str">
            <v>+0.5</v>
          </cell>
          <cell r="P15">
            <v>1</v>
          </cell>
          <cell r="R15" t="str">
            <v>ラベル１枚　長手無　鉢巻１回</v>
          </cell>
          <cell r="V15" t="str">
            <v>1箱目の梱包数 目視確認　以降、重量測定</v>
          </cell>
          <cell r="W15" t="str">
            <v>クラフト紙：1478型</v>
          </cell>
          <cell r="Z15" t="str">
            <v>LED-A1478</v>
          </cell>
          <cell r="AC15" t="str">
            <v>換算表確認</v>
          </cell>
        </row>
        <row r="16">
          <cell r="A16" t="str">
            <v>J1JAZZB05605540</v>
          </cell>
          <cell r="J16" t="str">
            <v>〇</v>
          </cell>
          <cell r="K16" t="str">
            <v>-1.5</v>
          </cell>
          <cell r="L16" t="str">
            <v>+1.5</v>
          </cell>
          <cell r="P16">
            <v>2</v>
          </cell>
          <cell r="R16" t="str">
            <v>ラベル2枚　長手無　鉢巻3回</v>
          </cell>
          <cell r="V16" t="str">
            <v>KISCO右上片側貼付、切断面近く押さえ切断（要注意）</v>
          </cell>
          <cell r="W16" t="str">
            <v>5段重ねで切断、欠け注意(刃交換)</v>
          </cell>
          <cell r="AC16" t="str">
            <v>換算表確認</v>
          </cell>
        </row>
        <row r="17">
          <cell r="A17" t="str">
            <v>J1JAZZB11411920</v>
          </cell>
          <cell r="J17" t="str">
            <v>〇</v>
          </cell>
          <cell r="P17">
            <v>2</v>
          </cell>
          <cell r="R17" t="str">
            <v>ラベル１枚　長手無　鉢巻１回</v>
          </cell>
          <cell r="AC17" t="str">
            <v>換算表確認</v>
          </cell>
        </row>
        <row r="18">
          <cell r="A18" t="str">
            <v>J1JAZZB11311920</v>
          </cell>
          <cell r="J18" t="str">
            <v>〇</v>
          </cell>
          <cell r="P18">
            <v>2</v>
          </cell>
          <cell r="R18" t="str">
            <v>ラベル１枚　長手無　鉢巻１回</v>
          </cell>
          <cell r="AC18" t="str">
            <v>換算表確認</v>
          </cell>
        </row>
        <row r="19">
          <cell r="A19" t="str">
            <v>J1JAZZB12514780</v>
          </cell>
          <cell r="J19" t="str">
            <v>〇</v>
          </cell>
          <cell r="K19">
            <v>-1</v>
          </cell>
          <cell r="L19" t="str">
            <v>+1</v>
          </cell>
          <cell r="P19">
            <v>1</v>
          </cell>
          <cell r="AC19" t="str">
            <v>換算表確認</v>
          </cell>
        </row>
        <row r="20">
          <cell r="A20" t="str">
            <v>J1JAZZB12511870</v>
          </cell>
          <cell r="J20" t="str">
            <v>〇</v>
          </cell>
          <cell r="K20">
            <v>-1</v>
          </cell>
          <cell r="L20" t="str">
            <v>+1</v>
          </cell>
          <cell r="P20">
            <v>2</v>
          </cell>
          <cell r="AC20" t="str">
            <v>換算表確認</v>
          </cell>
        </row>
        <row r="21">
          <cell r="A21" t="str">
            <v>J1JAZZB12508870</v>
          </cell>
          <cell r="J21" t="str">
            <v>〇</v>
          </cell>
          <cell r="K21">
            <v>-1</v>
          </cell>
          <cell r="L21" t="str">
            <v>+1</v>
          </cell>
          <cell r="P21">
            <v>2</v>
          </cell>
          <cell r="AC21" t="str">
            <v>換算表確認</v>
          </cell>
        </row>
        <row r="22">
          <cell r="A22" t="str">
            <v>J1JAZZB12505960</v>
          </cell>
          <cell r="J22" t="str">
            <v>〇</v>
          </cell>
          <cell r="K22">
            <v>-1</v>
          </cell>
          <cell r="L22" t="str">
            <v>+1</v>
          </cell>
          <cell r="P22">
            <v>3</v>
          </cell>
          <cell r="AC22" t="str">
            <v>換算表確認</v>
          </cell>
        </row>
        <row r="23">
          <cell r="A23" t="str">
            <v>J1ZAFJB00219660</v>
          </cell>
          <cell r="J23" t="str">
            <v>-</v>
          </cell>
          <cell r="K23">
            <v>-2</v>
          </cell>
          <cell r="L23" t="str">
            <v>+2</v>
          </cell>
          <cell r="P23">
            <v>1</v>
          </cell>
          <cell r="R23" t="str">
            <v>ラベル2枚　長手有　鉢巻１</v>
          </cell>
          <cell r="V23" t="str">
            <v>梱包箱:灯具-2　L1996</v>
          </cell>
          <cell r="W23" t="str">
            <v>クラフト紙：1996型</v>
          </cell>
          <cell r="Z23" t="str">
            <v>灯具-2　L＝1996</v>
          </cell>
          <cell r="AC23" t="str">
            <v>換算表確認</v>
          </cell>
        </row>
        <row r="24">
          <cell r="A24" t="str">
            <v>J1ZAFJB00219230</v>
          </cell>
          <cell r="J24" t="str">
            <v>-</v>
          </cell>
          <cell r="K24">
            <v>-2</v>
          </cell>
          <cell r="L24" t="str">
            <v>+2</v>
          </cell>
          <cell r="P24">
            <v>1</v>
          </cell>
          <cell r="R24" t="str">
            <v>ラベル2枚　長手有　鉢巻１</v>
          </cell>
          <cell r="V24" t="str">
            <v>梱包箱:灯具-2　L1996</v>
          </cell>
          <cell r="W24" t="str">
            <v>クラフト紙：1996型</v>
          </cell>
          <cell r="Z24" t="str">
            <v>灯具-2　L＝1996</v>
          </cell>
          <cell r="AC24" t="str">
            <v>換算表確認</v>
          </cell>
        </row>
        <row r="25">
          <cell r="A25" t="str">
            <v>J1ZAFJB00218150</v>
          </cell>
          <cell r="J25" t="str">
            <v>-</v>
          </cell>
          <cell r="K25">
            <v>-2</v>
          </cell>
          <cell r="L25" t="str">
            <v>+2</v>
          </cell>
          <cell r="P25">
            <v>1</v>
          </cell>
          <cell r="R25" t="str">
            <v>ラベル2枚　長手有　鉢巻１</v>
          </cell>
          <cell r="V25" t="str">
            <v>梱包箱:灯具-2　L1996(隙間埋め)</v>
          </cell>
          <cell r="W25" t="str">
            <v>クラフト紙：1996型</v>
          </cell>
          <cell r="Z25" t="str">
            <v>灯具-2　L＝1996</v>
          </cell>
          <cell r="AC25" t="str">
            <v>換算表確認</v>
          </cell>
        </row>
        <row r="26">
          <cell r="A26" t="str">
            <v>J1ZAFJB00215400</v>
          </cell>
          <cell r="J26" t="str">
            <v>-</v>
          </cell>
          <cell r="K26">
            <v>-2</v>
          </cell>
          <cell r="L26" t="str">
            <v>+2</v>
          </cell>
          <cell r="P26">
            <v>1</v>
          </cell>
          <cell r="R26" t="str">
            <v>ラベル2枚　長手有　鉢巻１</v>
          </cell>
          <cell r="V26" t="str">
            <v>梱包箱:灯具-2　L1996(切詰)</v>
          </cell>
          <cell r="W26" t="str">
            <v>クラフト紙：1648型</v>
          </cell>
          <cell r="Z26" t="str">
            <v>灯具-2　L＝1996</v>
          </cell>
          <cell r="AC26" t="str">
            <v>換算表確認</v>
          </cell>
        </row>
        <row r="27">
          <cell r="A27" t="str">
            <v>J1ZAFJB00212585</v>
          </cell>
          <cell r="J27" t="str">
            <v>-</v>
          </cell>
          <cell r="K27">
            <v>-2</v>
          </cell>
          <cell r="L27" t="str">
            <v>+2</v>
          </cell>
          <cell r="P27">
            <v>1</v>
          </cell>
          <cell r="R27" t="str">
            <v>ラベル2枚　長手有　鉢巻１</v>
          </cell>
          <cell r="V27" t="str">
            <v>梱包箱:灯具-1　L1370(隙間埋め)</v>
          </cell>
          <cell r="W27" t="str">
            <v>クラフト紙：1370型</v>
          </cell>
          <cell r="Z27" t="str">
            <v>灯具-1　L=1370</v>
          </cell>
          <cell r="AC27" t="str">
            <v>換算表確認</v>
          </cell>
        </row>
        <row r="28">
          <cell r="A28" t="str">
            <v>J1ZAFJB00211835</v>
          </cell>
          <cell r="J28" t="str">
            <v>-</v>
          </cell>
          <cell r="K28">
            <v>-2</v>
          </cell>
          <cell r="L28" t="str">
            <v>+2</v>
          </cell>
          <cell r="P28">
            <v>1</v>
          </cell>
          <cell r="R28" t="str">
            <v>ラベル2枚　長手有　鉢巻１</v>
          </cell>
          <cell r="V28" t="str">
            <v>梱包箱:灯具-1　L1370(隙間埋め)</v>
          </cell>
          <cell r="W28" t="str">
            <v>クラフト紙：1370型</v>
          </cell>
          <cell r="Z28" t="str">
            <v>灯具-1　L=1370</v>
          </cell>
          <cell r="AC28" t="str">
            <v>換算表確認</v>
          </cell>
        </row>
        <row r="29">
          <cell r="A29" t="str">
            <v>J1ZAFJB00209080</v>
          </cell>
          <cell r="J29" t="str">
            <v>-</v>
          </cell>
          <cell r="K29">
            <v>-2</v>
          </cell>
          <cell r="L29" t="str">
            <v>+2</v>
          </cell>
          <cell r="P29">
            <v>1</v>
          </cell>
          <cell r="R29" t="str">
            <v>ラベル２枚　長手有　鉢巻無</v>
          </cell>
          <cell r="V29" t="str">
            <v>梱包箱:灯具-3　L=970</v>
          </cell>
          <cell r="W29" t="str">
            <v>クラフト紙：970型</v>
          </cell>
          <cell r="Z29" t="str">
            <v>灯具-3　L=970</v>
          </cell>
          <cell r="AC29" t="str">
            <v>換算表確認</v>
          </cell>
        </row>
        <row r="30">
          <cell r="A30" t="str">
            <v>J1ZAFJB00208400</v>
          </cell>
          <cell r="J30" t="str">
            <v>-</v>
          </cell>
          <cell r="K30">
            <v>-2</v>
          </cell>
          <cell r="L30" t="str">
            <v>+2</v>
          </cell>
          <cell r="P30">
            <v>1</v>
          </cell>
          <cell r="R30" t="str">
            <v>ラベル２枚　長手有　鉢巻無</v>
          </cell>
          <cell r="V30" t="str">
            <v>梱包箱:灯具-3　L=970(隙間埋め)</v>
          </cell>
          <cell r="W30" t="str">
            <v>クラフト紙：970型</v>
          </cell>
          <cell r="Z30" t="str">
            <v>灯具-3　L=970</v>
          </cell>
          <cell r="AC30" t="str">
            <v>換算表確認</v>
          </cell>
        </row>
        <row r="31">
          <cell r="A31" t="str">
            <v>J1ZAFJB00205470</v>
          </cell>
          <cell r="J31" t="str">
            <v>-</v>
          </cell>
          <cell r="K31">
            <v>-2</v>
          </cell>
          <cell r="L31" t="str">
            <v>+2</v>
          </cell>
          <cell r="P31">
            <v>1</v>
          </cell>
          <cell r="R31" t="str">
            <v>ラベル２枚　長手有　鉢巻無</v>
          </cell>
          <cell r="V31" t="str">
            <v>梱包箱:灯具-1　L1370÷2</v>
          </cell>
          <cell r="W31" t="str">
            <v>クラフト紙：1370型　1/2</v>
          </cell>
          <cell r="Z31" t="str">
            <v>灯具-1　L=1370</v>
          </cell>
          <cell r="AC31" t="str">
            <v>換算表確認</v>
          </cell>
        </row>
        <row r="32">
          <cell r="A32" t="str">
            <v>J1ZAFJB00212640</v>
          </cell>
          <cell r="J32" t="str">
            <v>-</v>
          </cell>
          <cell r="K32">
            <v>-2</v>
          </cell>
          <cell r="L32" t="str">
            <v>+2</v>
          </cell>
          <cell r="P32">
            <v>1</v>
          </cell>
          <cell r="R32" t="str">
            <v>ラベル2枚　長手有　鉢巻１</v>
          </cell>
          <cell r="V32" t="str">
            <v>梱包箱:灯具-1　L1370(隙間埋め)</v>
          </cell>
          <cell r="W32" t="str">
            <v>クラフト紙：1370型</v>
          </cell>
          <cell r="Z32" t="str">
            <v>灯具-1　L=1370</v>
          </cell>
          <cell r="AC32" t="str">
            <v>換算表確認</v>
          </cell>
        </row>
        <row r="33">
          <cell r="A33" t="str">
            <v>J1ZAFJB00212380</v>
          </cell>
          <cell r="J33" t="str">
            <v>-</v>
          </cell>
          <cell r="K33">
            <v>-2</v>
          </cell>
          <cell r="L33" t="str">
            <v>+2</v>
          </cell>
          <cell r="P33">
            <v>1</v>
          </cell>
          <cell r="R33" t="str">
            <v>ラベル2枚　長手有　鉢巻１</v>
          </cell>
          <cell r="V33" t="str">
            <v>梱包箱:灯具-1　L1370(隙間埋め)</v>
          </cell>
          <cell r="W33" t="str">
            <v>クラフト紙：1370型</v>
          </cell>
          <cell r="Z33" t="str">
            <v>灯具-1　L=1370</v>
          </cell>
          <cell r="AC33" t="str">
            <v>換算表確認</v>
          </cell>
        </row>
        <row r="34">
          <cell r="A34" t="str">
            <v>J1ZAFJB00212910</v>
          </cell>
          <cell r="J34" t="str">
            <v>-</v>
          </cell>
          <cell r="K34">
            <v>-2</v>
          </cell>
          <cell r="L34" t="str">
            <v>+2</v>
          </cell>
          <cell r="P34">
            <v>1</v>
          </cell>
          <cell r="R34" t="str">
            <v>ラベル2枚　長手有　鉢巻１</v>
          </cell>
          <cell r="V34" t="str">
            <v>梱包箱:灯具-1　L1370(隙間埋め)</v>
          </cell>
          <cell r="W34" t="str">
            <v>クラフト紙：1370型</v>
          </cell>
          <cell r="Z34" t="str">
            <v>灯具-1　L=1370</v>
          </cell>
          <cell r="AC34" t="str">
            <v>換算表確認</v>
          </cell>
        </row>
        <row r="35">
          <cell r="A35" t="str">
            <v>J1ZAFJB00216480</v>
          </cell>
          <cell r="J35" t="str">
            <v>-</v>
          </cell>
          <cell r="K35">
            <v>-2</v>
          </cell>
          <cell r="L35" t="str">
            <v>+2</v>
          </cell>
          <cell r="P35">
            <v>1</v>
          </cell>
          <cell r="R35" t="str">
            <v>ラベル2枚　長手有　鉢巻１</v>
          </cell>
          <cell r="V35" t="str">
            <v>梱包箱:灯具-2　L1996(切詰)</v>
          </cell>
          <cell r="W35" t="str">
            <v>クラフト紙：1648型</v>
          </cell>
          <cell r="Z35" t="str">
            <v>灯具-1　L=1370</v>
          </cell>
          <cell r="AC35" t="str">
            <v>換算表確認</v>
          </cell>
        </row>
        <row r="36">
          <cell r="A36" t="str">
            <v>J1ZAFJB00209540</v>
          </cell>
          <cell r="J36" t="str">
            <v>-</v>
          </cell>
          <cell r="K36">
            <v>-2</v>
          </cell>
          <cell r="L36" t="str">
            <v>+2</v>
          </cell>
          <cell r="P36">
            <v>1</v>
          </cell>
          <cell r="R36" t="str">
            <v>ラベル2枚　長手有　鉢巻１</v>
          </cell>
          <cell r="V36" t="str">
            <v>梱包箱:灯具-3　L970</v>
          </cell>
          <cell r="W36" t="str">
            <v>クラフト紙：970型</v>
          </cell>
          <cell r="Z36" t="str">
            <v>灯具-3　L=970</v>
          </cell>
          <cell r="AC36" t="str">
            <v>換算表確認</v>
          </cell>
        </row>
        <row r="37">
          <cell r="A37" t="str">
            <v>J1ZAFJB00113340</v>
          </cell>
          <cell r="J37" t="str">
            <v>〇</v>
          </cell>
          <cell r="K37">
            <v>-2</v>
          </cell>
          <cell r="L37" t="str">
            <v>+2</v>
          </cell>
          <cell r="P37">
            <v>1</v>
          </cell>
          <cell r="R37" t="str">
            <v>ラベル2枚　長手有　鉢巻１</v>
          </cell>
          <cell r="V37" t="str">
            <v>梱包箱:薄型1334</v>
          </cell>
          <cell r="W37" t="str">
            <v>クラフト紙：1370型</v>
          </cell>
          <cell r="Z37" t="str">
            <v>H型ジョイナー</v>
          </cell>
          <cell r="AC37" t="str">
            <v>換算表確認</v>
          </cell>
        </row>
        <row r="38">
          <cell r="A38" t="str">
            <v>J1ZAFJB00113095</v>
          </cell>
          <cell r="J38" t="str">
            <v>〇</v>
          </cell>
          <cell r="K38">
            <v>-2</v>
          </cell>
          <cell r="L38" t="str">
            <v>+2</v>
          </cell>
          <cell r="P38">
            <v>1</v>
          </cell>
          <cell r="R38" t="str">
            <v>ラベル2枚　長手有　鉢巻１</v>
          </cell>
          <cell r="V38" t="str">
            <v>梱包箱:薄型1334</v>
          </cell>
          <cell r="W38" t="str">
            <v>クラフト紙：1370型</v>
          </cell>
          <cell r="Z38" t="str">
            <v>H型ジョイナー</v>
          </cell>
          <cell r="AC38" t="str">
            <v>換算表確認</v>
          </cell>
        </row>
        <row r="39">
          <cell r="A39" t="str">
            <v>J1ZAFJB00112790</v>
          </cell>
          <cell r="J39" t="str">
            <v>〇</v>
          </cell>
          <cell r="K39">
            <v>-2</v>
          </cell>
          <cell r="L39" t="str">
            <v>+2</v>
          </cell>
          <cell r="P39">
            <v>1</v>
          </cell>
          <cell r="R39" t="str">
            <v>ラベル2枚　長手有　鉢巻１</v>
          </cell>
          <cell r="V39" t="str">
            <v>梱包箱:薄型1334</v>
          </cell>
          <cell r="W39" t="str">
            <v>クラフト紙：1370型</v>
          </cell>
          <cell r="Z39" t="str">
            <v>H型ジョイナー</v>
          </cell>
          <cell r="AC39" t="str">
            <v>換算表確認</v>
          </cell>
        </row>
        <row r="40">
          <cell r="A40" t="str">
            <v>J1ZAFJB00112400</v>
          </cell>
          <cell r="J40" t="str">
            <v>〇</v>
          </cell>
          <cell r="K40">
            <v>-2</v>
          </cell>
          <cell r="L40" t="str">
            <v>+2</v>
          </cell>
          <cell r="P40">
            <v>1</v>
          </cell>
          <cell r="R40" t="str">
            <v>ラベル2枚　長手有　鉢巻１</v>
          </cell>
          <cell r="V40" t="str">
            <v>梱包箱:薄型1334</v>
          </cell>
          <cell r="W40" t="str">
            <v>クラフト紙：1370型</v>
          </cell>
          <cell r="Z40" t="str">
            <v>H型ジョイナー</v>
          </cell>
          <cell r="AC40" t="str">
            <v>換算表確認</v>
          </cell>
        </row>
        <row r="41">
          <cell r="A41" t="str">
            <v>J1ZAFJB00106133</v>
          </cell>
          <cell r="J41" t="str">
            <v>〇</v>
          </cell>
          <cell r="K41">
            <v>-2</v>
          </cell>
          <cell r="L41" t="str">
            <v>+2</v>
          </cell>
          <cell r="P41">
            <v>2</v>
          </cell>
          <cell r="R41" t="str">
            <v>ラベル２枚　長手有　鉢巻無</v>
          </cell>
          <cell r="V41" t="str">
            <v>梱包箱:薄型1334　1/2</v>
          </cell>
          <cell r="W41" t="str">
            <v>クラフト紙：1370型　1/2</v>
          </cell>
          <cell r="Z41" t="str">
            <v>H型ジョイナー端材</v>
          </cell>
          <cell r="AC41" t="str">
            <v>換算表確認</v>
          </cell>
        </row>
        <row r="42">
          <cell r="A42" t="str">
            <v>J1ZAFJB00105650</v>
          </cell>
          <cell r="J42" t="str">
            <v>〇</v>
          </cell>
          <cell r="K42">
            <v>-2</v>
          </cell>
          <cell r="L42" t="str">
            <v>+2</v>
          </cell>
          <cell r="P42">
            <v>2</v>
          </cell>
          <cell r="R42" t="str">
            <v>ラベル２枚　長手有　鉢巻無</v>
          </cell>
          <cell r="V42" t="str">
            <v>梱包箱:薄型1334　1/2</v>
          </cell>
          <cell r="W42" t="str">
            <v>クラフト紙：1370型　1/2</v>
          </cell>
          <cell r="Z42" t="str">
            <v>H型ジョイナー端材</v>
          </cell>
          <cell r="AC42" t="str">
            <v>換算表確認</v>
          </cell>
        </row>
        <row r="43">
          <cell r="A43" t="str">
            <v>J1ZAFJB00102218</v>
          </cell>
          <cell r="J43" t="str">
            <v>〇</v>
          </cell>
          <cell r="K43">
            <v>-2</v>
          </cell>
          <cell r="L43" t="str">
            <v>+2</v>
          </cell>
          <cell r="P43">
            <v>2</v>
          </cell>
          <cell r="R43" t="str">
            <v>ラベル２枚　長手有　鉢巻無</v>
          </cell>
          <cell r="V43" t="str">
            <v>梱包箱:薄型1334　1/4</v>
          </cell>
          <cell r="W43" t="str">
            <v>クラフト紙：1996型　1/8</v>
          </cell>
          <cell r="Z43" t="str">
            <v>H型ジョイナー端材</v>
          </cell>
          <cell r="AC43" t="str">
            <v>換算表確認</v>
          </cell>
        </row>
        <row r="44">
          <cell r="A44" t="str">
            <v>zz002</v>
          </cell>
          <cell r="J44" t="str">
            <v>〇</v>
          </cell>
          <cell r="K44">
            <v>-2</v>
          </cell>
          <cell r="L44" t="str">
            <v>+2</v>
          </cell>
          <cell r="P44">
            <v>1</v>
          </cell>
          <cell r="R44" t="str">
            <v>ラベル２枚　長手有　鉢巻無</v>
          </cell>
          <cell r="V44" t="str">
            <v>梱包箱:薄型1334　1/2</v>
          </cell>
          <cell r="W44" t="str">
            <v>クラフト紙：1370型　1/2</v>
          </cell>
          <cell r="Z44" t="str">
            <v>H型ジョイナー</v>
          </cell>
          <cell r="AC44" t="str">
            <v>換算表確認</v>
          </cell>
        </row>
        <row r="45">
          <cell r="A45" t="str">
            <v>zz001</v>
          </cell>
          <cell r="J45" t="str">
            <v>〇</v>
          </cell>
          <cell r="K45">
            <v>-2</v>
          </cell>
          <cell r="L45" t="str">
            <v>+2</v>
          </cell>
          <cell r="P45">
            <v>1</v>
          </cell>
          <cell r="R45" t="str">
            <v>ラベル２枚　長手有　鉢巻無</v>
          </cell>
          <cell r="V45" t="str">
            <v>梱包箱:薄型1334　1/2</v>
          </cell>
          <cell r="W45" t="str">
            <v>クラフト紙：1370型　1/2</v>
          </cell>
          <cell r="Z45" t="str">
            <v>H型ジョイナー</v>
          </cell>
          <cell r="AC45" t="str">
            <v>換算表確認</v>
          </cell>
        </row>
        <row r="46">
          <cell r="A46" t="str">
            <v>J1JAPAB00319960</v>
          </cell>
          <cell r="J46" t="str">
            <v>〇</v>
          </cell>
          <cell r="K46" t="str">
            <v>-1</v>
          </cell>
          <cell r="L46" t="str">
            <v>+1</v>
          </cell>
          <cell r="P46">
            <v>1</v>
          </cell>
          <cell r="R46" t="str">
            <v>ラベル１枚　長手無　鉢巻２回</v>
          </cell>
          <cell r="W46" t="str">
            <v>クラフト紙：1996型</v>
          </cell>
          <cell r="Z46" t="str">
            <v>上-1</v>
          </cell>
          <cell r="AC46" t="str">
            <v>換算表確認</v>
          </cell>
        </row>
        <row r="47">
          <cell r="A47" t="str">
            <v>J1JAPAB00419960</v>
          </cell>
          <cell r="J47" t="str">
            <v>〇</v>
          </cell>
          <cell r="K47" t="str">
            <v>-1</v>
          </cell>
          <cell r="L47" t="str">
            <v>+1</v>
          </cell>
          <cell r="P47">
            <v>1</v>
          </cell>
          <cell r="R47" t="str">
            <v>ラベル１枚　長手無　鉢巻２回</v>
          </cell>
          <cell r="W47" t="str">
            <v>クラフト紙：1996型</v>
          </cell>
          <cell r="Z47" t="str">
            <v>上-1</v>
          </cell>
          <cell r="AC47" t="str">
            <v>換算表確認</v>
          </cell>
        </row>
        <row r="48">
          <cell r="A48" t="str">
            <v>J1AKZYB00205000</v>
          </cell>
          <cell r="J48" t="str">
            <v>〇</v>
          </cell>
          <cell r="K48">
            <v>-1</v>
          </cell>
          <cell r="L48" t="str">
            <v>+1</v>
          </cell>
          <cell r="P48">
            <v>3</v>
          </cell>
          <cell r="R48" t="str">
            <v>ラベル2枚　長手 中央部分のみ貼付</v>
          </cell>
          <cell r="V48" t="str">
            <v>11×２束+12✕1束＝34本</v>
          </cell>
          <cell r="W48" t="str">
            <v>両端5cm以上ラップ</v>
          </cell>
          <cell r="Z48" t="str">
            <v>PK-59827 L=500用</v>
          </cell>
          <cell r="AC48" t="str">
            <v>換算表確認</v>
          </cell>
        </row>
        <row r="49">
          <cell r="A49" t="str">
            <v>J1AKZYB00107000</v>
          </cell>
          <cell r="J49" t="str">
            <v>〇</v>
          </cell>
          <cell r="K49">
            <v>-1</v>
          </cell>
          <cell r="L49" t="str">
            <v>+1</v>
          </cell>
          <cell r="P49">
            <v>2</v>
          </cell>
          <cell r="R49" t="str">
            <v>ラベル2枚　長手 中央部分のみ貼付</v>
          </cell>
          <cell r="V49" t="str">
            <v>11×２束+12✕1束＝34本</v>
          </cell>
          <cell r="W49" t="str">
            <v>両端5cm以上ラップ</v>
          </cell>
          <cell r="Z49" t="str">
            <v>PK-59827 L=700用</v>
          </cell>
          <cell r="AC49" t="str">
            <v>換算表確認</v>
          </cell>
        </row>
        <row r="50">
          <cell r="A50" t="str">
            <v>J1EAZZB03102750</v>
          </cell>
          <cell r="J50" t="str">
            <v>-</v>
          </cell>
          <cell r="K50">
            <v>-0.5</v>
          </cell>
          <cell r="L50" t="str">
            <v>+1.5</v>
          </cell>
          <cell r="P50">
            <v>5</v>
          </cell>
          <cell r="R50" t="str">
            <v>ラベル２枚　長手有　鉢無</v>
          </cell>
          <cell r="Z50" t="str">
            <v>S-11</v>
          </cell>
          <cell r="AC50">
            <v>276</v>
          </cell>
        </row>
        <row r="51">
          <cell r="A51" t="str">
            <v>J1AAEDB00825740</v>
          </cell>
          <cell r="J51" t="str">
            <v>-</v>
          </cell>
          <cell r="K51">
            <v>-0.5</v>
          </cell>
          <cell r="L51" t="str">
            <v>+1.5</v>
          </cell>
          <cell r="P51">
            <v>1</v>
          </cell>
          <cell r="R51" t="str">
            <v>ラベル２枚　長手有　鉢巻２</v>
          </cell>
          <cell r="V51" t="str">
            <v>寸法Wチェック</v>
          </cell>
          <cell r="W51" t="str">
            <v>専用スケール使用</v>
          </cell>
          <cell r="AC51">
            <v>2575</v>
          </cell>
        </row>
        <row r="52">
          <cell r="A52" t="str">
            <v>J1AAEDB02825740</v>
          </cell>
          <cell r="J52" t="str">
            <v>-</v>
          </cell>
          <cell r="K52">
            <v>-0.5</v>
          </cell>
          <cell r="L52" t="str">
            <v>+1.5</v>
          </cell>
          <cell r="P52">
            <v>1</v>
          </cell>
          <cell r="R52" t="str">
            <v>ラベル２枚　長手有　鉢巻２</v>
          </cell>
          <cell r="V52" t="str">
            <v>寸法Wチェック</v>
          </cell>
          <cell r="W52" t="str">
            <v>専用スケール使用</v>
          </cell>
          <cell r="AC52">
            <v>2575</v>
          </cell>
        </row>
        <row r="53">
          <cell r="A53" t="str">
            <v>J1AAEDB00816080</v>
          </cell>
          <cell r="K53">
            <v>-0.5</v>
          </cell>
          <cell r="L53" t="str">
            <v>+1.5</v>
          </cell>
          <cell r="P53">
            <v>1</v>
          </cell>
          <cell r="R53" t="str">
            <v>ラベル２枚　長手有　鉢巻無</v>
          </cell>
          <cell r="V53" t="str">
            <v>寸法Wチェック</v>
          </cell>
          <cell r="Z53" t="str">
            <v>基材梱包箱</v>
          </cell>
          <cell r="AC53" t="str">
            <v>換算表確認</v>
          </cell>
        </row>
        <row r="54">
          <cell r="A54" t="str">
            <v>J1AAEDB00816620</v>
          </cell>
          <cell r="K54">
            <v>-0.5</v>
          </cell>
          <cell r="L54" t="str">
            <v>+1.5</v>
          </cell>
          <cell r="P54">
            <v>1</v>
          </cell>
          <cell r="R54" t="str">
            <v>ラベル２枚　長手有　鉢巻無</v>
          </cell>
          <cell r="V54" t="str">
            <v>寸法Wチェック</v>
          </cell>
          <cell r="Z54" t="str">
            <v>基材梱包箱</v>
          </cell>
          <cell r="AC54" t="str">
            <v>換算表確認</v>
          </cell>
        </row>
        <row r="55">
          <cell r="A55" t="str">
            <v>J1AAEDB02816080</v>
          </cell>
          <cell r="K55">
            <v>-0.5</v>
          </cell>
          <cell r="L55" t="str">
            <v>+1.5</v>
          </cell>
          <cell r="P55">
            <v>1</v>
          </cell>
          <cell r="R55" t="str">
            <v>ラベル2枚　長手有　鉢巻１</v>
          </cell>
          <cell r="V55" t="str">
            <v>寸法Wチェック</v>
          </cell>
          <cell r="Z55" t="str">
            <v>基材梱包箱</v>
          </cell>
          <cell r="AC55" t="str">
            <v>換算表確認</v>
          </cell>
        </row>
        <row r="56">
          <cell r="A56" t="str">
            <v>J1AAEDB02816620</v>
          </cell>
          <cell r="K56">
            <v>-0.5</v>
          </cell>
          <cell r="L56" t="str">
            <v>+1.5</v>
          </cell>
          <cell r="P56">
            <v>1</v>
          </cell>
          <cell r="R56" t="str">
            <v>ラベル2枚　長手有　鉢巻１</v>
          </cell>
          <cell r="V56" t="str">
            <v>寸法Wチェック</v>
          </cell>
          <cell r="Z56" t="str">
            <v>基材梱包箱</v>
          </cell>
          <cell r="AC56" t="str">
            <v>換算表確認</v>
          </cell>
        </row>
        <row r="57">
          <cell r="A57" t="str">
            <v>J1AAEDB01716040</v>
          </cell>
          <cell r="K57">
            <v>-0.5</v>
          </cell>
          <cell r="L57" t="str">
            <v>+1.5</v>
          </cell>
          <cell r="P57">
            <v>1</v>
          </cell>
          <cell r="R57" t="str">
            <v>ラベル2枚　長手有　鉢巻１</v>
          </cell>
          <cell r="V57" t="str">
            <v>寸法Wチェック</v>
          </cell>
          <cell r="Z57" t="str">
            <v>基材梱包箱</v>
          </cell>
          <cell r="AC57" t="str">
            <v>換算表確認</v>
          </cell>
        </row>
        <row r="58">
          <cell r="A58" t="str">
            <v>J1AAEDB01716580</v>
          </cell>
          <cell r="K58">
            <v>-0.5</v>
          </cell>
          <cell r="L58" t="str">
            <v>+1.5</v>
          </cell>
          <cell r="P58">
            <v>1</v>
          </cell>
          <cell r="R58" t="str">
            <v>ラベル2枚　長手有　鉢巻１</v>
          </cell>
          <cell r="V58" t="str">
            <v>寸法Wチェック</v>
          </cell>
          <cell r="Z58" t="str">
            <v>基材梱包箱</v>
          </cell>
          <cell r="AC58" t="str">
            <v>換算表確認</v>
          </cell>
        </row>
        <row r="59">
          <cell r="A59" t="str">
            <v>J1AAEDB02516040</v>
          </cell>
          <cell r="K59">
            <v>-0.5</v>
          </cell>
          <cell r="L59" t="str">
            <v>+1.5</v>
          </cell>
          <cell r="P59">
            <v>1</v>
          </cell>
          <cell r="R59" t="str">
            <v>ラベル2枚　長手有　鉢巻１</v>
          </cell>
          <cell r="V59" t="str">
            <v>寸法Wチェック</v>
          </cell>
          <cell r="Z59" t="str">
            <v>基材梱包箱</v>
          </cell>
          <cell r="AC59" t="str">
            <v>換算表確認</v>
          </cell>
        </row>
        <row r="60">
          <cell r="A60" t="str">
            <v>J1AAEDB02516580</v>
          </cell>
          <cell r="K60">
            <v>-0.5</v>
          </cell>
          <cell r="L60" t="str">
            <v>+1.5</v>
          </cell>
          <cell r="P60">
            <v>1</v>
          </cell>
          <cell r="R60" t="str">
            <v>ラベル2枚　長手有　鉢巻１</v>
          </cell>
          <cell r="V60" t="str">
            <v>寸法Wチェック</v>
          </cell>
          <cell r="Z60" t="str">
            <v>基材梱包箱</v>
          </cell>
          <cell r="AC60" t="str">
            <v>換算表確認</v>
          </cell>
        </row>
        <row r="61">
          <cell r="A61" t="str">
            <v>J1AAEZB00705860</v>
          </cell>
          <cell r="K61">
            <v>-1</v>
          </cell>
          <cell r="L61">
            <v>0</v>
          </cell>
          <cell r="P61">
            <v>2</v>
          </cell>
          <cell r="R61" t="str">
            <v>ラベル２枚　長手有　鉢巻無</v>
          </cell>
          <cell r="W61" t="str">
            <v>※使用基材、取数は依頼書にて確認</v>
          </cell>
        </row>
        <row r="62">
          <cell r="A62" t="str">
            <v>J1AAEZB00708860</v>
          </cell>
          <cell r="K62">
            <v>-1</v>
          </cell>
          <cell r="L62">
            <v>0</v>
          </cell>
          <cell r="P62">
            <v>2</v>
          </cell>
          <cell r="R62" t="str">
            <v>ラベル２枚　長手有　鉢巻無</v>
          </cell>
          <cell r="W62" t="str">
            <v>※使用基材、取数は依頼書にて確認</v>
          </cell>
        </row>
        <row r="63">
          <cell r="A63" t="str">
            <v>J1AAEZB00805860</v>
          </cell>
          <cell r="K63">
            <v>-1</v>
          </cell>
          <cell r="L63">
            <v>0</v>
          </cell>
          <cell r="P63">
            <v>2</v>
          </cell>
          <cell r="R63" t="str">
            <v>ラベル２枚　長手有　鉢巻無</v>
          </cell>
          <cell r="W63" t="str">
            <v>※使用基材、取数は依頼書にて確認</v>
          </cell>
        </row>
        <row r="64">
          <cell r="A64" t="str">
            <v>J1AAEZB00808860</v>
          </cell>
          <cell r="K64">
            <v>-1</v>
          </cell>
          <cell r="L64">
            <v>0</v>
          </cell>
          <cell r="P64">
            <v>2</v>
          </cell>
          <cell r="R64" t="str">
            <v>ラベル２枚　長手有　鉢巻無</v>
          </cell>
          <cell r="W64" t="str">
            <v>※使用基材、取数は依頼書にて確認</v>
          </cell>
        </row>
        <row r="65">
          <cell r="A65" t="str">
            <v>J1DAEZB00203000</v>
          </cell>
          <cell r="K65">
            <v>-1</v>
          </cell>
          <cell r="L65">
            <v>0</v>
          </cell>
          <cell r="P65">
            <v>2</v>
          </cell>
          <cell r="R65" t="str">
            <v>ラベル２枚　長手有　鉢巻無</v>
          </cell>
          <cell r="W65" t="str">
            <v>※使用基材、取数は依頼書にて確認</v>
          </cell>
        </row>
        <row r="66">
          <cell r="A66" t="str">
            <v>J1DAEZB00204980</v>
          </cell>
          <cell r="K66">
            <v>-1</v>
          </cell>
          <cell r="L66">
            <v>0</v>
          </cell>
          <cell r="P66">
            <v>2</v>
          </cell>
          <cell r="R66" t="str">
            <v>ラベル２枚　長手有　鉢巻無</v>
          </cell>
          <cell r="W66" t="str">
            <v>※使用基材、取数は依頼書にて確認</v>
          </cell>
        </row>
        <row r="67">
          <cell r="A67" t="str">
            <v>J1DAEZB00211680</v>
          </cell>
          <cell r="K67">
            <v>-1</v>
          </cell>
          <cell r="L67">
            <v>0</v>
          </cell>
          <cell r="P67">
            <v>2</v>
          </cell>
          <cell r="R67" t="str">
            <v>ラベル２枚　長手有　鉢巻無</v>
          </cell>
          <cell r="W67" t="str">
            <v>※使用基材、取数は依頼書にて確認</v>
          </cell>
        </row>
        <row r="68">
          <cell r="A68" t="str">
            <v>J1EAFZB02008740</v>
          </cell>
          <cell r="J68" t="str">
            <v>〇</v>
          </cell>
          <cell r="K68" t="str">
            <v>-2</v>
          </cell>
          <cell r="L68" t="str">
            <v>0</v>
          </cell>
          <cell r="P68">
            <v>1</v>
          </cell>
          <cell r="R68" t="str">
            <v>ラベル２枚　長手有　鉢巻無</v>
          </cell>
          <cell r="W68" t="str">
            <v>※使用基材、取数は依頼書にて確認</v>
          </cell>
        </row>
        <row r="69">
          <cell r="A69" t="str">
            <v>J1EAFZB02011840</v>
          </cell>
          <cell r="J69" t="str">
            <v>〇</v>
          </cell>
          <cell r="K69" t="str">
            <v>-2</v>
          </cell>
          <cell r="L69" t="str">
            <v>0</v>
          </cell>
          <cell r="P69">
            <v>1</v>
          </cell>
          <cell r="R69" t="str">
            <v>ラベル２枚　長手有　鉢巻無</v>
          </cell>
          <cell r="W69" t="str">
            <v>※使用基材、取数は依頼書にて確認</v>
          </cell>
        </row>
        <row r="70">
          <cell r="A70" t="str">
            <v>J1EAFZB02014940</v>
          </cell>
          <cell r="J70" t="str">
            <v>〇</v>
          </cell>
          <cell r="K70" t="str">
            <v>-2</v>
          </cell>
          <cell r="L70" t="str">
            <v>0</v>
          </cell>
          <cell r="P70">
            <v>1</v>
          </cell>
          <cell r="R70" t="str">
            <v>ラベル２枚　長手有　鉢巻無</v>
          </cell>
          <cell r="W70" t="str">
            <v>※使用基材、取数は依頼書にて確認</v>
          </cell>
        </row>
        <row r="71">
          <cell r="A71" t="str">
            <v>J1AAEDB01725700</v>
          </cell>
          <cell r="J71" t="str">
            <v>-</v>
          </cell>
          <cell r="K71">
            <v>-0.5</v>
          </cell>
          <cell r="L71" t="str">
            <v>+1.5</v>
          </cell>
          <cell r="P71">
            <v>1</v>
          </cell>
          <cell r="R71" t="str">
            <v>ラベル２枚　長手有　鉢巻２</v>
          </cell>
          <cell r="V71" t="str">
            <v>寸法Wチェック</v>
          </cell>
          <cell r="W71" t="str">
            <v>専用スケール使用</v>
          </cell>
          <cell r="Z71" t="str">
            <v>基材梱包箱</v>
          </cell>
          <cell r="AC71">
            <v>2571</v>
          </cell>
        </row>
        <row r="72">
          <cell r="A72" t="str">
            <v>J1AAEDB02525700</v>
          </cell>
          <cell r="J72" t="str">
            <v>-</v>
          </cell>
          <cell r="K72">
            <v>-0.5</v>
          </cell>
          <cell r="L72" t="str">
            <v>+1.5</v>
          </cell>
          <cell r="P72">
            <v>1</v>
          </cell>
          <cell r="R72" t="str">
            <v>ラベル２枚　長手有　鉢巻２</v>
          </cell>
          <cell r="V72" t="str">
            <v>寸法Wチェック</v>
          </cell>
          <cell r="W72" t="str">
            <v>専用スケール使用</v>
          </cell>
          <cell r="Z72" t="str">
            <v>基材梱包箱</v>
          </cell>
          <cell r="AC72">
            <v>2571</v>
          </cell>
        </row>
        <row r="73">
          <cell r="A73" t="str">
            <v>J1DAFZB00105500</v>
          </cell>
          <cell r="J73" t="str">
            <v>〇</v>
          </cell>
          <cell r="K73">
            <v>-1</v>
          </cell>
          <cell r="L73" t="str">
            <v>+1</v>
          </cell>
          <cell r="P73">
            <v>3</v>
          </cell>
          <cell r="R73" t="str">
            <v>ラベル２枚　長手有　鉢巻無</v>
          </cell>
          <cell r="Z73" t="str">
            <v>基材梱包箱</v>
          </cell>
          <cell r="AC73" t="str">
            <v>換算表確認</v>
          </cell>
        </row>
        <row r="74">
          <cell r="A74" t="str">
            <v>J1DAFZB00105604</v>
          </cell>
          <cell r="J74" t="str">
            <v>〇</v>
          </cell>
          <cell r="K74">
            <v>-1</v>
          </cell>
          <cell r="L74" t="str">
            <v>+1</v>
          </cell>
          <cell r="P74">
            <v>3</v>
          </cell>
          <cell r="R74" t="str">
            <v>ラベル２枚　長手有　鉢巻無</v>
          </cell>
          <cell r="Z74" t="str">
            <v>基材梱包箱</v>
          </cell>
          <cell r="AC74" t="str">
            <v>換算表確認</v>
          </cell>
        </row>
        <row r="75">
          <cell r="A75" t="str">
            <v>J1DAFZB00108200</v>
          </cell>
          <cell r="J75" t="str">
            <v>〇</v>
          </cell>
          <cell r="K75">
            <v>-1</v>
          </cell>
          <cell r="L75" t="str">
            <v>+1</v>
          </cell>
          <cell r="P75">
            <v>2</v>
          </cell>
          <cell r="R75" t="str">
            <v>ラベル２枚　長手有　鉢巻無</v>
          </cell>
          <cell r="Z75" t="str">
            <v>基材梱包箱</v>
          </cell>
          <cell r="AC75" t="str">
            <v>換算表確認</v>
          </cell>
        </row>
        <row r="76">
          <cell r="A76" t="str">
            <v>J1DAFZB00108304</v>
          </cell>
          <cell r="J76" t="str">
            <v>〇</v>
          </cell>
          <cell r="K76">
            <v>-1</v>
          </cell>
          <cell r="L76" t="str">
            <v>+1</v>
          </cell>
          <cell r="P76">
            <v>2</v>
          </cell>
          <cell r="R76" t="str">
            <v>ラベル２枚　長手有　鉢巻無</v>
          </cell>
          <cell r="Z76" t="str">
            <v>基材梱包箱</v>
          </cell>
          <cell r="AC76" t="str">
            <v>換算表確認</v>
          </cell>
        </row>
        <row r="77">
          <cell r="A77" t="str">
            <v>J1ECZZB00110180</v>
          </cell>
          <cell r="J77" t="str">
            <v>-</v>
          </cell>
          <cell r="K77">
            <v>-3</v>
          </cell>
          <cell r="L77">
            <v>0</v>
          </cell>
          <cell r="P77">
            <v>1</v>
          </cell>
          <cell r="R77" t="str">
            <v>ラベル2枚　長手有　鉢巻１</v>
          </cell>
          <cell r="W77" t="str">
            <v>※使用基材、取数は依頼書にて確認</v>
          </cell>
          <cell r="Z77" t="str">
            <v>T-60</v>
          </cell>
          <cell r="AC77">
            <v>1017</v>
          </cell>
        </row>
        <row r="78">
          <cell r="A78" t="str">
            <v>J1ECZZB00105300</v>
          </cell>
          <cell r="J78" t="str">
            <v>-</v>
          </cell>
          <cell r="K78">
            <v>-3</v>
          </cell>
          <cell r="L78">
            <v>0</v>
          </cell>
          <cell r="P78" t="str">
            <v>依頼書確認</v>
          </cell>
          <cell r="R78" t="str">
            <v>ラベル２枚　長手有　鉢巻無</v>
          </cell>
          <cell r="W78" t="str">
            <v>※使用基材、取数は依頼書にて確認</v>
          </cell>
          <cell r="Z78" t="str">
            <v>S-30</v>
          </cell>
          <cell r="AC78">
            <v>529</v>
          </cell>
        </row>
        <row r="79">
          <cell r="A79" t="str">
            <v>J1ECZZB00106000</v>
          </cell>
          <cell r="J79" t="str">
            <v>-</v>
          </cell>
          <cell r="K79">
            <v>-3</v>
          </cell>
          <cell r="L79">
            <v>0</v>
          </cell>
          <cell r="P79" t="str">
            <v>依頼書確認</v>
          </cell>
          <cell r="R79" t="str">
            <v>ラベル２枚　長手有　鉢巻無</v>
          </cell>
          <cell r="W79" t="str">
            <v>※使用基材、取数は依頼書にて確認</v>
          </cell>
          <cell r="Z79" t="str">
            <v>S-40</v>
          </cell>
          <cell r="AC79">
            <v>599</v>
          </cell>
        </row>
        <row r="80">
          <cell r="A80" t="str">
            <v>J1ECZZB00105200</v>
          </cell>
          <cell r="J80" t="str">
            <v>-</v>
          </cell>
          <cell r="K80">
            <v>-3</v>
          </cell>
          <cell r="L80">
            <v>0</v>
          </cell>
          <cell r="P80" t="str">
            <v>依頼書確認</v>
          </cell>
          <cell r="R80" t="str">
            <v>ラベル２枚　長手有　鉢巻無</v>
          </cell>
          <cell r="W80" t="str">
            <v>※使用基材、取数は依頼書にて確認</v>
          </cell>
          <cell r="Z80" t="str">
            <v>S-30</v>
          </cell>
          <cell r="AC80">
            <v>519</v>
          </cell>
        </row>
        <row r="81">
          <cell r="A81" t="str">
            <v>J1ECZZB00106900</v>
          </cell>
          <cell r="J81" t="str">
            <v>-</v>
          </cell>
          <cell r="K81">
            <v>-3</v>
          </cell>
          <cell r="L81">
            <v>0</v>
          </cell>
          <cell r="P81" t="str">
            <v>依頼書確認</v>
          </cell>
          <cell r="R81" t="str">
            <v>ラベル２枚　長手有　鉢巻無</v>
          </cell>
          <cell r="W81" t="str">
            <v>※使用基材、取数は依頼書にて確認</v>
          </cell>
          <cell r="Z81" t="str">
            <v>S-40</v>
          </cell>
          <cell r="AC81">
            <v>689</v>
          </cell>
        </row>
        <row r="82">
          <cell r="A82" t="str">
            <v>J1ECZZB00104200</v>
          </cell>
          <cell r="J82" t="str">
            <v>-</v>
          </cell>
          <cell r="K82">
            <v>-3</v>
          </cell>
          <cell r="L82">
            <v>0</v>
          </cell>
          <cell r="P82" t="str">
            <v>依頼書確認</v>
          </cell>
          <cell r="R82" t="str">
            <v>ラベル２枚　長手有　鉢巻無</v>
          </cell>
          <cell r="W82" t="str">
            <v>※使用基材、取数は依頼書にて確認</v>
          </cell>
          <cell r="Z82" t="str">
            <v>S-30</v>
          </cell>
          <cell r="AC82">
            <v>418.5</v>
          </cell>
        </row>
        <row r="83">
          <cell r="A83" t="str">
            <v>J1ECZZB00105900</v>
          </cell>
          <cell r="J83" t="str">
            <v>-</v>
          </cell>
          <cell r="K83">
            <v>-3</v>
          </cell>
          <cell r="L83">
            <v>0</v>
          </cell>
          <cell r="P83" t="str">
            <v>依頼書確認</v>
          </cell>
          <cell r="R83" t="str">
            <v>ラベル２枚　長手有　鉢巻無</v>
          </cell>
          <cell r="W83" t="str">
            <v>※使用基材、取数は依頼書にて確認</v>
          </cell>
          <cell r="Z83" t="str">
            <v>S-30</v>
          </cell>
          <cell r="AC83">
            <v>589</v>
          </cell>
        </row>
        <row r="84">
          <cell r="A84" t="str">
            <v>J1ECZZB00107600</v>
          </cell>
          <cell r="J84" t="str">
            <v>-</v>
          </cell>
          <cell r="K84">
            <v>-3</v>
          </cell>
          <cell r="L84">
            <v>0</v>
          </cell>
          <cell r="P84" t="str">
            <v>依頼書確認</v>
          </cell>
          <cell r="R84" t="str">
            <v>ラベル２枚　長手有　鉢巻無</v>
          </cell>
          <cell r="W84" t="str">
            <v>※使用基材、取数は依頼書にて確認</v>
          </cell>
          <cell r="Z84" t="str">
            <v>S-40</v>
          </cell>
          <cell r="AC84">
            <v>759</v>
          </cell>
        </row>
        <row r="85">
          <cell r="A85" t="str">
            <v>J1AAFAB01107305</v>
          </cell>
          <cell r="J85" t="str">
            <v>-</v>
          </cell>
          <cell r="K85">
            <v>-1</v>
          </cell>
          <cell r="L85">
            <v>0</v>
          </cell>
          <cell r="P85">
            <v>2</v>
          </cell>
          <cell r="R85" t="str">
            <v>ラベル２枚　長手有　鉢巻無</v>
          </cell>
          <cell r="W85" t="str">
            <v>※使用基材、取数は依頼書にて確認</v>
          </cell>
          <cell r="Z85" t="str">
            <v>S-40</v>
          </cell>
          <cell r="AC85">
            <v>730</v>
          </cell>
        </row>
        <row r="86">
          <cell r="A86" t="str">
            <v>J1AAFAB01107455</v>
          </cell>
          <cell r="J86" t="str">
            <v>-</v>
          </cell>
          <cell r="K86">
            <v>-1</v>
          </cell>
          <cell r="L86">
            <v>0</v>
          </cell>
          <cell r="P86">
            <v>2</v>
          </cell>
          <cell r="R86" t="str">
            <v>ラベル２枚　長手有　鉢巻無</v>
          </cell>
          <cell r="W86" t="str">
            <v>※使用基材、取数は依頼書にて確認</v>
          </cell>
          <cell r="Z86" t="str">
            <v>S-40</v>
          </cell>
          <cell r="AC86">
            <v>745</v>
          </cell>
        </row>
        <row r="87">
          <cell r="A87" t="str">
            <v>J1AAFAB01207305</v>
          </cell>
          <cell r="J87" t="str">
            <v>-</v>
          </cell>
          <cell r="K87">
            <v>-1</v>
          </cell>
          <cell r="L87">
            <v>0</v>
          </cell>
          <cell r="P87">
            <v>2</v>
          </cell>
          <cell r="R87" t="str">
            <v>ラベル２枚　長手有　鉢巻無</v>
          </cell>
          <cell r="W87" t="str">
            <v>※使用基材、取数は依頼書にて確認</v>
          </cell>
          <cell r="Z87" t="str">
            <v>S-40</v>
          </cell>
          <cell r="AC87">
            <v>730</v>
          </cell>
        </row>
        <row r="88">
          <cell r="A88" t="str">
            <v>J1AAFAB01207455</v>
          </cell>
          <cell r="J88" t="str">
            <v>-</v>
          </cell>
          <cell r="K88">
            <v>-1</v>
          </cell>
          <cell r="L88">
            <v>0</v>
          </cell>
          <cell r="P88">
            <v>2</v>
          </cell>
          <cell r="R88" t="str">
            <v>ラベル２枚　長手有　鉢巻無</v>
          </cell>
          <cell r="W88" t="str">
            <v>※使用基材、取数は依頼書にて確認</v>
          </cell>
          <cell r="Z88" t="str">
            <v>S-40</v>
          </cell>
          <cell r="AC88">
            <v>745</v>
          </cell>
        </row>
        <row r="89">
          <cell r="A89" t="str">
            <v>J1AAFAB02204090</v>
          </cell>
          <cell r="J89" t="str">
            <v>-</v>
          </cell>
          <cell r="K89" t="str">
            <v>-0.5</v>
          </cell>
          <cell r="L89" t="str">
            <v>+0.5</v>
          </cell>
          <cell r="P89">
            <v>4</v>
          </cell>
          <cell r="R89" t="str">
            <v>ラベル２枚　長手有　鉢巻無</v>
          </cell>
          <cell r="W89" t="str">
            <v>※使用基材、取数は依頼書にて確認</v>
          </cell>
          <cell r="AC89">
            <v>409</v>
          </cell>
        </row>
        <row r="90">
          <cell r="A90" t="str">
            <v>J1AAFAB02205005</v>
          </cell>
          <cell r="J90" t="str">
            <v>-</v>
          </cell>
          <cell r="K90" t="str">
            <v>-0.5</v>
          </cell>
          <cell r="L90" t="str">
            <v>+0.5</v>
          </cell>
          <cell r="P90">
            <v>3</v>
          </cell>
          <cell r="R90" t="str">
            <v>ラベル２枚　長手有　鉢巻無</v>
          </cell>
          <cell r="W90" t="str">
            <v>※使用基材、取数は依頼書にて確認</v>
          </cell>
          <cell r="AC90">
            <v>500.5</v>
          </cell>
        </row>
        <row r="91">
          <cell r="A91" t="str">
            <v>J1AAFAB02304090</v>
          </cell>
          <cell r="J91" t="str">
            <v>-</v>
          </cell>
          <cell r="K91" t="str">
            <v>-0.5</v>
          </cell>
          <cell r="L91" t="str">
            <v>+0.5</v>
          </cell>
          <cell r="P91">
            <v>3</v>
          </cell>
          <cell r="R91" t="str">
            <v>ラベル２枚　長手有　鉢巻無</v>
          </cell>
          <cell r="W91" t="str">
            <v>※使用基材、取数は依頼書にて確認</v>
          </cell>
          <cell r="AC91">
            <v>409</v>
          </cell>
        </row>
        <row r="92">
          <cell r="A92" t="str">
            <v>J1AAFAB02305005</v>
          </cell>
          <cell r="J92" t="str">
            <v>-</v>
          </cell>
          <cell r="K92" t="str">
            <v>-0.5</v>
          </cell>
          <cell r="L92" t="str">
            <v>+0.5</v>
          </cell>
          <cell r="P92">
            <v>3</v>
          </cell>
          <cell r="R92" t="str">
            <v>ラベル２枚　長手有　鉢巻無</v>
          </cell>
          <cell r="W92" t="str">
            <v>※使用基材、取数は依頼書にて確認</v>
          </cell>
          <cell r="AC92">
            <v>500.5</v>
          </cell>
        </row>
        <row r="93">
          <cell r="A93" t="str">
            <v>J1AAFAB02309000</v>
          </cell>
          <cell r="J93" t="str">
            <v>-</v>
          </cell>
          <cell r="K93" t="str">
            <v>-0.5</v>
          </cell>
          <cell r="L93" t="str">
            <v>+0.5</v>
          </cell>
          <cell r="P93">
            <v>1</v>
          </cell>
          <cell r="R93" t="str">
            <v>ラベル２枚　長手有　鉢巻無</v>
          </cell>
          <cell r="W93" t="str">
            <v>※使用基材、取数は依頼書にて確認</v>
          </cell>
          <cell r="AC93">
            <v>900</v>
          </cell>
        </row>
        <row r="94">
          <cell r="A94" t="str">
            <v>J1AAFAB02306890</v>
          </cell>
          <cell r="J94" t="str">
            <v>-</v>
          </cell>
          <cell r="K94" t="str">
            <v>-0.5</v>
          </cell>
          <cell r="L94" t="str">
            <v>+0.5</v>
          </cell>
          <cell r="P94">
            <v>1</v>
          </cell>
          <cell r="R94" t="str">
            <v>ラベル２枚　長手有　鉢巻無</v>
          </cell>
          <cell r="W94" t="str">
            <v>※使用基材、取数は依頼書にて確認</v>
          </cell>
          <cell r="AC94">
            <v>689</v>
          </cell>
        </row>
        <row r="95">
          <cell r="A95" t="str">
            <v>J1ZFAAB00203360</v>
          </cell>
          <cell r="J95" t="str">
            <v>-</v>
          </cell>
          <cell r="K95">
            <v>-1</v>
          </cell>
          <cell r="L95">
            <v>0</v>
          </cell>
          <cell r="P95">
            <v>5</v>
          </cell>
          <cell r="R95" t="str">
            <v>ラベル２枚　長手有　鉢巻無</v>
          </cell>
          <cell r="W95" t="str">
            <v>※使用基材、取数は依頼書にて確認</v>
          </cell>
          <cell r="AC95">
            <v>335.5</v>
          </cell>
        </row>
        <row r="96">
          <cell r="A96" t="str">
            <v>J1ZFAAB00203860</v>
          </cell>
          <cell r="J96" t="str">
            <v>-</v>
          </cell>
          <cell r="K96">
            <v>-1</v>
          </cell>
          <cell r="L96">
            <v>0</v>
          </cell>
          <cell r="P96">
            <v>5</v>
          </cell>
          <cell r="R96" t="str">
            <v>ラベル２枚　長手有　鉢巻無</v>
          </cell>
          <cell r="W96" t="str">
            <v>※使用基材、取数は依頼書にて確認</v>
          </cell>
          <cell r="AC96">
            <v>385.5</v>
          </cell>
        </row>
        <row r="97">
          <cell r="A97" t="str">
            <v>J1HFHBB01407100</v>
          </cell>
          <cell r="J97" t="str">
            <v>-</v>
          </cell>
          <cell r="K97">
            <v>-1</v>
          </cell>
          <cell r="L97">
            <v>0</v>
          </cell>
          <cell r="P97">
            <v>2</v>
          </cell>
          <cell r="R97" t="str">
            <v>ラベル２枚　長手有　鉢巻無</v>
          </cell>
          <cell r="W97" t="str">
            <v>※使用基材、取数は依頼書にて確認</v>
          </cell>
          <cell r="AC97">
            <v>710.5</v>
          </cell>
        </row>
        <row r="98">
          <cell r="A98" t="str">
            <v>J1HFHBB01603400</v>
          </cell>
          <cell r="J98" t="str">
            <v>-</v>
          </cell>
          <cell r="K98">
            <v>-1</v>
          </cell>
          <cell r="L98">
            <v>0</v>
          </cell>
          <cell r="P98">
            <v>3</v>
          </cell>
          <cell r="R98" t="str">
            <v>ラベル２枚　長手有　鉢巻無</v>
          </cell>
          <cell r="W98" t="str">
            <v>※使用基材、取数は依頼書にて確認</v>
          </cell>
          <cell r="AC98">
            <v>340.5</v>
          </cell>
        </row>
        <row r="99">
          <cell r="A99" t="str">
            <v>J1HFHBB01704200</v>
          </cell>
          <cell r="J99" t="str">
            <v>-</v>
          </cell>
          <cell r="K99">
            <v>-1</v>
          </cell>
          <cell r="L99">
            <v>0</v>
          </cell>
          <cell r="P99">
            <v>3</v>
          </cell>
          <cell r="R99" t="str">
            <v>ラベル２枚　長手有　鉢巻無</v>
          </cell>
          <cell r="W99" t="str">
            <v>※使用基材、取数は依頼書にて確認</v>
          </cell>
          <cell r="AC99">
            <v>420.5</v>
          </cell>
        </row>
        <row r="100">
          <cell r="A100" t="str">
            <v>J1HFHBB01802500</v>
          </cell>
          <cell r="J100" t="str">
            <v>-</v>
          </cell>
          <cell r="K100">
            <v>-1</v>
          </cell>
          <cell r="L100">
            <v>0</v>
          </cell>
          <cell r="P100">
            <v>3</v>
          </cell>
          <cell r="R100" t="str">
            <v>ラベル２枚　長手有　鉢巻無</v>
          </cell>
          <cell r="W100" t="str">
            <v>※使用基材、取数は依頼書にて確認</v>
          </cell>
          <cell r="AC100">
            <v>250.5</v>
          </cell>
        </row>
        <row r="101">
          <cell r="A101" t="str">
            <v>J1AKACB01901980</v>
          </cell>
          <cell r="J101" t="str">
            <v>-</v>
          </cell>
          <cell r="K101">
            <v>-0.5</v>
          </cell>
          <cell r="L101" t="str">
            <v>+0.5</v>
          </cell>
          <cell r="P101">
            <v>7</v>
          </cell>
          <cell r="R101" t="str">
            <v>ラベル２枚　長手有　鉢巻無</v>
          </cell>
          <cell r="W101" t="str">
            <v>※使用基材、取数は依頼書にて確認</v>
          </cell>
          <cell r="Z101" t="str">
            <v>S-10</v>
          </cell>
          <cell r="AC101">
            <v>198</v>
          </cell>
        </row>
        <row r="102">
          <cell r="A102" t="str">
            <v>J1AKACB02002640</v>
          </cell>
          <cell r="J102" t="str">
            <v>-</v>
          </cell>
          <cell r="K102">
            <v>-1</v>
          </cell>
          <cell r="L102" t="str">
            <v>+0.5</v>
          </cell>
          <cell r="P102">
            <v>5</v>
          </cell>
          <cell r="R102" t="str">
            <v>ラベル２枚　長手有　鉢巻無</v>
          </cell>
          <cell r="V102" t="str">
            <v>梱包は基材パターン同様</v>
          </cell>
          <cell r="W102" t="str">
            <v>※使用基材、取数は依頼書にて確認</v>
          </cell>
          <cell r="Z102" t="str">
            <v>S-10</v>
          </cell>
          <cell r="AC102">
            <v>264</v>
          </cell>
        </row>
        <row r="103">
          <cell r="A103" t="str">
            <v>J1AKACB02002680</v>
          </cell>
          <cell r="J103" t="str">
            <v>-</v>
          </cell>
          <cell r="K103">
            <v>-1</v>
          </cell>
          <cell r="L103" t="str">
            <v>+0.5</v>
          </cell>
          <cell r="P103">
            <v>5</v>
          </cell>
          <cell r="R103" t="str">
            <v>ラベル２枚　長手有　鉢巻無</v>
          </cell>
          <cell r="V103" t="str">
            <v>梱包は基材パターン同様</v>
          </cell>
          <cell r="W103" t="str">
            <v>※使用基材、取数は依頼書にて確認</v>
          </cell>
          <cell r="Z103" t="str">
            <v>S-10</v>
          </cell>
          <cell r="AC103">
            <v>268</v>
          </cell>
        </row>
        <row r="104">
          <cell r="A104" t="str">
            <v>J1AKACB02004140</v>
          </cell>
          <cell r="J104" t="str">
            <v>-</v>
          </cell>
          <cell r="K104">
            <v>-1</v>
          </cell>
          <cell r="L104" t="str">
            <v>+0.5</v>
          </cell>
          <cell r="P104">
            <v>3</v>
          </cell>
          <cell r="R104" t="str">
            <v>ラベル２枚　長手有　鉢巻無</v>
          </cell>
          <cell r="V104" t="str">
            <v>梱包は基材パターン同様</v>
          </cell>
          <cell r="W104" t="str">
            <v>※使用基材、取数は依頼書にて確認</v>
          </cell>
          <cell r="Z104" t="str">
            <v>S-20</v>
          </cell>
          <cell r="AC104">
            <v>414</v>
          </cell>
        </row>
        <row r="105">
          <cell r="A105" t="str">
            <v>J1AKACB02004180</v>
          </cell>
          <cell r="J105" t="str">
            <v>-</v>
          </cell>
          <cell r="K105">
            <v>-1</v>
          </cell>
          <cell r="L105" t="str">
            <v>+0.5</v>
          </cell>
          <cell r="P105">
            <v>3</v>
          </cell>
          <cell r="R105" t="str">
            <v>ラベル２枚　長手有　鉢巻無</v>
          </cell>
          <cell r="V105" t="str">
            <v>梱包は基材パターン同様</v>
          </cell>
          <cell r="W105" t="str">
            <v>※使用基材、取数は依頼書にて確認</v>
          </cell>
          <cell r="Z105" t="str">
            <v>S-20</v>
          </cell>
          <cell r="AC105">
            <v>418</v>
          </cell>
        </row>
        <row r="106">
          <cell r="A106" t="str">
            <v>J1AKACB02005650</v>
          </cell>
          <cell r="J106" t="str">
            <v>-</v>
          </cell>
          <cell r="K106">
            <v>-1</v>
          </cell>
          <cell r="L106" t="str">
            <v>+0.5</v>
          </cell>
          <cell r="P106">
            <v>2</v>
          </cell>
          <cell r="R106" t="str">
            <v>ラベル２枚　長手有　鉢巻無</v>
          </cell>
          <cell r="V106" t="str">
            <v>梱包は基材パターン同様</v>
          </cell>
          <cell r="W106" t="str">
            <v>※使用基材、取数は依頼書にて確認</v>
          </cell>
          <cell r="Z106" t="str">
            <v>S-30</v>
          </cell>
          <cell r="AC106">
            <v>565</v>
          </cell>
        </row>
        <row r="107">
          <cell r="A107" t="str">
            <v>J1AKACB02005680</v>
          </cell>
          <cell r="J107" t="str">
            <v>-</v>
          </cell>
          <cell r="K107">
            <v>-1</v>
          </cell>
          <cell r="L107" t="str">
            <v>+0.5</v>
          </cell>
          <cell r="P107">
            <v>2</v>
          </cell>
          <cell r="R107" t="str">
            <v>ラベル２枚　長手有　鉢巻無</v>
          </cell>
          <cell r="V107" t="str">
            <v>梱包は基材パターン同様</v>
          </cell>
          <cell r="W107" t="str">
            <v>※使用基材、取数は依頼書にて確認</v>
          </cell>
          <cell r="Z107" t="str">
            <v>S-30</v>
          </cell>
          <cell r="AC107">
            <v>568</v>
          </cell>
        </row>
        <row r="108">
          <cell r="A108" t="str">
            <v>J1AKACB02007150</v>
          </cell>
          <cell r="J108" t="str">
            <v>-</v>
          </cell>
          <cell r="K108">
            <v>-1</v>
          </cell>
          <cell r="L108" t="str">
            <v>+0.5</v>
          </cell>
          <cell r="P108">
            <v>2</v>
          </cell>
          <cell r="R108" t="str">
            <v>ラベル２枚　長手有　鉢巻無</v>
          </cell>
          <cell r="V108" t="str">
            <v>梱包は基材パターン同様</v>
          </cell>
          <cell r="W108" t="str">
            <v>※使用基材、取数は依頼書にて確認</v>
          </cell>
          <cell r="Z108" t="str">
            <v>S-40</v>
          </cell>
          <cell r="AC108">
            <v>715</v>
          </cell>
        </row>
        <row r="109">
          <cell r="A109" t="str">
            <v>J1AKACB02007180</v>
          </cell>
          <cell r="J109" t="str">
            <v>-</v>
          </cell>
          <cell r="K109">
            <v>-1</v>
          </cell>
          <cell r="L109" t="str">
            <v>+0.5</v>
          </cell>
          <cell r="P109">
            <v>2</v>
          </cell>
          <cell r="R109" t="str">
            <v>ラベル２枚　長手有　鉢巻無</v>
          </cell>
          <cell r="V109" t="str">
            <v>梱包は基材パターン同様</v>
          </cell>
          <cell r="W109" t="str">
            <v>※使用基材、取数は依頼書にて確認</v>
          </cell>
          <cell r="Z109" t="str">
            <v>S-40</v>
          </cell>
          <cell r="AC109">
            <v>718</v>
          </cell>
        </row>
        <row r="110">
          <cell r="A110" t="str">
            <v>J1AKACB02008650</v>
          </cell>
          <cell r="J110" t="str">
            <v>-</v>
          </cell>
          <cell r="K110">
            <v>-1</v>
          </cell>
          <cell r="L110" t="str">
            <v>+0.5</v>
          </cell>
          <cell r="P110">
            <v>1</v>
          </cell>
          <cell r="R110" t="str">
            <v>ラベル２枚　長手有　鉢巻無</v>
          </cell>
          <cell r="V110" t="str">
            <v>梱包は基材パターン同様</v>
          </cell>
          <cell r="W110" t="str">
            <v>※使用基材、取数は依頼書にて確認</v>
          </cell>
          <cell r="Z110" t="str">
            <v>S-40</v>
          </cell>
          <cell r="AC110">
            <v>865</v>
          </cell>
        </row>
        <row r="111">
          <cell r="A111" t="str">
            <v>J1AKACB02008680</v>
          </cell>
          <cell r="J111" t="str">
            <v>-</v>
          </cell>
          <cell r="K111">
            <v>-1</v>
          </cell>
          <cell r="L111" t="str">
            <v>+0.5</v>
          </cell>
          <cell r="P111">
            <v>1</v>
          </cell>
          <cell r="R111" t="str">
            <v>ラベル２枚　長手有　鉢巻無</v>
          </cell>
          <cell r="V111" t="str">
            <v>梱包は基材パターン同様</v>
          </cell>
          <cell r="W111" t="str">
            <v>※使用基材、取数は依頼書にて確認</v>
          </cell>
          <cell r="Z111" t="str">
            <v>S-40</v>
          </cell>
          <cell r="AC111">
            <v>868</v>
          </cell>
        </row>
        <row r="112">
          <cell r="A112" t="str">
            <v>J1AKACB02010150</v>
          </cell>
          <cell r="J112" t="str">
            <v>-</v>
          </cell>
          <cell r="K112">
            <v>-1</v>
          </cell>
          <cell r="L112" t="str">
            <v>+0.5</v>
          </cell>
          <cell r="P112">
            <v>1</v>
          </cell>
          <cell r="R112" t="str">
            <v>ラベル2枚　長手有　鉢巻１</v>
          </cell>
          <cell r="V112" t="str">
            <v>梱包は基材パターン同様</v>
          </cell>
          <cell r="W112" t="str">
            <v>※使用基材、取数は依頼書にて確認</v>
          </cell>
          <cell r="Z112" t="str">
            <v>T-60</v>
          </cell>
          <cell r="AC112">
            <v>1015</v>
          </cell>
        </row>
        <row r="113">
          <cell r="A113" t="str">
            <v>J1AKACB02010180</v>
          </cell>
          <cell r="J113" t="str">
            <v>-</v>
          </cell>
          <cell r="K113">
            <v>-1</v>
          </cell>
          <cell r="L113" t="str">
            <v>+0.5</v>
          </cell>
          <cell r="P113">
            <v>1</v>
          </cell>
          <cell r="R113" t="str">
            <v>ラベル2枚　長手有　鉢巻１</v>
          </cell>
          <cell r="V113" t="str">
            <v>梱包は基材パターン同様</v>
          </cell>
          <cell r="W113" t="str">
            <v>※使用基材、取数は依頼書にて確認</v>
          </cell>
          <cell r="Z113" t="str">
            <v>T-60</v>
          </cell>
          <cell r="AC113">
            <v>1018</v>
          </cell>
        </row>
        <row r="114">
          <cell r="A114" t="str">
            <v>J1AKACB03502640</v>
          </cell>
          <cell r="J114" t="str">
            <v>-</v>
          </cell>
          <cell r="K114">
            <v>-0.5</v>
          </cell>
          <cell r="L114" t="str">
            <v>+0.5</v>
          </cell>
          <cell r="P114">
            <v>5</v>
          </cell>
          <cell r="R114" t="str">
            <v>ラベル２枚　長手有　鉢巻無</v>
          </cell>
          <cell r="W114" t="str">
            <v>※使用基材、取数は依頼書にて確認</v>
          </cell>
          <cell r="Z114" t="str">
            <v>S-10</v>
          </cell>
          <cell r="AC114">
            <v>264</v>
          </cell>
        </row>
        <row r="115">
          <cell r="A115" t="str">
            <v>J1AKACB03504140</v>
          </cell>
          <cell r="J115" t="str">
            <v>-</v>
          </cell>
          <cell r="K115">
            <v>-0.5</v>
          </cell>
          <cell r="L115" t="str">
            <v>+0.5</v>
          </cell>
          <cell r="P115">
            <v>3</v>
          </cell>
          <cell r="R115" t="str">
            <v>ラベル２枚　長手有　鉢巻無</v>
          </cell>
          <cell r="W115" t="str">
            <v>※使用基材、取数は依頼書にて確認</v>
          </cell>
          <cell r="Z115" t="str">
            <v>S-20</v>
          </cell>
          <cell r="AC115">
            <v>414</v>
          </cell>
        </row>
        <row r="116">
          <cell r="A116" t="str">
            <v>J1AKACB03505640</v>
          </cell>
          <cell r="J116" t="str">
            <v>-</v>
          </cell>
          <cell r="K116">
            <v>-0.5</v>
          </cell>
          <cell r="L116" t="str">
            <v>+0.5</v>
          </cell>
          <cell r="P116">
            <v>2</v>
          </cell>
          <cell r="R116" t="str">
            <v>ラベル２枚　長手有　鉢巻無</v>
          </cell>
          <cell r="W116" t="str">
            <v>※使用基材、取数は依頼書にて確認</v>
          </cell>
          <cell r="Z116" t="str">
            <v>S-30</v>
          </cell>
          <cell r="AC116">
            <v>564</v>
          </cell>
        </row>
        <row r="117">
          <cell r="A117" t="str">
            <v>J1AKACB03506640</v>
          </cell>
          <cell r="J117" t="str">
            <v>-</v>
          </cell>
          <cell r="K117">
            <v>-0.5</v>
          </cell>
          <cell r="L117" t="str">
            <v>+0.5</v>
          </cell>
          <cell r="P117">
            <v>2</v>
          </cell>
          <cell r="R117" t="str">
            <v>ラベル２枚　長手有　鉢巻無</v>
          </cell>
          <cell r="W117" t="str">
            <v>※使用基材、取数は依頼書にて確認</v>
          </cell>
          <cell r="Z117" t="str">
            <v>S-40</v>
          </cell>
          <cell r="AC117">
            <v>640</v>
          </cell>
        </row>
        <row r="118">
          <cell r="A118" t="str">
            <v>J1AKACB03507140</v>
          </cell>
          <cell r="J118" t="str">
            <v>-</v>
          </cell>
          <cell r="K118">
            <v>-0.5</v>
          </cell>
          <cell r="L118" t="str">
            <v>+0.5</v>
          </cell>
          <cell r="P118">
            <v>2</v>
          </cell>
          <cell r="R118" t="str">
            <v>ラベル２枚　長手有　鉢巻無</v>
          </cell>
          <cell r="W118" t="str">
            <v>※使用基材、取数は依頼書にて確認</v>
          </cell>
          <cell r="Z118" t="str">
            <v>S-40</v>
          </cell>
          <cell r="AC118">
            <v>714.5</v>
          </cell>
        </row>
        <row r="119">
          <cell r="A119" t="str">
            <v>J1AKACB03508640</v>
          </cell>
          <cell r="J119" t="str">
            <v>-</v>
          </cell>
          <cell r="K119">
            <v>-0.5</v>
          </cell>
          <cell r="L119" t="str">
            <v>+0.5</v>
          </cell>
          <cell r="P119">
            <v>1</v>
          </cell>
          <cell r="R119" t="str">
            <v>ラベル２枚　長手有　鉢巻無</v>
          </cell>
          <cell r="W119" t="str">
            <v>※使用基材、取数は依頼書にて確認</v>
          </cell>
          <cell r="Z119" t="str">
            <v>S-40</v>
          </cell>
          <cell r="AC119">
            <v>864.5</v>
          </cell>
        </row>
        <row r="120">
          <cell r="A120" t="str">
            <v>J1EKACB10604140</v>
          </cell>
          <cell r="P120">
            <v>3</v>
          </cell>
          <cell r="R120" t="str">
            <v>ラベル２枚　長手有　鉢巻無</v>
          </cell>
          <cell r="W120" t="str">
            <v>※使用基材、取数は依頼書にて確認</v>
          </cell>
        </row>
        <row r="121">
          <cell r="A121" t="str">
            <v>J1EKACB20305190</v>
          </cell>
          <cell r="J121" t="str">
            <v>-</v>
          </cell>
          <cell r="K121">
            <v>-0.5</v>
          </cell>
          <cell r="L121" t="str">
            <v>+0.5</v>
          </cell>
          <cell r="P121">
            <v>2</v>
          </cell>
          <cell r="R121" t="str">
            <v>ラベル２枚　長手有　鉢巻無</v>
          </cell>
          <cell r="V121" t="str">
            <v>縦置き切断</v>
          </cell>
          <cell r="W121" t="str">
            <v>※使用基材、取数は依頼書にて確認</v>
          </cell>
          <cell r="AC121">
            <v>518.5</v>
          </cell>
        </row>
        <row r="122">
          <cell r="A122" t="str">
            <v>J1EKACB20306310</v>
          </cell>
          <cell r="J122" t="str">
            <v>-</v>
          </cell>
          <cell r="K122">
            <v>-0.5</v>
          </cell>
          <cell r="L122" t="str">
            <v>+0.5</v>
          </cell>
          <cell r="P122">
            <v>2</v>
          </cell>
          <cell r="R122" t="str">
            <v>ラベル２枚　長手有　鉢巻無</v>
          </cell>
          <cell r="V122" t="str">
            <v>縦置き切断</v>
          </cell>
          <cell r="W122" t="str">
            <v>※使用基材、取数は依頼書にて確認</v>
          </cell>
          <cell r="AC122">
            <v>630.5</v>
          </cell>
        </row>
        <row r="123">
          <cell r="A123" t="str">
            <v>J1EKACB01302040</v>
          </cell>
          <cell r="J123" t="str">
            <v>-</v>
          </cell>
          <cell r="P123">
            <v>5</v>
          </cell>
          <cell r="R123" t="str">
            <v>ラベル２枚　長手有　鉢巻無</v>
          </cell>
          <cell r="W123" t="str">
            <v>※使用基材、取数は依頼書にて確認</v>
          </cell>
          <cell r="AC123">
            <v>204</v>
          </cell>
        </row>
        <row r="124">
          <cell r="A124" t="str">
            <v>J1EKACB20802690</v>
          </cell>
          <cell r="J124" t="str">
            <v>〇</v>
          </cell>
          <cell r="K124">
            <v>0</v>
          </cell>
          <cell r="L124" t="str">
            <v>+1</v>
          </cell>
          <cell r="P124">
            <v>5</v>
          </cell>
          <cell r="R124" t="str">
            <v>ラベル２枚　長手有　鉢巻無</v>
          </cell>
          <cell r="V124" t="str">
            <v>公差注意</v>
          </cell>
          <cell r="W124" t="str">
            <v>※使用基材、取数は依頼書にて確認</v>
          </cell>
          <cell r="Z124" t="str">
            <v>S-10</v>
          </cell>
          <cell r="AC124" t="str">
            <v>換算表確認</v>
          </cell>
        </row>
        <row r="125">
          <cell r="A125" t="str">
            <v>J1EKACB20804190</v>
          </cell>
          <cell r="J125" t="str">
            <v>〇</v>
          </cell>
          <cell r="K125">
            <v>0</v>
          </cell>
          <cell r="L125" t="str">
            <v>+1</v>
          </cell>
          <cell r="P125">
            <v>3</v>
          </cell>
          <cell r="R125" t="str">
            <v>ラベル２枚　長手有　鉢巻無</v>
          </cell>
          <cell r="V125" t="str">
            <v>公差注意</v>
          </cell>
          <cell r="W125" t="str">
            <v>※使用基材、取数は依頼書にて確認</v>
          </cell>
          <cell r="Z125" t="str">
            <v>S-20</v>
          </cell>
          <cell r="AC125" t="str">
            <v>換算表確認</v>
          </cell>
        </row>
        <row r="126">
          <cell r="A126" t="str">
            <v>J1EKACB20805670</v>
          </cell>
          <cell r="J126" t="str">
            <v>〇</v>
          </cell>
          <cell r="K126">
            <v>0</v>
          </cell>
          <cell r="L126" t="str">
            <v>+1</v>
          </cell>
          <cell r="P126">
            <v>2</v>
          </cell>
          <cell r="R126" t="str">
            <v>ラベル２枚　長手有　鉢巻無</v>
          </cell>
          <cell r="V126" t="str">
            <v>公差注意</v>
          </cell>
          <cell r="W126" t="str">
            <v>※使用基材、取数は依頼書にて確認</v>
          </cell>
          <cell r="Z126" t="str">
            <v>S-30</v>
          </cell>
          <cell r="AC126" t="str">
            <v>換算表確認</v>
          </cell>
        </row>
        <row r="127">
          <cell r="A127" t="str">
            <v>J1EKACB20805690</v>
          </cell>
          <cell r="J127" t="str">
            <v>〇</v>
          </cell>
          <cell r="K127">
            <v>-1</v>
          </cell>
          <cell r="L127">
            <v>0</v>
          </cell>
          <cell r="P127">
            <v>2</v>
          </cell>
          <cell r="R127" t="str">
            <v>ラベル２枚　長手有　鉢巻無</v>
          </cell>
          <cell r="W127" t="str">
            <v>※使用基材、取数は依頼書にて確認</v>
          </cell>
          <cell r="Z127" t="str">
            <v>S-30</v>
          </cell>
          <cell r="AC127" t="str">
            <v>換算表確認</v>
          </cell>
        </row>
        <row r="128">
          <cell r="A128" t="str">
            <v>J1EKACB20807150</v>
          </cell>
          <cell r="J128" t="str">
            <v>〇</v>
          </cell>
          <cell r="K128">
            <v>-1</v>
          </cell>
          <cell r="L128">
            <v>0</v>
          </cell>
          <cell r="P128">
            <v>2</v>
          </cell>
          <cell r="R128" t="str">
            <v>ラベル２枚　長手有　鉢巻無</v>
          </cell>
          <cell r="W128" t="str">
            <v>※使用基材、取数は依頼書にて確認</v>
          </cell>
          <cell r="Z128" t="str">
            <v>S-40</v>
          </cell>
          <cell r="AC128" t="str">
            <v>換算表確認</v>
          </cell>
        </row>
        <row r="129">
          <cell r="A129" t="str">
            <v>J1EKACB20807190</v>
          </cell>
          <cell r="J129" t="str">
            <v>〇</v>
          </cell>
          <cell r="K129">
            <v>-1</v>
          </cell>
          <cell r="L129">
            <v>0</v>
          </cell>
          <cell r="P129">
            <v>2</v>
          </cell>
          <cell r="R129" t="str">
            <v>ラベル２枚　長手有　鉢巻無</v>
          </cell>
          <cell r="W129" t="str">
            <v>※使用基材、取数は依頼書にて確認</v>
          </cell>
          <cell r="Z129" t="str">
            <v>S-40</v>
          </cell>
          <cell r="AC129" t="str">
            <v>換算表確認</v>
          </cell>
        </row>
        <row r="130">
          <cell r="A130" t="str">
            <v>J1EKACB20808680</v>
          </cell>
          <cell r="J130" t="str">
            <v>〇</v>
          </cell>
          <cell r="K130">
            <v>-1</v>
          </cell>
          <cell r="L130">
            <v>0</v>
          </cell>
          <cell r="P130">
            <v>1</v>
          </cell>
          <cell r="R130" t="str">
            <v>ラベル２枚　長手有　鉢巻無</v>
          </cell>
          <cell r="W130" t="str">
            <v>※使用基材、取数は依頼書にて確認</v>
          </cell>
          <cell r="Z130" t="str">
            <v>S-40</v>
          </cell>
          <cell r="AC130" t="str">
            <v>換算表確認</v>
          </cell>
        </row>
        <row r="131">
          <cell r="A131" t="str">
            <v>J1EKACB20810140</v>
          </cell>
          <cell r="J131" t="str">
            <v>〇</v>
          </cell>
          <cell r="K131">
            <v>-1</v>
          </cell>
          <cell r="L131">
            <v>0</v>
          </cell>
          <cell r="P131">
            <v>1</v>
          </cell>
          <cell r="R131" t="str">
            <v>ラベル2枚　長手有　鉢巻１</v>
          </cell>
          <cell r="W131" t="str">
            <v>※使用基材、取数は依頼書にて確認</v>
          </cell>
          <cell r="Z131" t="str">
            <v>T-60</v>
          </cell>
          <cell r="AC131" t="str">
            <v>換算表確認</v>
          </cell>
        </row>
        <row r="132">
          <cell r="A132" t="str">
            <v>J1EKACB20810180</v>
          </cell>
          <cell r="J132" t="str">
            <v>〇</v>
          </cell>
          <cell r="K132">
            <v>-1</v>
          </cell>
          <cell r="L132">
            <v>0</v>
          </cell>
          <cell r="P132">
            <v>1</v>
          </cell>
          <cell r="R132" t="str">
            <v>ラベル2枚　長手有　鉢巻１</v>
          </cell>
          <cell r="W132" t="str">
            <v>※使用基材、取数は依頼書にて確認</v>
          </cell>
          <cell r="Z132" t="str">
            <v>T-60</v>
          </cell>
          <cell r="AC132" t="str">
            <v>換算表確認</v>
          </cell>
        </row>
        <row r="133">
          <cell r="A133" t="str">
            <v>J1EKACB20811640</v>
          </cell>
          <cell r="J133" t="str">
            <v>〇</v>
          </cell>
          <cell r="K133">
            <v>-1</v>
          </cell>
          <cell r="L133">
            <v>0</v>
          </cell>
          <cell r="P133">
            <v>1</v>
          </cell>
          <cell r="R133" t="str">
            <v>ラベル2枚　長手有　鉢巻１</v>
          </cell>
          <cell r="W133" t="str">
            <v>※使用基材、取数は依頼書にて確認</v>
          </cell>
          <cell r="Z133" t="str">
            <v>T-60</v>
          </cell>
          <cell r="AC133" t="str">
            <v>換算表確認</v>
          </cell>
        </row>
        <row r="134">
          <cell r="A134" t="str">
            <v>J1EKACB22204150</v>
          </cell>
          <cell r="J134" t="str">
            <v>-</v>
          </cell>
          <cell r="K134">
            <v>-0.5</v>
          </cell>
          <cell r="L134" t="str">
            <v>+0.5</v>
          </cell>
          <cell r="P134">
            <v>3</v>
          </cell>
          <cell r="R134" t="str">
            <v>ラベル２枚　長手有　鉢巻無</v>
          </cell>
          <cell r="W134" t="str">
            <v>※使用基材、取数は依頼書にて確認</v>
          </cell>
          <cell r="Z134" t="str">
            <v>S-20</v>
          </cell>
          <cell r="AC134">
            <v>414.5</v>
          </cell>
        </row>
        <row r="135">
          <cell r="A135" t="str">
            <v>J1EKACB22205080</v>
          </cell>
          <cell r="J135" t="str">
            <v>-</v>
          </cell>
          <cell r="K135">
            <v>-0.5</v>
          </cell>
          <cell r="L135" t="str">
            <v>+0.5</v>
          </cell>
          <cell r="P135">
            <v>2</v>
          </cell>
          <cell r="R135" t="str">
            <v>ラベル２枚　長手有　鉢巻無</v>
          </cell>
          <cell r="W135" t="str">
            <v>※使用基材、取数は依頼書にて確認</v>
          </cell>
          <cell r="Z135" t="str">
            <v>S-30</v>
          </cell>
          <cell r="AC135">
            <v>507.5</v>
          </cell>
        </row>
        <row r="136">
          <cell r="A136" t="str">
            <v>J1EKACB22205650</v>
          </cell>
          <cell r="J136" t="str">
            <v>-</v>
          </cell>
          <cell r="K136">
            <v>-0.5</v>
          </cell>
          <cell r="L136" t="str">
            <v>+0.5</v>
          </cell>
          <cell r="P136">
            <v>2</v>
          </cell>
          <cell r="R136" t="str">
            <v>ラベル２枚　長手有　鉢巻無</v>
          </cell>
          <cell r="W136" t="str">
            <v>※使用基材、取数は依頼書にて確認</v>
          </cell>
          <cell r="Z136" t="str">
            <v>S-30</v>
          </cell>
          <cell r="AC136">
            <v>564.5</v>
          </cell>
        </row>
        <row r="137">
          <cell r="A137" t="str">
            <v>J1EKACB22206330</v>
          </cell>
          <cell r="J137" t="str">
            <v>-</v>
          </cell>
          <cell r="K137">
            <v>-0.5</v>
          </cell>
          <cell r="L137" t="str">
            <v>+0.5</v>
          </cell>
          <cell r="P137">
            <v>2</v>
          </cell>
          <cell r="R137" t="str">
            <v>ラベル２枚　長手有　鉢巻無</v>
          </cell>
          <cell r="W137" t="str">
            <v>※使用基材、取数は依頼書にて確認</v>
          </cell>
          <cell r="Z137" t="str">
            <v>S-40</v>
          </cell>
          <cell r="AC137">
            <v>632.5</v>
          </cell>
        </row>
        <row r="138">
          <cell r="A138" t="str">
            <v>J1EKACB22206520</v>
          </cell>
          <cell r="J138" t="str">
            <v>-</v>
          </cell>
          <cell r="K138">
            <v>-0.5</v>
          </cell>
          <cell r="L138" t="str">
            <v>+0.5</v>
          </cell>
          <cell r="P138">
            <v>2</v>
          </cell>
          <cell r="R138" t="str">
            <v>ラベル２枚　長手有　鉢巻無</v>
          </cell>
          <cell r="W138" t="str">
            <v>※使用基材、取数は依頼書にて確認</v>
          </cell>
          <cell r="Z138" t="str">
            <v>S-40</v>
          </cell>
          <cell r="AC138">
            <v>651.5</v>
          </cell>
        </row>
        <row r="139">
          <cell r="A139" t="str">
            <v>J1EKACB22206650</v>
          </cell>
          <cell r="J139" t="str">
            <v>-</v>
          </cell>
          <cell r="K139">
            <v>-0.5</v>
          </cell>
          <cell r="L139" t="str">
            <v>+0.5</v>
          </cell>
          <cell r="P139">
            <v>2</v>
          </cell>
          <cell r="R139" t="str">
            <v>ラベル２枚　長手有　鉢巻無</v>
          </cell>
          <cell r="W139" t="str">
            <v>※使用基材、取数は依頼書にて確認</v>
          </cell>
          <cell r="Z139" t="str">
            <v>S-40</v>
          </cell>
          <cell r="AC139">
            <v>664.5</v>
          </cell>
        </row>
        <row r="140">
          <cell r="A140" t="str">
            <v>J1EKACB22207150</v>
          </cell>
          <cell r="J140" t="str">
            <v>-</v>
          </cell>
          <cell r="K140">
            <v>-0.5</v>
          </cell>
          <cell r="L140" t="str">
            <v>+0.5</v>
          </cell>
          <cell r="P140">
            <v>2</v>
          </cell>
          <cell r="R140" t="str">
            <v>ラベル２枚　長手有　鉢巻無</v>
          </cell>
          <cell r="W140" t="str">
            <v>※使用基材、取数は依頼書にて確認</v>
          </cell>
          <cell r="Z140" t="str">
            <v>S-40</v>
          </cell>
          <cell r="AC140">
            <v>714.5</v>
          </cell>
        </row>
        <row r="141">
          <cell r="A141" t="str">
            <v>J1AAFAB01299999</v>
          </cell>
          <cell r="J141" t="str">
            <v>-</v>
          </cell>
          <cell r="K141">
            <v>-1</v>
          </cell>
          <cell r="L141">
            <v>0</v>
          </cell>
          <cell r="P141">
            <v>1</v>
          </cell>
          <cell r="V141" t="str">
            <v>-</v>
          </cell>
          <cell r="W141" t="str">
            <v>-</v>
          </cell>
          <cell r="Z141" t="str">
            <v>SB-246</v>
          </cell>
          <cell r="AC141" t="str">
            <v>図面確認</v>
          </cell>
        </row>
        <row r="142">
          <cell r="A142" t="str">
            <v>J1AAFAB01199999</v>
          </cell>
          <cell r="J142" t="str">
            <v>-</v>
          </cell>
          <cell r="K142">
            <v>-1</v>
          </cell>
          <cell r="L142">
            <v>0</v>
          </cell>
          <cell r="P142">
            <v>1</v>
          </cell>
          <cell r="V142" t="str">
            <v>-</v>
          </cell>
          <cell r="W142" t="str">
            <v>-</v>
          </cell>
          <cell r="Z142" t="str">
            <v>SB-246</v>
          </cell>
          <cell r="AC142" t="str">
            <v>図面確認</v>
          </cell>
        </row>
        <row r="143">
          <cell r="A143" t="str">
            <v>J1AAZDB00301000</v>
          </cell>
          <cell r="J143" t="str">
            <v>〇</v>
          </cell>
          <cell r="P143">
            <v>12</v>
          </cell>
          <cell r="R143" t="str">
            <v>ラベル貼付２枚　</v>
          </cell>
        </row>
        <row r="144">
          <cell r="A144" t="str">
            <v>J1AAZDB00501000</v>
          </cell>
          <cell r="J144" t="str">
            <v>〇</v>
          </cell>
          <cell r="P144">
            <v>12</v>
          </cell>
          <cell r="R144" t="str">
            <v>ラベル貼付２枚　</v>
          </cell>
        </row>
        <row r="145">
          <cell r="A145" t="str">
            <v>J1AZLDB00122810</v>
          </cell>
          <cell r="J145" t="str">
            <v>〇</v>
          </cell>
          <cell r="P145">
            <v>1</v>
          </cell>
          <cell r="R145" t="str">
            <v>ラベル貼付２枚　長手テーピング有　鉢巻２回</v>
          </cell>
          <cell r="V145" t="str">
            <v>寸法Wチェック</v>
          </cell>
          <cell r="Z145" t="str">
            <v>基材梱包箱使用</v>
          </cell>
          <cell r="AC145" t="str">
            <v>換算表確認</v>
          </cell>
        </row>
        <row r="146">
          <cell r="A146" t="str">
            <v>J1AZLDB00123150</v>
          </cell>
          <cell r="J146" t="str">
            <v>〇</v>
          </cell>
          <cell r="P146">
            <v>1</v>
          </cell>
          <cell r="R146" t="str">
            <v>ラベル貼付２枚　長手テーピング有　鉢巻２回</v>
          </cell>
          <cell r="V146" t="str">
            <v>寸法Wチェック</v>
          </cell>
          <cell r="AC146" t="str">
            <v>換算表確認</v>
          </cell>
        </row>
        <row r="147">
          <cell r="A147" t="str">
            <v>J1AZLDB00123980</v>
          </cell>
          <cell r="J147" t="str">
            <v>〇</v>
          </cell>
          <cell r="P147">
            <v>1</v>
          </cell>
          <cell r="R147" t="str">
            <v>ラベル貼付２枚　長手テーピング有　鉢巻２回</v>
          </cell>
          <cell r="V147" t="str">
            <v>寸法Wチェック</v>
          </cell>
          <cell r="AC147" t="str">
            <v>換算表確認</v>
          </cell>
        </row>
        <row r="148">
          <cell r="A148" t="str">
            <v>J1AZLDB00127400</v>
          </cell>
          <cell r="J148" t="str">
            <v>〇</v>
          </cell>
          <cell r="P148">
            <v>1</v>
          </cell>
          <cell r="R148" t="str">
            <v>ラベル貼付２枚　長手テーピング有　鉢巻２回</v>
          </cell>
          <cell r="V148" t="str">
            <v>平置き切断</v>
          </cell>
          <cell r="W148" t="str">
            <v>特殊延長バー取付</v>
          </cell>
          <cell r="AC148" t="str">
            <v>換算表確認</v>
          </cell>
        </row>
        <row r="149">
          <cell r="A149" t="str">
            <v>J1AZLDB00422660</v>
          </cell>
          <cell r="J149" t="str">
            <v>〇</v>
          </cell>
          <cell r="P149">
            <v>1</v>
          </cell>
          <cell r="R149" t="str">
            <v>ラベル貼付２枚　長手テーピング有　鉢巻２回</v>
          </cell>
          <cell r="V149" t="str">
            <v>寸法Wチェック</v>
          </cell>
          <cell r="AC149" t="str">
            <v>換算表確認</v>
          </cell>
        </row>
        <row r="150">
          <cell r="A150" t="str">
            <v>J1AZLDB00422975</v>
          </cell>
          <cell r="J150" t="str">
            <v>〇</v>
          </cell>
          <cell r="P150">
            <v>1</v>
          </cell>
          <cell r="R150" t="str">
            <v>ラベル貼付２枚　長手テーピング有　鉢巻２回</v>
          </cell>
          <cell r="V150" t="str">
            <v>寸法Wチェック</v>
          </cell>
          <cell r="AC150" t="str">
            <v>換算表確認</v>
          </cell>
        </row>
        <row r="151">
          <cell r="A151" t="str">
            <v>J1AZLDB00522670</v>
          </cell>
          <cell r="J151" t="str">
            <v>〇</v>
          </cell>
          <cell r="P151">
            <v>1</v>
          </cell>
          <cell r="R151" t="str">
            <v>ラベル貼付２枚　長手テーピング有　鉢巻２回</v>
          </cell>
          <cell r="V151" t="str">
            <v>寸法Wチェック</v>
          </cell>
          <cell r="AC151" t="str">
            <v>換算表確認</v>
          </cell>
        </row>
        <row r="152">
          <cell r="A152" t="str">
            <v>J1AZLDB00522985</v>
          </cell>
          <cell r="J152" t="str">
            <v>〇</v>
          </cell>
          <cell r="P152">
            <v>1</v>
          </cell>
          <cell r="R152" t="str">
            <v>ラベル貼付２枚　長手テーピング有　鉢巻２回</v>
          </cell>
          <cell r="V152" t="str">
            <v>寸法Wチェック</v>
          </cell>
          <cell r="AC152" t="str">
            <v>換算表確認</v>
          </cell>
        </row>
        <row r="153">
          <cell r="A153" t="str">
            <v>J1AZLDB00719940</v>
          </cell>
          <cell r="J153" t="str">
            <v>〇</v>
          </cell>
          <cell r="P153">
            <v>1</v>
          </cell>
          <cell r="R153" t="str">
            <v>ラベル貼付２枚　長手テーピング有　鉢巻２回</v>
          </cell>
          <cell r="V153" t="str">
            <v>寸法Wチェック</v>
          </cell>
          <cell r="AC153" t="str">
            <v>換算表確認</v>
          </cell>
        </row>
        <row r="154">
          <cell r="A154" t="str">
            <v>J1AZLDB00800790</v>
          </cell>
          <cell r="J154" t="str">
            <v>〇</v>
          </cell>
          <cell r="P154">
            <v>30</v>
          </cell>
          <cell r="R154" t="str">
            <v>ラベル貼付２枚　長手テーピング有　鉢巻無し</v>
          </cell>
          <cell r="AC154" t="str">
            <v>換算表確認</v>
          </cell>
        </row>
        <row r="155">
          <cell r="A155" t="str">
            <v>J1AZLDB00901030</v>
          </cell>
          <cell r="J155" t="str">
            <v>〇</v>
          </cell>
          <cell r="P155">
            <v>22</v>
          </cell>
          <cell r="R155" t="str">
            <v>ラベル貼付２枚　長手テーピング有　鉢巻２回</v>
          </cell>
          <cell r="AC155" t="str">
            <v>換算表確認</v>
          </cell>
        </row>
        <row r="156">
          <cell r="A156" t="str">
            <v>J1AZLDB01719950</v>
          </cell>
          <cell r="J156" t="str">
            <v>〇</v>
          </cell>
          <cell r="P156">
            <v>1</v>
          </cell>
          <cell r="R156" t="str">
            <v>ラベル貼付２枚　長手テーピング有　鉢巻２回</v>
          </cell>
          <cell r="V156" t="str">
            <v>寸法Wチェック</v>
          </cell>
          <cell r="AC156" t="str">
            <v>換算表確認</v>
          </cell>
        </row>
        <row r="157">
          <cell r="A157" t="str">
            <v>J1AZLDB01818880</v>
          </cell>
          <cell r="J157" t="str">
            <v>〇</v>
          </cell>
          <cell r="P157">
            <v>1</v>
          </cell>
          <cell r="R157" t="str">
            <v>ラベル貼付２枚　長手テーピング有　鉢巻２回</v>
          </cell>
          <cell r="V157" t="str">
            <v>寸法Wチェック</v>
          </cell>
          <cell r="AC157" t="str">
            <v>換算表確認</v>
          </cell>
        </row>
        <row r="158">
          <cell r="A158" t="str">
            <v>J1AZLDB01900860</v>
          </cell>
          <cell r="J158" t="str">
            <v>〇</v>
          </cell>
          <cell r="P158">
            <v>15</v>
          </cell>
          <cell r="R158" t="str">
            <v>ラベル貼付２枚　長手テーピング有　鉢巻無し</v>
          </cell>
          <cell r="AC158" t="str">
            <v>換算表確認</v>
          </cell>
        </row>
        <row r="159">
          <cell r="A159" t="str">
            <v>J1AZLDB02023080</v>
          </cell>
          <cell r="J159" t="str">
            <v>〇</v>
          </cell>
          <cell r="P159">
            <v>1</v>
          </cell>
          <cell r="R159" t="str">
            <v>ラベル貼付２枚　長手テーピング有　鉢巻２回</v>
          </cell>
          <cell r="V159" t="str">
            <v>寸法Wチェック</v>
          </cell>
          <cell r="AC159" t="str">
            <v>換算表確認</v>
          </cell>
        </row>
        <row r="160">
          <cell r="A160" t="str">
            <v>J1AZLDB02118880</v>
          </cell>
          <cell r="J160" t="str">
            <v>〇</v>
          </cell>
          <cell r="P160">
            <v>1</v>
          </cell>
          <cell r="R160" t="str">
            <v>ラベル貼付２枚　長手テーピング有　鉢巻２回</v>
          </cell>
          <cell r="V160" t="str">
            <v>寸法Wチェック</v>
          </cell>
          <cell r="AC160" t="str">
            <v>換算表確認</v>
          </cell>
        </row>
        <row r="161">
          <cell r="A161" t="str">
            <v>J1AZLDB02600990</v>
          </cell>
          <cell r="J161" t="str">
            <v>〇</v>
          </cell>
          <cell r="P161">
            <v>13</v>
          </cell>
          <cell r="R161" t="str">
            <v>ラベル貼付２枚　長手テーピング有　鉢巻無し</v>
          </cell>
          <cell r="AC161" t="str">
            <v>換算表確認</v>
          </cell>
        </row>
        <row r="162">
          <cell r="A162" t="str">
            <v>J1AZLDB02601075</v>
          </cell>
          <cell r="J162" t="str">
            <v>〇</v>
          </cell>
          <cell r="P162">
            <v>22</v>
          </cell>
          <cell r="R162" t="str">
            <v>ラベル貼付２枚　長手テーピング有　鉢巻無し</v>
          </cell>
          <cell r="AC162" t="str">
            <v>換算表確認</v>
          </cell>
        </row>
        <row r="163">
          <cell r="A163" t="str">
            <v>J1AZLDB02601235</v>
          </cell>
          <cell r="J163" t="str">
            <v>〇</v>
          </cell>
          <cell r="P163">
            <v>19</v>
          </cell>
          <cell r="R163" t="str">
            <v>ラベル貼付２枚　長手テーピング有　鉢巻無し</v>
          </cell>
          <cell r="AC163" t="str">
            <v>換算表確認</v>
          </cell>
        </row>
        <row r="164">
          <cell r="A164" t="str">
            <v>J1AZLDB02601320</v>
          </cell>
          <cell r="J164" t="str">
            <v>〇</v>
          </cell>
          <cell r="P164">
            <v>17</v>
          </cell>
          <cell r="R164" t="str">
            <v>ラベル貼付２枚　長手テーピング有　鉢巻無し</v>
          </cell>
          <cell r="AC164" t="str">
            <v>換算表確認</v>
          </cell>
        </row>
        <row r="165">
          <cell r="A165" t="str">
            <v>J1AZLDB02603340</v>
          </cell>
          <cell r="J165" t="str">
            <v>〇</v>
          </cell>
          <cell r="P165">
            <v>7</v>
          </cell>
          <cell r="R165" t="str">
            <v>ラベル貼付２枚　長手テーピング有　鉢巻無し</v>
          </cell>
          <cell r="AC165" t="str">
            <v>換算表確認</v>
          </cell>
        </row>
        <row r="166">
          <cell r="A166" t="str">
            <v>J1AZLDB02603460</v>
          </cell>
          <cell r="J166" t="str">
            <v>〇</v>
          </cell>
          <cell r="P166">
            <v>6</v>
          </cell>
          <cell r="R166" t="str">
            <v>ラベル貼付２枚　長手テーピング有　鉢巻無し</v>
          </cell>
          <cell r="AC166" t="str">
            <v>換算表確認</v>
          </cell>
        </row>
        <row r="167">
          <cell r="A167" t="str">
            <v>J1AZLDB02702240</v>
          </cell>
          <cell r="J167" t="str">
            <v>〇</v>
          </cell>
          <cell r="P167">
            <v>10</v>
          </cell>
          <cell r="R167" t="str">
            <v>ラベル貼付２枚　長手テーピング有　鉢巻無し</v>
          </cell>
          <cell r="AC167" t="str">
            <v>換算表確認</v>
          </cell>
        </row>
        <row r="168">
          <cell r="A168" t="str">
            <v>J1AZLDB00523605</v>
          </cell>
          <cell r="J168" t="str">
            <v>〇</v>
          </cell>
          <cell r="P168">
            <v>1</v>
          </cell>
          <cell r="R168" t="str">
            <v>ラベル貼付２枚　長手テーピング有　鉢巻２回</v>
          </cell>
          <cell r="V168" t="str">
            <v>寸法Wチェック</v>
          </cell>
          <cell r="AC168" t="str">
            <v>換算表確認</v>
          </cell>
        </row>
        <row r="169">
          <cell r="A169" t="str">
            <v>J1AZLDB03201160</v>
          </cell>
          <cell r="J169" t="str">
            <v>〇</v>
          </cell>
          <cell r="P169">
            <v>17</v>
          </cell>
          <cell r="R169" t="str">
            <v>ラベル貼付２枚</v>
          </cell>
          <cell r="AC169" t="str">
            <v>換算表確認</v>
          </cell>
        </row>
        <row r="170">
          <cell r="A170" t="str">
            <v>J1AZLDB03202380</v>
          </cell>
          <cell r="J170" t="str">
            <v>〇</v>
          </cell>
          <cell r="P170">
            <v>8</v>
          </cell>
          <cell r="R170" t="str">
            <v>ラベル貼付２枚</v>
          </cell>
          <cell r="AC170" t="str">
            <v>換算表確認</v>
          </cell>
        </row>
        <row r="171">
          <cell r="A171" t="str">
            <v>J1AZLDB03300780</v>
          </cell>
          <cell r="J171" t="str">
            <v>〇</v>
          </cell>
          <cell r="P171">
            <v>23</v>
          </cell>
          <cell r="R171" t="str">
            <v>ラベル貼付２枚</v>
          </cell>
          <cell r="AC171" t="str">
            <v>換算表確認</v>
          </cell>
        </row>
        <row r="172">
          <cell r="A172" t="str">
            <v>J1AZLDB03301280</v>
          </cell>
          <cell r="J172" t="str">
            <v>〇</v>
          </cell>
          <cell r="P172">
            <v>17</v>
          </cell>
          <cell r="R172" t="str">
            <v>ラベル貼付２枚</v>
          </cell>
          <cell r="AC172" t="str">
            <v>換算表確認</v>
          </cell>
        </row>
        <row r="173">
          <cell r="A173" t="str">
            <v>J1AZLDB03305440</v>
          </cell>
          <cell r="J173" t="str">
            <v>〇</v>
          </cell>
          <cell r="P173">
            <v>4</v>
          </cell>
          <cell r="R173" t="str">
            <v>ラベル貼付２枚</v>
          </cell>
          <cell r="AC173" t="str">
            <v>換算表確認</v>
          </cell>
        </row>
        <row r="174">
          <cell r="A174" t="str">
            <v>J1EAZDB00102000</v>
          </cell>
          <cell r="J174" t="str">
            <v>〇</v>
          </cell>
          <cell r="P174">
            <v>5</v>
          </cell>
          <cell r="R174" t="str">
            <v>ラベル貼付２枚</v>
          </cell>
        </row>
        <row r="175">
          <cell r="A175" t="str">
            <v>J4AAMWB01504140</v>
          </cell>
          <cell r="J175" t="str">
            <v>-</v>
          </cell>
          <cell r="K175">
            <v>-10</v>
          </cell>
          <cell r="L175">
            <v>0</v>
          </cell>
          <cell r="P175">
            <v>2</v>
          </cell>
          <cell r="R175">
            <v>2</v>
          </cell>
        </row>
        <row r="176">
          <cell r="A176" t="str">
            <v>J4AAMWB02707690</v>
          </cell>
          <cell r="J176" t="str">
            <v>-</v>
          </cell>
          <cell r="K176">
            <v>-10</v>
          </cell>
          <cell r="L176">
            <v>0</v>
          </cell>
          <cell r="P176">
            <v>1</v>
          </cell>
          <cell r="R176">
            <v>2</v>
          </cell>
        </row>
        <row r="177">
          <cell r="A177" t="str">
            <v>J1AEFZB00205250</v>
          </cell>
          <cell r="J177" t="str">
            <v>-</v>
          </cell>
          <cell r="K177">
            <v>-1</v>
          </cell>
          <cell r="L177" t="str">
            <v>+1</v>
          </cell>
          <cell r="P177">
            <v>1</v>
          </cell>
          <cell r="R177" t="str">
            <v>１カゴ毎に46本</v>
          </cell>
        </row>
        <row r="178">
          <cell r="A178" t="str">
            <v>J1AEFZB00205750</v>
          </cell>
          <cell r="J178" t="str">
            <v>-</v>
          </cell>
          <cell r="K178">
            <v>-1</v>
          </cell>
          <cell r="L178" t="str">
            <v>+1</v>
          </cell>
          <cell r="P178">
            <v>1</v>
          </cell>
          <cell r="R178" t="str">
            <v>１カゴ毎に46本</v>
          </cell>
        </row>
        <row r="179">
          <cell r="A179" t="str">
            <v>J1ZAFJB00211835+</v>
          </cell>
          <cell r="J179" t="str">
            <v>-</v>
          </cell>
          <cell r="K179">
            <v>-2</v>
          </cell>
          <cell r="L179" t="str">
            <v>+2</v>
          </cell>
          <cell r="P179">
            <v>1</v>
          </cell>
          <cell r="R179" t="str">
            <v>ラベル2枚　長手有　鉢巻１</v>
          </cell>
          <cell r="V179" t="str">
            <v>梱包箱:灯具-1　L1370(隙間埋め)</v>
          </cell>
          <cell r="W179" t="str">
            <v>クラフト紙：1370型</v>
          </cell>
          <cell r="Z179" t="str">
            <v>灯具-1　L=1370</v>
          </cell>
          <cell r="AC179" t="str">
            <v>換算表確認</v>
          </cell>
        </row>
        <row r="180">
          <cell r="A180" t="str">
            <v>J1ZAFJB00208400+</v>
          </cell>
          <cell r="J180" t="str">
            <v>-</v>
          </cell>
          <cell r="K180">
            <v>-2</v>
          </cell>
          <cell r="L180" t="str">
            <v>+2</v>
          </cell>
          <cell r="P180">
            <v>1</v>
          </cell>
          <cell r="R180" t="str">
            <v>ラベル２枚　長手有　鉢巻無</v>
          </cell>
          <cell r="V180" t="str">
            <v>梱包箱:灯具-3　L=970(隙間埋め)</v>
          </cell>
          <cell r="W180" t="str">
            <v>クラフト紙：970型</v>
          </cell>
          <cell r="Z180" t="str">
            <v>灯具-3　L=970</v>
          </cell>
          <cell r="AC180" t="str">
            <v>換算表確認</v>
          </cell>
        </row>
        <row r="181">
          <cell r="A181" t="str">
            <v>J1ZAFJB00205470+</v>
          </cell>
          <cell r="J181" t="str">
            <v>-</v>
          </cell>
          <cell r="K181">
            <v>-2</v>
          </cell>
          <cell r="L181" t="str">
            <v>+2</v>
          </cell>
          <cell r="P181">
            <v>1</v>
          </cell>
          <cell r="R181" t="str">
            <v>ラベル２枚　長手有　鉢巻無</v>
          </cell>
          <cell r="V181" t="str">
            <v>梱包箱:灯具-1　L1370÷2</v>
          </cell>
          <cell r="W181" t="str">
            <v>クラフト紙：1370型　1/2</v>
          </cell>
          <cell r="Z181" t="str">
            <v>灯具-1　L=1370</v>
          </cell>
          <cell r="AC181" t="str">
            <v>換算表確認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取引"/>
      <sheetName val="日程"/>
      <sheetName val="加工記録２"/>
      <sheetName val="8FL基材管理"/>
      <sheetName val="納品明細書"/>
      <sheetName val="依頼書保管"/>
      <sheetName val="指図書"/>
      <sheetName val="請求"/>
      <sheetName val="非稼働日設定"/>
      <sheetName val="温度換算"/>
      <sheetName val="網戸日程"/>
      <sheetName val="棚卸"/>
    </sheetNames>
    <sheetDataSet>
      <sheetData sheetId="0"/>
      <sheetData sheetId="1"/>
      <sheetData sheetId="2">
        <row r="2">
          <cell r="C2" t="str">
            <v>品名</v>
          </cell>
          <cell r="D2" t="str">
            <v>作業日</v>
          </cell>
          <cell r="E2" t="str">
            <v>計測Lot</v>
          </cell>
          <cell r="F2" t="str">
            <v>加工数</v>
          </cell>
          <cell r="G2" t="str">
            <v>温度</v>
          </cell>
          <cell r="H2" t="str">
            <v>換算L</v>
          </cell>
          <cell r="I2" t="str">
            <v>計測L</v>
          </cell>
          <cell r="J2" t="str">
            <v>使用Lot</v>
          </cell>
          <cell r="K2" t="str">
            <v>総加工</v>
          </cell>
          <cell r="L2" t="str">
            <v>基材換算</v>
          </cell>
          <cell r="M2" t="str">
            <v>加工Lot</v>
          </cell>
          <cell r="N2" t="str">
            <v>箱数</v>
          </cell>
        </row>
        <row r="3">
          <cell r="C3" t="str">
            <v>灯具カバーPC IN 2090　L=840(切断）</v>
          </cell>
          <cell r="D3">
            <v>46077</v>
          </cell>
          <cell r="E3" t="str">
            <v>26B18-01</v>
          </cell>
          <cell r="F3">
            <v>11</v>
          </cell>
          <cell r="J3" t="str">
            <v>26B18-01</v>
          </cell>
          <cell r="K3">
            <v>11</v>
          </cell>
          <cell r="L3">
            <v>11</v>
          </cell>
          <cell r="M3">
            <v>46079</v>
          </cell>
          <cell r="N3">
            <v>7</v>
          </cell>
          <cell r="P3">
            <v>46080</v>
          </cell>
          <cell r="R3">
            <v>23</v>
          </cell>
          <cell r="U3" t="str">
            <v>000000000012370</v>
          </cell>
        </row>
        <row r="4">
          <cell r="D4">
            <v>46078</v>
          </cell>
          <cell r="E4" t="str">
            <v>26B19-02(2110)</v>
          </cell>
          <cell r="G4">
            <v>20</v>
          </cell>
          <cell r="H4">
            <v>840</v>
          </cell>
          <cell r="I4">
            <v>839.73</v>
          </cell>
          <cell r="J4" t="str">
            <v>26B19-02(2110)</v>
          </cell>
          <cell r="K4">
            <v>191</v>
          </cell>
          <cell r="L4">
            <v>191</v>
          </cell>
          <cell r="M4">
            <v>46080</v>
          </cell>
          <cell r="N4">
            <v>4</v>
          </cell>
          <cell r="P4">
            <v>176</v>
          </cell>
          <cell r="R4">
            <v>3</v>
          </cell>
          <cell r="U4" t="str">
            <v>000000000012370</v>
          </cell>
        </row>
        <row r="5">
          <cell r="C5">
            <v>176</v>
          </cell>
          <cell r="D5">
            <v>46078</v>
          </cell>
          <cell r="E5" t="str">
            <v>26B19-02(2110)</v>
          </cell>
          <cell r="F5">
            <v>194</v>
          </cell>
          <cell r="G5">
            <v>20</v>
          </cell>
          <cell r="H5">
            <v>840</v>
          </cell>
          <cell r="I5">
            <v>839.94</v>
          </cell>
          <cell r="K5">
            <v>0</v>
          </cell>
          <cell r="L5" t="str">
            <v/>
          </cell>
          <cell r="P5">
            <v>202</v>
          </cell>
          <cell r="U5" t="str">
            <v>000000000012370</v>
          </cell>
        </row>
        <row r="6">
          <cell r="C6">
            <v>176</v>
          </cell>
          <cell r="H6" t="str">
            <v/>
          </cell>
          <cell r="K6">
            <v>0</v>
          </cell>
          <cell r="L6" t="str">
            <v/>
          </cell>
          <cell r="P6">
            <v>26</v>
          </cell>
          <cell r="U6" t="str">
            <v>000000000012370</v>
          </cell>
        </row>
        <row r="7">
          <cell r="C7">
            <v>1</v>
          </cell>
          <cell r="H7" t="str">
            <v/>
          </cell>
          <cell r="K7">
            <v>0</v>
          </cell>
          <cell r="L7" t="str">
            <v/>
          </cell>
          <cell r="P7">
            <v>26</v>
          </cell>
          <cell r="U7" t="str">
            <v>000000000012370</v>
          </cell>
        </row>
        <row r="8">
          <cell r="C8">
            <v>16</v>
          </cell>
          <cell r="H8" t="str">
            <v/>
          </cell>
          <cell r="K8">
            <v>0</v>
          </cell>
          <cell r="L8" t="str">
            <v/>
          </cell>
          <cell r="M8" t="str">
            <v>合計</v>
          </cell>
          <cell r="N8">
            <v>11</v>
          </cell>
          <cell r="P8">
            <v>0</v>
          </cell>
          <cell r="U8" t="str">
            <v>000000000012370</v>
          </cell>
        </row>
        <row r="9">
          <cell r="C9" t="str">
            <v>灯具-3　L=970</v>
          </cell>
          <cell r="H9" t="str">
            <v/>
          </cell>
          <cell r="K9">
            <v>0</v>
          </cell>
          <cell r="L9" t="str">
            <v/>
          </cell>
          <cell r="M9" t="str">
            <v>入数</v>
          </cell>
          <cell r="N9">
            <v>176</v>
          </cell>
          <cell r="P9">
            <v>202</v>
          </cell>
          <cell r="U9" t="str">
            <v>000000000012370</v>
          </cell>
        </row>
        <row r="10">
          <cell r="H10" t="str">
            <v/>
          </cell>
          <cell r="K10">
            <v>0</v>
          </cell>
          <cell r="L10" t="str">
            <v/>
          </cell>
          <cell r="M10" t="str">
            <v>作業者</v>
          </cell>
          <cell r="U10" t="str">
            <v>000000000012370</v>
          </cell>
        </row>
        <row r="11">
          <cell r="C11">
            <v>11</v>
          </cell>
          <cell r="H11" t="str">
            <v/>
          </cell>
          <cell r="K11">
            <v>0</v>
          </cell>
          <cell r="L11" t="str">
            <v/>
          </cell>
          <cell r="M11" t="str">
            <v>C</v>
          </cell>
          <cell r="U11" t="str">
            <v>000000000012370</v>
          </cell>
        </row>
        <row r="12">
          <cell r="K12">
            <v>0</v>
          </cell>
          <cell r="L12" t="str">
            <v/>
          </cell>
          <cell r="M12" t="str">
            <v>T</v>
          </cell>
          <cell r="N12" t="str">
            <v>M</v>
          </cell>
          <cell r="R12">
            <v>26</v>
          </cell>
          <cell r="U12" t="str">
            <v>000000000012370</v>
          </cell>
        </row>
        <row r="13">
          <cell r="D13" t="str">
            <v>不良補填</v>
          </cell>
          <cell r="F13" t="str">
            <v/>
          </cell>
          <cell r="U13" t="str">
            <v>000000000012370</v>
          </cell>
        </row>
        <row r="14">
          <cell r="C14" t="str">
            <v>灯具カバーPC IN 2090　L=840(切断）</v>
          </cell>
          <cell r="D14">
            <v>46052</v>
          </cell>
          <cell r="E14" t="str">
            <v>26A22-01</v>
          </cell>
          <cell r="F14">
            <v>13</v>
          </cell>
          <cell r="J14" t="str">
            <v>26A22-01</v>
          </cell>
          <cell r="K14">
            <v>13</v>
          </cell>
          <cell r="L14">
            <v>13</v>
          </cell>
          <cell r="M14">
            <v>46079</v>
          </cell>
          <cell r="N14">
            <v>11</v>
          </cell>
          <cell r="P14">
            <v>46079</v>
          </cell>
          <cell r="R14">
            <v>21</v>
          </cell>
          <cell r="U14" t="str">
            <v>000000000012146</v>
          </cell>
        </row>
        <row r="15">
          <cell r="D15">
            <v>46077</v>
          </cell>
          <cell r="E15" t="str">
            <v>26B18-01(2110)</v>
          </cell>
          <cell r="G15">
            <v>20</v>
          </cell>
          <cell r="H15">
            <v>840</v>
          </cell>
          <cell r="I15">
            <v>839.91</v>
          </cell>
          <cell r="J15" t="str">
            <v>26B18-01(2110)</v>
          </cell>
          <cell r="K15">
            <v>192</v>
          </cell>
          <cell r="L15">
            <v>192</v>
          </cell>
          <cell r="P15">
            <v>176</v>
          </cell>
          <cell r="R15">
            <v>8</v>
          </cell>
          <cell r="U15" t="str">
            <v>000000000012146</v>
          </cell>
        </row>
        <row r="16">
          <cell r="C16">
            <v>176</v>
          </cell>
          <cell r="D16">
            <v>46077</v>
          </cell>
          <cell r="E16" t="str">
            <v>26B18-01(2110)</v>
          </cell>
          <cell r="G16">
            <v>20</v>
          </cell>
          <cell r="H16">
            <v>840</v>
          </cell>
          <cell r="I16">
            <v>839.74</v>
          </cell>
          <cell r="K16">
            <v>0</v>
          </cell>
          <cell r="L16" t="str">
            <v/>
          </cell>
          <cell r="P16">
            <v>205</v>
          </cell>
          <cell r="U16" t="str">
            <v>000000000012146</v>
          </cell>
        </row>
        <row r="17">
          <cell r="C17">
            <v>176</v>
          </cell>
          <cell r="D17">
            <v>46077</v>
          </cell>
          <cell r="E17" t="str">
            <v>26B18-01(2110)</v>
          </cell>
          <cell r="F17">
            <v>189</v>
          </cell>
          <cell r="G17">
            <v>20</v>
          </cell>
          <cell r="H17">
            <v>840</v>
          </cell>
          <cell r="I17">
            <v>839.69</v>
          </cell>
          <cell r="K17">
            <v>0</v>
          </cell>
          <cell r="L17" t="str">
            <v/>
          </cell>
          <cell r="P17">
            <v>29</v>
          </cell>
          <cell r="U17" t="str">
            <v>000000000012146</v>
          </cell>
        </row>
        <row r="18">
          <cell r="C18">
            <v>1</v>
          </cell>
          <cell r="H18" t="str">
            <v/>
          </cell>
          <cell r="K18">
            <v>0</v>
          </cell>
          <cell r="L18" t="str">
            <v/>
          </cell>
          <cell r="P18">
            <v>29</v>
          </cell>
          <cell r="U18" t="str">
            <v>000000000012146</v>
          </cell>
        </row>
        <row r="19">
          <cell r="C19">
            <v>16</v>
          </cell>
          <cell r="H19" t="str">
            <v/>
          </cell>
          <cell r="K19">
            <v>0</v>
          </cell>
          <cell r="L19" t="str">
            <v/>
          </cell>
          <cell r="M19" t="str">
            <v>合計</v>
          </cell>
          <cell r="N19">
            <v>11</v>
          </cell>
          <cell r="P19">
            <v>0</v>
          </cell>
          <cell r="U19" t="str">
            <v>000000000012146</v>
          </cell>
        </row>
        <row r="20">
          <cell r="C20" t="str">
            <v>灯具-3　L=970</v>
          </cell>
          <cell r="H20" t="str">
            <v/>
          </cell>
          <cell r="K20">
            <v>0</v>
          </cell>
          <cell r="L20" t="str">
            <v/>
          </cell>
          <cell r="M20" t="str">
            <v>入数</v>
          </cell>
          <cell r="N20">
            <v>176</v>
          </cell>
          <cell r="P20">
            <v>205</v>
          </cell>
          <cell r="U20" t="str">
            <v>000000000012146</v>
          </cell>
        </row>
        <row r="21">
          <cell r="H21" t="str">
            <v/>
          </cell>
          <cell r="K21">
            <v>0</v>
          </cell>
          <cell r="L21" t="str">
            <v/>
          </cell>
          <cell r="M21" t="str">
            <v>作業者</v>
          </cell>
          <cell r="U21" t="str">
            <v>000000000012146</v>
          </cell>
        </row>
        <row r="22">
          <cell r="C22">
            <v>11</v>
          </cell>
          <cell r="H22" t="str">
            <v/>
          </cell>
          <cell r="K22">
            <v>0</v>
          </cell>
          <cell r="L22" t="str">
            <v/>
          </cell>
          <cell r="M22" t="str">
            <v>C</v>
          </cell>
          <cell r="U22" t="str">
            <v>000000000012146</v>
          </cell>
        </row>
        <row r="23">
          <cell r="K23">
            <v>0</v>
          </cell>
          <cell r="L23" t="str">
            <v/>
          </cell>
          <cell r="M23" t="str">
            <v>T</v>
          </cell>
          <cell r="N23" t="str">
            <v>M</v>
          </cell>
          <cell r="R23">
            <v>29</v>
          </cell>
          <cell r="U23" t="str">
            <v>000000000012146</v>
          </cell>
        </row>
        <row r="24">
          <cell r="D24" t="str">
            <v>不良補填</v>
          </cell>
          <cell r="F24" t="str">
            <v/>
          </cell>
          <cell r="U24" t="str">
            <v>000000000012146</v>
          </cell>
        </row>
        <row r="25">
          <cell r="C25" t="str">
            <v>灯具カバーPC IN 2050　L=1183.5(2070切断)</v>
          </cell>
          <cell r="D25">
            <v>46063</v>
          </cell>
          <cell r="E25" t="str">
            <v>26A23-01</v>
          </cell>
          <cell r="F25">
            <v>15</v>
          </cell>
          <cell r="J25" t="str">
            <v>26A23-01</v>
          </cell>
          <cell r="K25">
            <v>15</v>
          </cell>
          <cell r="L25">
            <v>15</v>
          </cell>
          <cell r="M25">
            <v>46080</v>
          </cell>
          <cell r="N25">
            <v>9</v>
          </cell>
          <cell r="P25">
            <v>46080</v>
          </cell>
          <cell r="R25">
            <v>16</v>
          </cell>
          <cell r="U25" t="str">
            <v>000000000012149</v>
          </cell>
        </row>
        <row r="26">
          <cell r="D26">
            <v>46079</v>
          </cell>
          <cell r="E26" t="str">
            <v>26B20-01(2070)</v>
          </cell>
          <cell r="G26">
            <v>20</v>
          </cell>
          <cell r="H26">
            <v>1183.5</v>
          </cell>
          <cell r="I26">
            <v>1183.51</v>
          </cell>
          <cell r="J26" t="str">
            <v>26B20-01(2070)</v>
          </cell>
          <cell r="K26">
            <v>149</v>
          </cell>
          <cell r="L26">
            <v>149</v>
          </cell>
          <cell r="P26">
            <v>144</v>
          </cell>
          <cell r="R26">
            <v>4</v>
          </cell>
          <cell r="U26" t="str">
            <v>000000000012149</v>
          </cell>
        </row>
        <row r="27">
          <cell r="C27">
            <v>144</v>
          </cell>
          <cell r="D27">
            <v>46079</v>
          </cell>
          <cell r="E27" t="str">
            <v>26B20-01(2070)</v>
          </cell>
          <cell r="F27">
            <v>149</v>
          </cell>
          <cell r="G27">
            <v>20</v>
          </cell>
          <cell r="H27">
            <v>1183.5</v>
          </cell>
          <cell r="I27">
            <v>1183.67</v>
          </cell>
          <cell r="K27">
            <v>0</v>
          </cell>
          <cell r="L27" t="str">
            <v/>
          </cell>
          <cell r="P27">
            <v>164</v>
          </cell>
          <cell r="U27" t="str">
            <v>000000000012149</v>
          </cell>
        </row>
        <row r="28">
          <cell r="C28">
            <v>144</v>
          </cell>
          <cell r="H28" t="str">
            <v/>
          </cell>
          <cell r="K28">
            <v>0</v>
          </cell>
          <cell r="L28" t="str">
            <v/>
          </cell>
          <cell r="P28">
            <v>20</v>
          </cell>
          <cell r="U28" t="str">
            <v>000000000012149</v>
          </cell>
        </row>
        <row r="29">
          <cell r="C29">
            <v>1</v>
          </cell>
          <cell r="H29" t="str">
            <v/>
          </cell>
          <cell r="K29">
            <v>0</v>
          </cell>
          <cell r="L29" t="str">
            <v/>
          </cell>
          <cell r="P29">
            <v>20</v>
          </cell>
          <cell r="U29" t="str">
            <v>000000000012149</v>
          </cell>
        </row>
        <row r="30">
          <cell r="C30">
            <v>16</v>
          </cell>
          <cell r="H30" t="str">
            <v/>
          </cell>
          <cell r="K30">
            <v>0</v>
          </cell>
          <cell r="L30" t="str">
            <v/>
          </cell>
          <cell r="M30" t="str">
            <v>合計</v>
          </cell>
          <cell r="N30">
            <v>9</v>
          </cell>
          <cell r="P30">
            <v>0</v>
          </cell>
          <cell r="U30" t="str">
            <v>000000000012149</v>
          </cell>
        </row>
        <row r="31">
          <cell r="C31" t="str">
            <v>灯具-1　L=1370</v>
          </cell>
          <cell r="H31" t="str">
            <v/>
          </cell>
          <cell r="K31">
            <v>0</v>
          </cell>
          <cell r="L31" t="str">
            <v/>
          </cell>
          <cell r="M31" t="str">
            <v>入数</v>
          </cell>
          <cell r="N31">
            <v>144</v>
          </cell>
          <cell r="P31">
            <v>164</v>
          </cell>
          <cell r="U31" t="str">
            <v>000000000012149</v>
          </cell>
        </row>
        <row r="32">
          <cell r="H32" t="str">
            <v/>
          </cell>
          <cell r="K32">
            <v>0</v>
          </cell>
          <cell r="L32" t="str">
            <v/>
          </cell>
          <cell r="M32" t="str">
            <v>作業者</v>
          </cell>
          <cell r="U32" t="str">
            <v>000000000012149</v>
          </cell>
        </row>
        <row r="33">
          <cell r="C33">
            <v>9</v>
          </cell>
          <cell r="H33" t="str">
            <v/>
          </cell>
          <cell r="K33">
            <v>0</v>
          </cell>
          <cell r="L33" t="str">
            <v/>
          </cell>
          <cell r="M33" t="str">
            <v>C</v>
          </cell>
          <cell r="U33" t="str">
            <v>000000000012149</v>
          </cell>
        </row>
        <row r="34">
          <cell r="K34">
            <v>0</v>
          </cell>
          <cell r="L34" t="str">
            <v/>
          </cell>
          <cell r="M34" t="str">
            <v>T</v>
          </cell>
          <cell r="N34" t="str">
            <v>M</v>
          </cell>
          <cell r="R34">
            <v>20</v>
          </cell>
          <cell r="U34" t="str">
            <v>000000000012149</v>
          </cell>
        </row>
        <row r="35">
          <cell r="D35" t="str">
            <v>不良補填</v>
          </cell>
          <cell r="F35" t="str">
            <v/>
          </cell>
          <cell r="U35" t="str">
            <v>000000000012149</v>
          </cell>
        </row>
        <row r="36">
          <cell r="C36" t="str">
            <v>灯具カバーPC  　2160    L=613.3</v>
          </cell>
          <cell r="J36">
            <v>0</v>
          </cell>
          <cell r="K36">
            <v>0</v>
          </cell>
          <cell r="L36" t="str">
            <v/>
          </cell>
          <cell r="M36">
            <v>46079</v>
          </cell>
          <cell r="N36">
            <v>10</v>
          </cell>
          <cell r="P36">
            <v>46079</v>
          </cell>
          <cell r="R36">
            <v>1</v>
          </cell>
          <cell r="U36" t="str">
            <v>000000000012155</v>
          </cell>
        </row>
        <row r="37">
          <cell r="D37">
            <v>46078</v>
          </cell>
          <cell r="E37" t="str">
            <v>26B18-01(2110)</v>
          </cell>
          <cell r="G37">
            <v>20</v>
          </cell>
          <cell r="H37">
            <v>613.29999999999995</v>
          </cell>
          <cell r="I37">
            <v>613.55999999999995</v>
          </cell>
          <cell r="J37" t="str">
            <v>26B18-01(2110)</v>
          </cell>
          <cell r="K37">
            <v>25</v>
          </cell>
          <cell r="L37">
            <v>12.5</v>
          </cell>
          <cell r="P37">
            <v>20</v>
          </cell>
          <cell r="R37">
            <v>4</v>
          </cell>
          <cell r="U37" t="str">
            <v>000000000012155</v>
          </cell>
        </row>
        <row r="38">
          <cell r="C38">
            <v>20</v>
          </cell>
          <cell r="D38">
            <v>46078</v>
          </cell>
          <cell r="E38" t="str">
            <v>26B18-01(2110)</v>
          </cell>
          <cell r="F38">
            <v>25</v>
          </cell>
          <cell r="G38">
            <v>20</v>
          </cell>
          <cell r="H38">
            <v>613.29999999999995</v>
          </cell>
          <cell r="I38">
            <v>613.66999999999996</v>
          </cell>
          <cell r="K38">
            <v>0</v>
          </cell>
          <cell r="L38" t="str">
            <v/>
          </cell>
          <cell r="P38">
            <v>12.5</v>
          </cell>
          <cell r="U38" t="str">
            <v>000000000012155</v>
          </cell>
        </row>
        <row r="39">
          <cell r="C39">
            <v>20</v>
          </cell>
          <cell r="H39" t="str">
            <v/>
          </cell>
          <cell r="K39">
            <v>0</v>
          </cell>
          <cell r="L39" t="str">
            <v/>
          </cell>
          <cell r="P39">
            <v>5</v>
          </cell>
          <cell r="U39" t="str">
            <v>000000000012155</v>
          </cell>
        </row>
        <row r="40">
          <cell r="C40">
            <v>2</v>
          </cell>
          <cell r="H40" t="str">
            <v/>
          </cell>
          <cell r="K40">
            <v>0</v>
          </cell>
          <cell r="L40" t="str">
            <v/>
          </cell>
          <cell r="P40">
            <v>2.5</v>
          </cell>
          <cell r="U40" t="str">
            <v>000000000012155</v>
          </cell>
        </row>
        <row r="41">
          <cell r="C41">
            <v>2</v>
          </cell>
          <cell r="H41" t="str">
            <v/>
          </cell>
          <cell r="K41">
            <v>0</v>
          </cell>
          <cell r="L41" t="str">
            <v/>
          </cell>
          <cell r="M41" t="str">
            <v>合計</v>
          </cell>
          <cell r="N41">
            <v>10</v>
          </cell>
          <cell r="P41">
            <v>0</v>
          </cell>
          <cell r="U41" t="str">
            <v>000000000012155</v>
          </cell>
        </row>
        <row r="42">
          <cell r="C42" t="str">
            <v>H型ジョイナー端材</v>
          </cell>
          <cell r="H42" t="str">
            <v/>
          </cell>
          <cell r="K42">
            <v>0</v>
          </cell>
          <cell r="L42" t="str">
            <v/>
          </cell>
          <cell r="M42" t="str">
            <v>入数</v>
          </cell>
          <cell r="N42">
            <v>20</v>
          </cell>
          <cell r="P42">
            <v>25</v>
          </cell>
          <cell r="U42" t="str">
            <v>000000000012155</v>
          </cell>
        </row>
        <row r="43">
          <cell r="H43" t="str">
            <v/>
          </cell>
          <cell r="K43">
            <v>0</v>
          </cell>
          <cell r="L43" t="str">
            <v/>
          </cell>
          <cell r="M43" t="str">
            <v>作業者</v>
          </cell>
          <cell r="U43" t="str">
            <v>000000000012155</v>
          </cell>
        </row>
        <row r="44">
          <cell r="C44">
            <v>10</v>
          </cell>
          <cell r="H44" t="str">
            <v/>
          </cell>
          <cell r="K44">
            <v>0</v>
          </cell>
          <cell r="L44" t="str">
            <v/>
          </cell>
          <cell r="M44" t="str">
            <v>C</v>
          </cell>
          <cell r="U44" t="str">
            <v>000000000012155</v>
          </cell>
        </row>
        <row r="45">
          <cell r="K45">
            <v>0</v>
          </cell>
          <cell r="L45" t="str">
            <v/>
          </cell>
          <cell r="M45" t="str">
            <v>T</v>
          </cell>
          <cell r="N45" t="str">
            <v>M</v>
          </cell>
          <cell r="R45">
            <v>5</v>
          </cell>
          <cell r="U45" t="str">
            <v>000000000012155</v>
          </cell>
        </row>
        <row r="46">
          <cell r="D46" t="str">
            <v>不良補填</v>
          </cell>
          <cell r="F46" t="str">
            <v/>
          </cell>
          <cell r="U46" t="str">
            <v>000000000012155</v>
          </cell>
        </row>
        <row r="47">
          <cell r="C47" t="str">
            <v>照明ｶﾊﾞｰS15　L=550</v>
          </cell>
          <cell r="J47">
            <v>0</v>
          </cell>
          <cell r="K47">
            <v>0</v>
          </cell>
          <cell r="L47" t="str">
            <v/>
          </cell>
          <cell r="M47">
            <v>46078</v>
          </cell>
          <cell r="N47">
            <v>10</v>
          </cell>
          <cell r="P47">
            <v>46078</v>
          </cell>
          <cell r="U47" t="str">
            <v>000000000012386</v>
          </cell>
        </row>
        <row r="48">
          <cell r="D48">
            <v>46078</v>
          </cell>
          <cell r="E48" t="str">
            <v>26B19</v>
          </cell>
          <cell r="G48">
            <v>20</v>
          </cell>
          <cell r="H48">
            <v>550</v>
          </cell>
          <cell r="I48">
            <v>549.91999999999996</v>
          </cell>
          <cell r="J48" t="str">
            <v>26B19</v>
          </cell>
          <cell r="K48">
            <v>500</v>
          </cell>
          <cell r="L48">
            <v>166.66666666666666</v>
          </cell>
          <cell r="P48">
            <v>500</v>
          </cell>
          <cell r="U48" t="str">
            <v>000000000012386</v>
          </cell>
        </row>
        <row r="49">
          <cell r="C49">
            <v>500</v>
          </cell>
          <cell r="D49">
            <v>46078</v>
          </cell>
          <cell r="E49" t="str">
            <v>26B19</v>
          </cell>
          <cell r="F49">
            <v>500</v>
          </cell>
          <cell r="G49">
            <v>20</v>
          </cell>
          <cell r="H49">
            <v>550</v>
          </cell>
          <cell r="I49">
            <v>549.89</v>
          </cell>
          <cell r="K49">
            <v>0</v>
          </cell>
          <cell r="L49" t="str">
            <v/>
          </cell>
          <cell r="P49">
            <v>166.66666666666666</v>
          </cell>
          <cell r="U49" t="str">
            <v>000000000012386</v>
          </cell>
        </row>
        <row r="50">
          <cell r="C50">
            <v>500</v>
          </cell>
          <cell r="H50" t="str">
            <v/>
          </cell>
          <cell r="K50">
            <v>0</v>
          </cell>
          <cell r="L50" t="str">
            <v/>
          </cell>
          <cell r="P50">
            <v>0</v>
          </cell>
          <cell r="U50" t="str">
            <v>000000000012386</v>
          </cell>
        </row>
        <row r="51">
          <cell r="C51">
            <v>3</v>
          </cell>
          <cell r="H51" t="str">
            <v/>
          </cell>
          <cell r="K51">
            <v>0</v>
          </cell>
          <cell r="L51" t="str">
            <v/>
          </cell>
          <cell r="P51">
            <v>0</v>
          </cell>
          <cell r="U51" t="str">
            <v>000000000012386</v>
          </cell>
        </row>
        <row r="52">
          <cell r="C52">
            <v>50</v>
          </cell>
          <cell r="H52" t="str">
            <v/>
          </cell>
          <cell r="K52">
            <v>0</v>
          </cell>
          <cell r="L52" t="str">
            <v/>
          </cell>
          <cell r="M52" t="str">
            <v>合計</v>
          </cell>
          <cell r="N52">
            <v>10</v>
          </cell>
          <cell r="P52">
            <v>0</v>
          </cell>
          <cell r="U52" t="str">
            <v>000000000012386</v>
          </cell>
        </row>
        <row r="53">
          <cell r="C53" t="str">
            <v>基材梱包箱</v>
          </cell>
          <cell r="H53" t="str">
            <v/>
          </cell>
          <cell r="K53">
            <v>0</v>
          </cell>
          <cell r="L53" t="str">
            <v/>
          </cell>
          <cell r="M53" t="str">
            <v>入数</v>
          </cell>
          <cell r="N53">
            <v>500</v>
          </cell>
          <cell r="P53">
            <v>500</v>
          </cell>
          <cell r="U53" t="str">
            <v>000000000012386</v>
          </cell>
        </row>
        <row r="54">
          <cell r="H54" t="str">
            <v/>
          </cell>
          <cell r="K54">
            <v>0</v>
          </cell>
          <cell r="L54" t="str">
            <v/>
          </cell>
          <cell r="M54" t="str">
            <v>作業者</v>
          </cell>
          <cell r="U54" t="str">
            <v>000000000012386</v>
          </cell>
        </row>
        <row r="55">
          <cell r="C55">
            <v>3.3333333333333335</v>
          </cell>
          <cell r="H55" t="str">
            <v/>
          </cell>
          <cell r="K55">
            <v>0</v>
          </cell>
          <cell r="L55" t="str">
            <v/>
          </cell>
          <cell r="M55" t="str">
            <v>M</v>
          </cell>
          <cell r="U55" t="str">
            <v>000000000012386</v>
          </cell>
        </row>
        <row r="56">
          <cell r="K56">
            <v>0</v>
          </cell>
          <cell r="L56" t="str">
            <v/>
          </cell>
          <cell r="R56">
            <v>0</v>
          </cell>
          <cell r="U56" t="str">
            <v>000000000012386</v>
          </cell>
        </row>
        <row r="57">
          <cell r="D57" t="str">
            <v>不良補填</v>
          </cell>
          <cell r="F57" t="str">
            <v/>
          </cell>
          <cell r="U57" t="str">
            <v>000000000012386</v>
          </cell>
        </row>
        <row r="58">
          <cell r="C58" t="str">
            <v>灯具カバーPC IN 2070　L=1966</v>
          </cell>
          <cell r="D58">
            <v>46048</v>
          </cell>
          <cell r="E58" t="str">
            <v>26A21-01</v>
          </cell>
          <cell r="F58">
            <v>9</v>
          </cell>
          <cell r="J58" t="str">
            <v>26A21-01</v>
          </cell>
          <cell r="K58">
            <v>9</v>
          </cell>
          <cell r="L58">
            <v>9</v>
          </cell>
          <cell r="M58">
            <v>46080</v>
          </cell>
          <cell r="N58">
            <v>1</v>
          </cell>
          <cell r="P58">
            <v>46083</v>
          </cell>
          <cell r="R58">
            <v>45</v>
          </cell>
          <cell r="U58" t="str">
            <v>000000000012153</v>
          </cell>
        </row>
        <row r="59">
          <cell r="D59">
            <v>46080</v>
          </cell>
          <cell r="E59" t="str">
            <v>26B20-02</v>
          </cell>
          <cell r="H59" t="str">
            <v/>
          </cell>
          <cell r="J59" t="str">
            <v>26B20-02</v>
          </cell>
          <cell r="K59">
            <v>187</v>
          </cell>
          <cell r="L59">
            <v>187</v>
          </cell>
          <cell r="M59">
            <v>46083</v>
          </cell>
          <cell r="N59">
            <v>8</v>
          </cell>
          <cell r="P59">
            <v>144</v>
          </cell>
          <cell r="R59">
            <v>7</v>
          </cell>
          <cell r="U59" t="str">
            <v>000000000012153</v>
          </cell>
        </row>
        <row r="60">
          <cell r="C60">
            <v>144</v>
          </cell>
          <cell r="D60">
            <v>46083</v>
          </cell>
          <cell r="E60" t="str">
            <v>26B20-02</v>
          </cell>
          <cell r="F60">
            <v>187</v>
          </cell>
          <cell r="H60" t="str">
            <v/>
          </cell>
          <cell r="K60">
            <v>0</v>
          </cell>
          <cell r="L60" t="str">
            <v/>
          </cell>
          <cell r="P60">
            <v>196</v>
          </cell>
          <cell r="U60" t="str">
            <v>000000000012153</v>
          </cell>
        </row>
        <row r="61">
          <cell r="C61">
            <v>144</v>
          </cell>
          <cell r="H61" t="str">
            <v/>
          </cell>
          <cell r="K61">
            <v>0</v>
          </cell>
          <cell r="L61" t="str">
            <v/>
          </cell>
          <cell r="P61">
            <v>52</v>
          </cell>
          <cell r="U61" t="str">
            <v>000000000012153</v>
          </cell>
        </row>
        <row r="62">
          <cell r="C62">
            <v>1</v>
          </cell>
          <cell r="H62" t="str">
            <v/>
          </cell>
          <cell r="K62">
            <v>0</v>
          </cell>
          <cell r="L62" t="str">
            <v/>
          </cell>
          <cell r="P62">
            <v>52</v>
          </cell>
          <cell r="U62" t="str">
            <v>000000000012153</v>
          </cell>
        </row>
        <row r="63">
          <cell r="C63">
            <v>16</v>
          </cell>
          <cell r="H63" t="str">
            <v/>
          </cell>
          <cell r="K63">
            <v>0</v>
          </cell>
          <cell r="L63" t="str">
            <v/>
          </cell>
          <cell r="M63" t="str">
            <v>合計</v>
          </cell>
          <cell r="N63">
            <v>9</v>
          </cell>
          <cell r="P63">
            <v>0</v>
          </cell>
          <cell r="U63" t="str">
            <v>000000000012153</v>
          </cell>
        </row>
        <row r="64">
          <cell r="C64" t="str">
            <v>灯具-2　L＝1996</v>
          </cell>
          <cell r="H64" t="str">
            <v/>
          </cell>
          <cell r="K64">
            <v>0</v>
          </cell>
          <cell r="L64" t="str">
            <v/>
          </cell>
          <cell r="M64" t="str">
            <v>入数</v>
          </cell>
          <cell r="N64">
            <v>144</v>
          </cell>
          <cell r="P64">
            <v>196</v>
          </cell>
          <cell r="U64" t="str">
            <v>000000000012153</v>
          </cell>
        </row>
        <row r="65">
          <cell r="H65" t="str">
            <v/>
          </cell>
          <cell r="K65">
            <v>0</v>
          </cell>
          <cell r="L65" t="str">
            <v/>
          </cell>
          <cell r="M65" t="str">
            <v>作業者</v>
          </cell>
          <cell r="U65" t="str">
            <v>000000000012153</v>
          </cell>
        </row>
        <row r="66">
          <cell r="C66">
            <v>9</v>
          </cell>
          <cell r="H66" t="str">
            <v/>
          </cell>
          <cell r="K66">
            <v>0</v>
          </cell>
          <cell r="L66" t="str">
            <v/>
          </cell>
          <cell r="M66" t="str">
            <v>C</v>
          </cell>
          <cell r="U66" t="str">
            <v>000000000012153</v>
          </cell>
        </row>
        <row r="67">
          <cell r="K67">
            <v>0</v>
          </cell>
          <cell r="L67" t="str">
            <v/>
          </cell>
          <cell r="M67" t="str">
            <v>T</v>
          </cell>
          <cell r="N67" t="str">
            <v>M</v>
          </cell>
          <cell r="R67">
            <v>52</v>
          </cell>
          <cell r="U67" t="str">
            <v>000000000012153</v>
          </cell>
        </row>
        <row r="68">
          <cell r="D68" t="str">
            <v>不良補填</v>
          </cell>
          <cell r="F68" t="str">
            <v/>
          </cell>
          <cell r="U68" t="str">
            <v>000000000012153</v>
          </cell>
        </row>
        <row r="69">
          <cell r="C69" t="str">
            <v>灯具カバーPC IN 2080　L=1540</v>
          </cell>
          <cell r="D69">
            <v>46049</v>
          </cell>
          <cell r="E69" t="str">
            <v>26A21-01</v>
          </cell>
          <cell r="F69">
            <v>2</v>
          </cell>
          <cell r="J69" t="str">
            <v>26A21-01</v>
          </cell>
          <cell r="K69">
            <v>2</v>
          </cell>
          <cell r="L69">
            <v>2</v>
          </cell>
          <cell r="M69">
            <v>46083</v>
          </cell>
          <cell r="N69">
            <v>1</v>
          </cell>
          <cell r="P69">
            <v>46084</v>
          </cell>
          <cell r="R69">
            <v>14</v>
          </cell>
          <cell r="U69" t="str">
            <v>000000000012151</v>
          </cell>
        </row>
        <row r="70">
          <cell r="D70">
            <v>46083</v>
          </cell>
          <cell r="E70" t="str">
            <v>26B21-01</v>
          </cell>
          <cell r="H70" t="str">
            <v/>
          </cell>
          <cell r="J70" t="str">
            <v>26B21-01</v>
          </cell>
          <cell r="K70">
            <v>97</v>
          </cell>
          <cell r="L70">
            <v>97</v>
          </cell>
          <cell r="M70">
            <v>46084</v>
          </cell>
          <cell r="N70">
            <v>4</v>
          </cell>
          <cell r="P70">
            <v>80</v>
          </cell>
          <cell r="R70">
            <v>5</v>
          </cell>
          <cell r="U70" t="str">
            <v>000000000012151</v>
          </cell>
        </row>
        <row r="71">
          <cell r="C71">
            <v>80</v>
          </cell>
          <cell r="D71">
            <v>46084</v>
          </cell>
          <cell r="E71" t="str">
            <v>26B21-01</v>
          </cell>
          <cell r="F71">
            <v>97</v>
          </cell>
          <cell r="H71" t="str">
            <v/>
          </cell>
          <cell r="K71">
            <v>0</v>
          </cell>
          <cell r="L71" t="str">
            <v/>
          </cell>
          <cell r="P71">
            <v>99</v>
          </cell>
          <cell r="U71" t="str">
            <v>000000000012151</v>
          </cell>
        </row>
        <row r="72">
          <cell r="C72">
            <v>80</v>
          </cell>
          <cell r="H72" t="str">
            <v/>
          </cell>
          <cell r="K72">
            <v>0</v>
          </cell>
          <cell r="L72" t="str">
            <v/>
          </cell>
          <cell r="P72">
            <v>19</v>
          </cell>
          <cell r="U72" t="str">
            <v>000000000012151</v>
          </cell>
        </row>
        <row r="73">
          <cell r="C73">
            <v>1</v>
          </cell>
          <cell r="H73" t="str">
            <v/>
          </cell>
          <cell r="K73">
            <v>0</v>
          </cell>
          <cell r="L73" t="str">
            <v/>
          </cell>
          <cell r="P73">
            <v>19</v>
          </cell>
          <cell r="U73" t="str">
            <v>000000000012151</v>
          </cell>
        </row>
        <row r="74">
          <cell r="C74">
            <v>16</v>
          </cell>
          <cell r="H74" t="str">
            <v/>
          </cell>
          <cell r="K74">
            <v>0</v>
          </cell>
          <cell r="L74" t="str">
            <v/>
          </cell>
          <cell r="M74" t="str">
            <v>合計</v>
          </cell>
          <cell r="N74">
            <v>5</v>
          </cell>
          <cell r="P74">
            <v>0</v>
          </cell>
          <cell r="U74" t="str">
            <v>000000000012151</v>
          </cell>
        </row>
        <row r="75">
          <cell r="C75" t="str">
            <v>灯具-2　L＝1996</v>
          </cell>
          <cell r="H75" t="str">
            <v/>
          </cell>
          <cell r="K75">
            <v>0</v>
          </cell>
          <cell r="L75" t="str">
            <v/>
          </cell>
          <cell r="M75" t="str">
            <v>入数</v>
          </cell>
          <cell r="N75">
            <v>80</v>
          </cell>
          <cell r="P75">
            <v>99</v>
          </cell>
          <cell r="U75" t="str">
            <v>000000000012151</v>
          </cell>
        </row>
        <row r="76">
          <cell r="H76" t="str">
            <v/>
          </cell>
          <cell r="K76">
            <v>0</v>
          </cell>
          <cell r="L76" t="str">
            <v/>
          </cell>
          <cell r="M76" t="str">
            <v>作業者</v>
          </cell>
          <cell r="U76" t="str">
            <v>000000000012151</v>
          </cell>
        </row>
        <row r="77">
          <cell r="C77">
            <v>5</v>
          </cell>
          <cell r="H77" t="str">
            <v/>
          </cell>
          <cell r="K77">
            <v>0</v>
          </cell>
          <cell r="L77" t="str">
            <v/>
          </cell>
          <cell r="U77" t="str">
            <v>000000000012151</v>
          </cell>
        </row>
        <row r="78">
          <cell r="K78">
            <v>0</v>
          </cell>
          <cell r="L78" t="str">
            <v/>
          </cell>
          <cell r="M78" t="str">
            <v>T</v>
          </cell>
          <cell r="N78" t="str">
            <v>I</v>
          </cell>
          <cell r="R78">
            <v>19</v>
          </cell>
          <cell r="U78" t="str">
            <v>000000000012151</v>
          </cell>
        </row>
        <row r="79">
          <cell r="D79" t="str">
            <v>不良補填</v>
          </cell>
          <cell r="F79" t="str">
            <v/>
          </cell>
          <cell r="U79" t="str">
            <v>000000000012151</v>
          </cell>
        </row>
        <row r="80">
          <cell r="C80" t="str">
            <v>8FL281304 5010　L=888</v>
          </cell>
          <cell r="J80">
            <v>0</v>
          </cell>
          <cell r="K80">
            <v>0</v>
          </cell>
          <cell r="L80" t="str">
            <v/>
          </cell>
          <cell r="M80">
            <v>46084</v>
          </cell>
          <cell r="N80">
            <v>3</v>
          </cell>
          <cell r="P80">
            <v>46086</v>
          </cell>
          <cell r="R80">
            <v>4</v>
          </cell>
          <cell r="U80" t="str">
            <v>000000000012195</v>
          </cell>
        </row>
        <row r="81">
          <cell r="D81">
            <v>46083</v>
          </cell>
          <cell r="E81" t="str">
            <v>26A29-08</v>
          </cell>
          <cell r="G81">
            <v>20</v>
          </cell>
          <cell r="H81">
            <v>888</v>
          </cell>
          <cell r="I81">
            <v>887.95</v>
          </cell>
          <cell r="J81" t="str">
            <v>26A29-08</v>
          </cell>
          <cell r="K81">
            <v>756</v>
          </cell>
          <cell r="L81">
            <v>378</v>
          </cell>
          <cell r="M81">
            <v>46085</v>
          </cell>
          <cell r="N81">
            <v>6</v>
          </cell>
          <cell r="P81">
            <v>1200</v>
          </cell>
          <cell r="U81" t="str">
            <v>000000000012195</v>
          </cell>
        </row>
        <row r="82">
          <cell r="C82">
            <v>1200</v>
          </cell>
          <cell r="D82">
            <v>46083</v>
          </cell>
          <cell r="E82" t="str">
            <v>26A29-08</v>
          </cell>
          <cell r="F82">
            <v>400</v>
          </cell>
          <cell r="G82">
            <v>20</v>
          </cell>
          <cell r="H82">
            <v>888</v>
          </cell>
          <cell r="I82">
            <v>887.99</v>
          </cell>
          <cell r="J82" t="str">
            <v>26B24-01</v>
          </cell>
          <cell r="K82">
            <v>444</v>
          </cell>
          <cell r="L82">
            <v>222</v>
          </cell>
          <cell r="M82">
            <v>46086</v>
          </cell>
          <cell r="N82">
            <v>3</v>
          </cell>
          <cell r="P82">
            <v>602</v>
          </cell>
          <cell r="U82" t="str">
            <v>000000000012195</v>
          </cell>
        </row>
        <row r="83">
          <cell r="C83">
            <v>1200</v>
          </cell>
          <cell r="D83">
            <v>46084</v>
          </cell>
          <cell r="E83" t="str">
            <v>26A29-08</v>
          </cell>
          <cell r="F83">
            <v>356</v>
          </cell>
          <cell r="G83">
            <v>18</v>
          </cell>
          <cell r="H83">
            <v>887.88</v>
          </cell>
          <cell r="I83">
            <v>888.09</v>
          </cell>
          <cell r="J83" t="str">
            <v>26A23-05</v>
          </cell>
          <cell r="K83">
            <v>4</v>
          </cell>
          <cell r="L83">
            <v>2</v>
          </cell>
          <cell r="P83">
            <v>4</v>
          </cell>
          <cell r="U83" t="str">
            <v>000000000012195</v>
          </cell>
        </row>
        <row r="84">
          <cell r="C84">
            <v>2</v>
          </cell>
          <cell r="D84">
            <v>46084</v>
          </cell>
          <cell r="E84" t="str">
            <v>26B24-01</v>
          </cell>
          <cell r="F84">
            <v>44</v>
          </cell>
          <cell r="G84">
            <v>20</v>
          </cell>
          <cell r="H84">
            <v>888</v>
          </cell>
          <cell r="I84">
            <v>888.02</v>
          </cell>
          <cell r="K84">
            <v>0</v>
          </cell>
          <cell r="L84" t="str">
            <v/>
          </cell>
          <cell r="P84">
            <v>2</v>
          </cell>
          <cell r="U84" t="str">
            <v>000000000012195</v>
          </cell>
        </row>
        <row r="85">
          <cell r="C85">
            <v>100</v>
          </cell>
          <cell r="D85">
            <v>46085</v>
          </cell>
          <cell r="E85" t="str">
            <v>26B24-01</v>
          </cell>
          <cell r="F85">
            <v>400</v>
          </cell>
          <cell r="G85">
            <v>18</v>
          </cell>
          <cell r="H85">
            <v>887.88</v>
          </cell>
          <cell r="I85">
            <v>888.07</v>
          </cell>
          <cell r="K85">
            <v>0</v>
          </cell>
          <cell r="L85" t="str">
            <v/>
          </cell>
          <cell r="M85" t="str">
            <v>合計</v>
          </cell>
          <cell r="N85">
            <v>12</v>
          </cell>
          <cell r="P85">
            <v>0</v>
          </cell>
          <cell r="U85" t="str">
            <v>000000000012195</v>
          </cell>
        </row>
        <row r="86">
          <cell r="C86" t="str">
            <v>LED-A888</v>
          </cell>
          <cell r="H86" t="str">
            <v/>
          </cell>
          <cell r="K86">
            <v>0</v>
          </cell>
          <cell r="L86" t="str">
            <v/>
          </cell>
          <cell r="M86" t="str">
            <v>入数</v>
          </cell>
          <cell r="N86">
            <v>1200</v>
          </cell>
          <cell r="P86">
            <v>1204</v>
          </cell>
          <cell r="U86" t="str">
            <v>000000000012195</v>
          </cell>
        </row>
        <row r="87">
          <cell r="H87" t="str">
            <v/>
          </cell>
          <cell r="K87">
            <v>0</v>
          </cell>
          <cell r="L87" t="str">
            <v/>
          </cell>
          <cell r="M87" t="str">
            <v>作業者</v>
          </cell>
          <cell r="U87" t="str">
            <v>000000000012195</v>
          </cell>
        </row>
        <row r="88">
          <cell r="C88">
            <v>12</v>
          </cell>
          <cell r="H88" t="str">
            <v/>
          </cell>
          <cell r="K88">
            <v>0</v>
          </cell>
          <cell r="L88" t="str">
            <v/>
          </cell>
          <cell r="M88" t="str">
            <v>C</v>
          </cell>
          <cell r="N88" t="str">
            <v>I</v>
          </cell>
          <cell r="U88" t="str">
            <v>000000000012195</v>
          </cell>
        </row>
        <row r="89">
          <cell r="D89">
            <v>46086</v>
          </cell>
          <cell r="E89" t="str">
            <v>26A23-05</v>
          </cell>
          <cell r="F89">
            <v>4</v>
          </cell>
          <cell r="K89">
            <v>0</v>
          </cell>
          <cell r="L89" t="str">
            <v/>
          </cell>
          <cell r="M89" t="str">
            <v>T</v>
          </cell>
          <cell r="N89" t="str">
            <v>U</v>
          </cell>
          <cell r="R89">
            <v>4</v>
          </cell>
          <cell r="U89" t="str">
            <v>000000000012195</v>
          </cell>
        </row>
        <row r="90">
          <cell r="D90" t="str">
            <v>不良補填</v>
          </cell>
          <cell r="F90">
            <v>4</v>
          </cell>
          <cell r="U90" t="str">
            <v>000000000012195</v>
          </cell>
        </row>
        <row r="91">
          <cell r="C91" t="str">
            <v>8FL281304 8310　L=748</v>
          </cell>
          <cell r="J91">
            <v>0</v>
          </cell>
          <cell r="K91">
            <v>0</v>
          </cell>
          <cell r="L91" t="str">
            <v/>
          </cell>
          <cell r="M91">
            <v>46086</v>
          </cell>
          <cell r="N91">
            <v>4</v>
          </cell>
          <cell r="P91">
            <v>46086</v>
          </cell>
          <cell r="R91">
            <v>2</v>
          </cell>
          <cell r="U91" t="str">
            <v>000000000012194</v>
          </cell>
        </row>
        <row r="92">
          <cell r="D92">
            <v>46085</v>
          </cell>
          <cell r="E92" t="str">
            <v>26B24-01</v>
          </cell>
          <cell r="G92">
            <v>20</v>
          </cell>
          <cell r="H92">
            <v>748</v>
          </cell>
          <cell r="I92">
            <v>748.03</v>
          </cell>
          <cell r="J92" t="str">
            <v>26B24-01</v>
          </cell>
          <cell r="K92">
            <v>400</v>
          </cell>
          <cell r="L92">
            <v>200</v>
          </cell>
          <cell r="P92">
            <v>400</v>
          </cell>
          <cell r="U92" t="str">
            <v>000000000012194</v>
          </cell>
        </row>
        <row r="93">
          <cell r="C93">
            <v>400</v>
          </cell>
          <cell r="D93">
            <v>46085</v>
          </cell>
          <cell r="E93" t="str">
            <v>26B24-01</v>
          </cell>
          <cell r="F93">
            <v>400</v>
          </cell>
          <cell r="G93">
            <v>18</v>
          </cell>
          <cell r="H93">
            <v>747.9</v>
          </cell>
          <cell r="I93">
            <v>748.12</v>
          </cell>
          <cell r="J93" t="str">
            <v>26A29-08</v>
          </cell>
          <cell r="K93">
            <v>3</v>
          </cell>
          <cell r="L93">
            <v>1.5</v>
          </cell>
          <cell r="P93">
            <v>201.5</v>
          </cell>
          <cell r="R93">
            <v>1</v>
          </cell>
          <cell r="U93" t="str">
            <v>000000000012194</v>
          </cell>
        </row>
        <row r="94">
          <cell r="C94">
            <v>400</v>
          </cell>
          <cell r="H94" t="str">
            <v/>
          </cell>
          <cell r="K94">
            <v>0</v>
          </cell>
          <cell r="L94" t="str">
            <v/>
          </cell>
          <cell r="P94">
            <v>3</v>
          </cell>
          <cell r="U94" t="str">
            <v>000000000012194</v>
          </cell>
        </row>
        <row r="95">
          <cell r="C95">
            <v>2</v>
          </cell>
          <cell r="H95" t="str">
            <v/>
          </cell>
          <cell r="K95">
            <v>0</v>
          </cell>
          <cell r="L95" t="str">
            <v/>
          </cell>
          <cell r="P95">
            <v>1.5</v>
          </cell>
          <cell r="U95" t="str">
            <v>000000000012194</v>
          </cell>
        </row>
        <row r="96">
          <cell r="C96">
            <v>100</v>
          </cell>
          <cell r="H96" t="str">
            <v/>
          </cell>
          <cell r="K96">
            <v>0</v>
          </cell>
          <cell r="L96" t="str">
            <v/>
          </cell>
          <cell r="M96" t="str">
            <v>合計</v>
          </cell>
          <cell r="N96">
            <v>4</v>
          </cell>
          <cell r="P96">
            <v>0</v>
          </cell>
          <cell r="U96" t="str">
            <v>000000000012194</v>
          </cell>
        </row>
        <row r="97">
          <cell r="C97" t="str">
            <v>LED-A888</v>
          </cell>
          <cell r="H97" t="str">
            <v/>
          </cell>
          <cell r="K97">
            <v>0</v>
          </cell>
          <cell r="L97" t="str">
            <v/>
          </cell>
          <cell r="M97" t="str">
            <v>入数</v>
          </cell>
          <cell r="N97">
            <v>400</v>
          </cell>
          <cell r="P97">
            <v>403</v>
          </cell>
          <cell r="U97" t="str">
            <v>000000000012194</v>
          </cell>
        </row>
        <row r="98">
          <cell r="H98" t="str">
            <v/>
          </cell>
          <cell r="K98">
            <v>0</v>
          </cell>
          <cell r="L98" t="str">
            <v/>
          </cell>
          <cell r="M98" t="str">
            <v>作業者</v>
          </cell>
          <cell r="U98" t="str">
            <v>000000000012194</v>
          </cell>
        </row>
        <row r="99">
          <cell r="C99">
            <v>4</v>
          </cell>
          <cell r="H99" t="str">
            <v/>
          </cell>
          <cell r="K99">
            <v>0</v>
          </cell>
          <cell r="L99" t="str">
            <v/>
          </cell>
          <cell r="M99" t="str">
            <v>I</v>
          </cell>
          <cell r="U99" t="str">
            <v>000000000012194</v>
          </cell>
        </row>
        <row r="100">
          <cell r="K100">
            <v>0</v>
          </cell>
          <cell r="L100" t="str">
            <v/>
          </cell>
          <cell r="M100" t="str">
            <v>T</v>
          </cell>
          <cell r="R100">
            <v>3</v>
          </cell>
          <cell r="U100" t="str">
            <v>000000000012194</v>
          </cell>
        </row>
        <row r="101">
          <cell r="D101" t="str">
            <v>不良補填</v>
          </cell>
          <cell r="E101" t="str">
            <v>26A29-08</v>
          </cell>
          <cell r="F101">
            <v>3</v>
          </cell>
          <cell r="U101" t="str">
            <v>000000000012194</v>
          </cell>
        </row>
        <row r="102">
          <cell r="C102" t="str">
            <v>8FL281304 4910　L=592</v>
          </cell>
          <cell r="J102">
            <v>0</v>
          </cell>
          <cell r="K102">
            <v>0</v>
          </cell>
          <cell r="L102" t="str">
            <v/>
          </cell>
          <cell r="M102">
            <v>46086</v>
          </cell>
          <cell r="N102">
            <v>1</v>
          </cell>
          <cell r="P102">
            <v>46086</v>
          </cell>
          <cell r="U102" t="str">
            <v>000000000012192</v>
          </cell>
        </row>
        <row r="103">
          <cell r="D103">
            <v>46085</v>
          </cell>
          <cell r="E103" t="str">
            <v>26B24-01</v>
          </cell>
          <cell r="G103">
            <v>20</v>
          </cell>
          <cell r="H103">
            <v>591.5</v>
          </cell>
          <cell r="I103">
            <v>591.5</v>
          </cell>
          <cell r="J103" t="str">
            <v>26B24-01</v>
          </cell>
          <cell r="K103">
            <v>100</v>
          </cell>
          <cell r="L103">
            <v>33.333333333333336</v>
          </cell>
          <cell r="P103">
            <v>100</v>
          </cell>
          <cell r="U103" t="str">
            <v>000000000012192</v>
          </cell>
        </row>
        <row r="104">
          <cell r="C104">
            <v>100</v>
          </cell>
          <cell r="D104">
            <v>46086</v>
          </cell>
          <cell r="E104" t="str">
            <v>26B24-01</v>
          </cell>
          <cell r="G104">
            <v>16</v>
          </cell>
          <cell r="H104">
            <v>591.35</v>
          </cell>
          <cell r="I104">
            <v>591.53</v>
          </cell>
          <cell r="K104">
            <v>0</v>
          </cell>
          <cell r="L104" t="str">
            <v/>
          </cell>
          <cell r="P104">
            <v>33.333333333333336</v>
          </cell>
          <cell r="U104" t="str">
            <v>000000000012192</v>
          </cell>
        </row>
        <row r="105">
          <cell r="C105">
            <v>100</v>
          </cell>
          <cell r="D105">
            <v>46086</v>
          </cell>
          <cell r="E105" t="str">
            <v>26B24-01</v>
          </cell>
          <cell r="F105">
            <v>100</v>
          </cell>
          <cell r="G105">
            <v>18</v>
          </cell>
          <cell r="H105">
            <v>591.41999999999996</v>
          </cell>
          <cell r="I105">
            <v>591.54</v>
          </cell>
          <cell r="K105">
            <v>0</v>
          </cell>
          <cell r="L105" t="str">
            <v/>
          </cell>
          <cell r="P105">
            <v>0</v>
          </cell>
          <cell r="U105" t="str">
            <v>000000000012192</v>
          </cell>
        </row>
        <row r="106">
          <cell r="C106">
            <v>3</v>
          </cell>
          <cell r="H106" t="str">
            <v/>
          </cell>
          <cell r="K106">
            <v>0</v>
          </cell>
          <cell r="L106" t="str">
            <v/>
          </cell>
          <cell r="P106">
            <v>0</v>
          </cell>
          <cell r="U106" t="str">
            <v>000000000012192</v>
          </cell>
        </row>
        <row r="107">
          <cell r="C107">
            <v>100</v>
          </cell>
          <cell r="H107" t="str">
            <v/>
          </cell>
          <cell r="K107">
            <v>0</v>
          </cell>
          <cell r="L107" t="str">
            <v/>
          </cell>
          <cell r="M107" t="str">
            <v>合計</v>
          </cell>
          <cell r="N107">
            <v>1</v>
          </cell>
          <cell r="P107">
            <v>0</v>
          </cell>
          <cell r="U107" t="str">
            <v>000000000012192</v>
          </cell>
        </row>
        <row r="108">
          <cell r="C108" t="str">
            <v>LED-A592</v>
          </cell>
          <cell r="H108" t="str">
            <v/>
          </cell>
          <cell r="K108">
            <v>0</v>
          </cell>
          <cell r="L108" t="str">
            <v/>
          </cell>
          <cell r="M108" t="str">
            <v>入数</v>
          </cell>
          <cell r="N108">
            <v>100</v>
          </cell>
          <cell r="P108">
            <v>100</v>
          </cell>
          <cell r="U108" t="str">
            <v>000000000012192</v>
          </cell>
        </row>
        <row r="109">
          <cell r="H109" t="str">
            <v/>
          </cell>
          <cell r="K109">
            <v>0</v>
          </cell>
          <cell r="L109" t="str">
            <v/>
          </cell>
          <cell r="M109" t="str">
            <v>作業者</v>
          </cell>
          <cell r="U109" t="str">
            <v>000000000012192</v>
          </cell>
        </row>
        <row r="110">
          <cell r="C110">
            <v>1</v>
          </cell>
          <cell r="H110" t="str">
            <v/>
          </cell>
          <cell r="K110">
            <v>0</v>
          </cell>
          <cell r="L110" t="str">
            <v/>
          </cell>
          <cell r="M110" t="str">
            <v>I</v>
          </cell>
          <cell r="U110" t="str">
            <v>000000000012192</v>
          </cell>
        </row>
        <row r="111">
          <cell r="K111">
            <v>0</v>
          </cell>
          <cell r="L111" t="str">
            <v/>
          </cell>
          <cell r="M111" t="str">
            <v>T</v>
          </cell>
          <cell r="R111">
            <v>0</v>
          </cell>
          <cell r="U111" t="str">
            <v>000000000012192</v>
          </cell>
        </row>
        <row r="112">
          <cell r="D112" t="str">
            <v>不良補填</v>
          </cell>
          <cell r="F112">
            <v>0</v>
          </cell>
          <cell r="U112" t="str">
            <v>000000000012192</v>
          </cell>
        </row>
        <row r="113">
          <cell r="C113" t="str">
            <v>8FL281304 8110　L=444</v>
          </cell>
          <cell r="J113">
            <v>0</v>
          </cell>
          <cell r="K113">
            <v>0</v>
          </cell>
          <cell r="L113" t="str">
            <v/>
          </cell>
          <cell r="M113">
            <v>46086</v>
          </cell>
          <cell r="N113">
            <v>1</v>
          </cell>
          <cell r="P113">
            <v>46086</v>
          </cell>
          <cell r="R113">
            <v>1</v>
          </cell>
          <cell r="U113" t="str">
            <v>000000000012191</v>
          </cell>
        </row>
        <row r="114">
          <cell r="D114">
            <v>46086</v>
          </cell>
          <cell r="E114" t="str">
            <v>26B24-01</v>
          </cell>
          <cell r="G114">
            <v>20</v>
          </cell>
          <cell r="H114">
            <v>443.5</v>
          </cell>
          <cell r="I114">
            <v>443.61</v>
          </cell>
          <cell r="J114" t="str">
            <v>26B24-01</v>
          </cell>
          <cell r="K114">
            <v>100</v>
          </cell>
          <cell r="L114">
            <v>25</v>
          </cell>
          <cell r="P114">
            <v>100</v>
          </cell>
          <cell r="U114" t="str">
            <v>000000000012191</v>
          </cell>
        </row>
        <row r="115">
          <cell r="C115">
            <v>100</v>
          </cell>
          <cell r="D115">
            <v>46086</v>
          </cell>
          <cell r="E115" t="str">
            <v>26B24-01</v>
          </cell>
          <cell r="F115">
            <v>100</v>
          </cell>
          <cell r="G115">
            <v>20</v>
          </cell>
          <cell r="H115">
            <v>443.5</v>
          </cell>
          <cell r="I115">
            <v>443.62</v>
          </cell>
          <cell r="J115" t="str">
            <v>25L19-08</v>
          </cell>
          <cell r="K115">
            <v>3</v>
          </cell>
          <cell r="L115">
            <v>0.75</v>
          </cell>
          <cell r="P115">
            <v>25.75</v>
          </cell>
          <cell r="U115" t="str">
            <v>000000000012191</v>
          </cell>
        </row>
        <row r="116">
          <cell r="C116">
            <v>100</v>
          </cell>
          <cell r="H116" t="str">
            <v/>
          </cell>
          <cell r="K116">
            <v>0</v>
          </cell>
          <cell r="L116" t="str">
            <v/>
          </cell>
          <cell r="P116">
            <v>3</v>
          </cell>
          <cell r="U116" t="str">
            <v>000000000012191</v>
          </cell>
        </row>
        <row r="117">
          <cell r="C117">
            <v>4</v>
          </cell>
          <cell r="H117" t="str">
            <v/>
          </cell>
          <cell r="K117">
            <v>0</v>
          </cell>
          <cell r="L117" t="str">
            <v/>
          </cell>
          <cell r="P117">
            <v>0.75</v>
          </cell>
          <cell r="U117" t="str">
            <v>000000000012191</v>
          </cell>
        </row>
        <row r="118">
          <cell r="C118">
            <v>100</v>
          </cell>
          <cell r="H118" t="str">
            <v/>
          </cell>
          <cell r="K118">
            <v>0</v>
          </cell>
          <cell r="L118" t="str">
            <v/>
          </cell>
          <cell r="M118" t="str">
            <v>合計</v>
          </cell>
          <cell r="N118">
            <v>1</v>
          </cell>
          <cell r="P118">
            <v>0</v>
          </cell>
          <cell r="U118" t="str">
            <v>000000000012191</v>
          </cell>
        </row>
        <row r="119">
          <cell r="C119" t="str">
            <v>LED-A444</v>
          </cell>
          <cell r="H119" t="str">
            <v/>
          </cell>
          <cell r="K119">
            <v>0</v>
          </cell>
          <cell r="L119" t="str">
            <v/>
          </cell>
          <cell r="M119" t="str">
            <v>入数</v>
          </cell>
          <cell r="N119">
            <v>100</v>
          </cell>
          <cell r="P119">
            <v>103</v>
          </cell>
          <cell r="U119" t="str">
            <v>000000000012191</v>
          </cell>
        </row>
        <row r="120">
          <cell r="H120" t="str">
            <v/>
          </cell>
          <cell r="K120">
            <v>0</v>
          </cell>
          <cell r="L120" t="str">
            <v/>
          </cell>
          <cell r="M120" t="str">
            <v>作業者</v>
          </cell>
          <cell r="U120" t="str">
            <v>000000000012191</v>
          </cell>
        </row>
        <row r="121">
          <cell r="C121">
            <v>1</v>
          </cell>
          <cell r="H121" t="str">
            <v/>
          </cell>
          <cell r="K121">
            <v>0</v>
          </cell>
          <cell r="L121" t="str">
            <v/>
          </cell>
          <cell r="M121" t="str">
            <v>C</v>
          </cell>
          <cell r="R121">
            <v>2</v>
          </cell>
          <cell r="U121" t="str">
            <v>000000000012191</v>
          </cell>
        </row>
        <row r="122">
          <cell r="K122">
            <v>0</v>
          </cell>
          <cell r="L122" t="str">
            <v/>
          </cell>
          <cell r="M122" t="str">
            <v>T</v>
          </cell>
          <cell r="R122">
            <v>3</v>
          </cell>
          <cell r="U122" t="str">
            <v>000000000012191</v>
          </cell>
        </row>
        <row r="123">
          <cell r="D123" t="str">
            <v>不良補填</v>
          </cell>
          <cell r="E123" t="str">
            <v>25L19-08</v>
          </cell>
          <cell r="F123">
            <v>3</v>
          </cell>
          <cell r="U123" t="str">
            <v>000000000012191</v>
          </cell>
        </row>
        <row r="124">
          <cell r="C124" t="str">
            <v>8FL281304 4810　L=297</v>
          </cell>
          <cell r="D124">
            <v>46065</v>
          </cell>
          <cell r="E124" t="str">
            <v>26A24-06</v>
          </cell>
          <cell r="F124">
            <v>5</v>
          </cell>
          <cell r="J124" t="str">
            <v>26A24-06</v>
          </cell>
          <cell r="K124">
            <v>5</v>
          </cell>
          <cell r="L124">
            <v>0</v>
          </cell>
          <cell r="M124">
            <v>46086</v>
          </cell>
          <cell r="N124">
            <v>3</v>
          </cell>
          <cell r="P124">
            <v>46086</v>
          </cell>
          <cell r="U124" t="str">
            <v>000000000012189</v>
          </cell>
        </row>
        <row r="125">
          <cell r="D125">
            <v>46086</v>
          </cell>
          <cell r="E125" t="str">
            <v>端材</v>
          </cell>
          <cell r="F125">
            <v>22</v>
          </cell>
          <cell r="G125">
            <v>20</v>
          </cell>
          <cell r="H125">
            <v>297</v>
          </cell>
          <cell r="J125" t="str">
            <v>端材</v>
          </cell>
          <cell r="K125">
            <v>22</v>
          </cell>
          <cell r="L125" t="str">
            <v>0</v>
          </cell>
          <cell r="P125">
            <v>300</v>
          </cell>
          <cell r="U125" t="str">
            <v>000000000012189</v>
          </cell>
        </row>
        <row r="126">
          <cell r="C126">
            <v>300</v>
          </cell>
          <cell r="D126">
            <v>46086</v>
          </cell>
          <cell r="E126" t="str">
            <v>26B24-01</v>
          </cell>
          <cell r="F126">
            <v>273</v>
          </cell>
          <cell r="G126">
            <v>20</v>
          </cell>
          <cell r="H126">
            <v>297</v>
          </cell>
          <cell r="J126" t="str">
            <v>26B24-01</v>
          </cell>
          <cell r="K126">
            <v>273</v>
          </cell>
          <cell r="L126">
            <v>45.5</v>
          </cell>
          <cell r="P126">
            <v>46.333333333333336</v>
          </cell>
          <cell r="U126" t="str">
            <v>000000000012189</v>
          </cell>
        </row>
        <row r="127">
          <cell r="C127">
            <v>300</v>
          </cell>
          <cell r="H127" t="str">
            <v/>
          </cell>
          <cell r="K127">
            <v>0</v>
          </cell>
          <cell r="L127" t="str">
            <v/>
          </cell>
          <cell r="P127">
            <v>0</v>
          </cell>
          <cell r="U127" t="str">
            <v>000000000012189</v>
          </cell>
        </row>
        <row r="128">
          <cell r="C128">
            <v>6</v>
          </cell>
          <cell r="H128" t="str">
            <v/>
          </cell>
          <cell r="K128">
            <v>0</v>
          </cell>
          <cell r="L128" t="str">
            <v/>
          </cell>
          <cell r="P128">
            <v>0</v>
          </cell>
          <cell r="U128" t="str">
            <v>000000000012189</v>
          </cell>
        </row>
        <row r="129">
          <cell r="C129">
            <v>100</v>
          </cell>
          <cell r="H129" t="str">
            <v/>
          </cell>
          <cell r="K129">
            <v>0</v>
          </cell>
          <cell r="L129" t="str">
            <v/>
          </cell>
          <cell r="M129" t="str">
            <v>合計</v>
          </cell>
          <cell r="N129">
            <v>3</v>
          </cell>
          <cell r="P129">
            <v>22</v>
          </cell>
          <cell r="U129" t="str">
            <v>000000000012189</v>
          </cell>
        </row>
        <row r="130">
          <cell r="C130" t="str">
            <v>LED-A300</v>
          </cell>
          <cell r="H130" t="str">
            <v/>
          </cell>
          <cell r="K130">
            <v>0</v>
          </cell>
          <cell r="L130" t="str">
            <v/>
          </cell>
          <cell r="M130" t="str">
            <v>入数</v>
          </cell>
          <cell r="N130">
            <v>300</v>
          </cell>
          <cell r="P130">
            <v>300</v>
          </cell>
          <cell r="U130" t="str">
            <v>000000000012189</v>
          </cell>
        </row>
        <row r="131">
          <cell r="H131" t="str">
            <v/>
          </cell>
          <cell r="K131">
            <v>0</v>
          </cell>
          <cell r="L131" t="str">
            <v/>
          </cell>
          <cell r="M131" t="str">
            <v>作業者</v>
          </cell>
          <cell r="U131" t="str">
            <v>000000000012189</v>
          </cell>
        </row>
        <row r="132">
          <cell r="C132">
            <v>3</v>
          </cell>
          <cell r="H132" t="str">
            <v/>
          </cell>
          <cell r="K132">
            <v>0</v>
          </cell>
          <cell r="L132" t="str">
            <v/>
          </cell>
          <cell r="M132" t="str">
            <v>I</v>
          </cell>
          <cell r="U132" t="str">
            <v>000000000012189</v>
          </cell>
        </row>
        <row r="133">
          <cell r="K133">
            <v>0</v>
          </cell>
          <cell r="L133" t="str">
            <v/>
          </cell>
          <cell r="M133" t="str">
            <v>U</v>
          </cell>
          <cell r="R133">
            <v>0</v>
          </cell>
          <cell r="U133" t="str">
            <v>000000000012189</v>
          </cell>
        </row>
        <row r="134">
          <cell r="D134" t="str">
            <v>不良補填</v>
          </cell>
          <cell r="F134">
            <v>0</v>
          </cell>
          <cell r="U134" t="str">
            <v>000000000012189</v>
          </cell>
        </row>
        <row r="135">
          <cell r="C135" t="str">
            <v>灯具カバーPC IN 2050　L=1183.5</v>
          </cell>
          <cell r="D135">
            <v>46080</v>
          </cell>
          <cell r="E135" t="str">
            <v>26B20-01</v>
          </cell>
          <cell r="F135">
            <v>11</v>
          </cell>
          <cell r="J135" t="str">
            <v>26B20-01</v>
          </cell>
          <cell r="K135">
            <v>11</v>
          </cell>
          <cell r="L135">
            <v>11</v>
          </cell>
          <cell r="M135">
            <v>46084</v>
          </cell>
          <cell r="N135">
            <v>9</v>
          </cell>
          <cell r="P135">
            <v>46085</v>
          </cell>
          <cell r="R135">
            <v>27</v>
          </cell>
          <cell r="U135" t="str">
            <v>000000000012148</v>
          </cell>
        </row>
        <row r="136">
          <cell r="D136">
            <v>46084</v>
          </cell>
          <cell r="E136" t="str">
            <v>26B19-01</v>
          </cell>
          <cell r="H136" t="str">
            <v/>
          </cell>
          <cell r="J136" t="str">
            <v>26B19-01</v>
          </cell>
          <cell r="K136">
            <v>197</v>
          </cell>
          <cell r="L136">
            <v>197</v>
          </cell>
          <cell r="M136">
            <v>46085</v>
          </cell>
          <cell r="N136">
            <v>2</v>
          </cell>
          <cell r="P136">
            <v>176</v>
          </cell>
          <cell r="R136">
            <v>5</v>
          </cell>
          <cell r="U136" t="str">
            <v>000000000012148</v>
          </cell>
        </row>
        <row r="137">
          <cell r="C137">
            <v>176</v>
          </cell>
          <cell r="D137">
            <v>46085</v>
          </cell>
          <cell r="E137" t="str">
            <v>26B19-01</v>
          </cell>
          <cell r="F137">
            <v>197</v>
          </cell>
          <cell r="H137" t="str">
            <v/>
          </cell>
          <cell r="K137">
            <v>0</v>
          </cell>
          <cell r="L137" t="str">
            <v/>
          </cell>
          <cell r="P137">
            <v>208</v>
          </cell>
          <cell r="U137" t="str">
            <v>000000000012148</v>
          </cell>
        </row>
        <row r="138">
          <cell r="C138">
            <v>176</v>
          </cell>
          <cell r="H138" t="str">
            <v/>
          </cell>
          <cell r="K138">
            <v>0</v>
          </cell>
          <cell r="L138" t="str">
            <v/>
          </cell>
          <cell r="P138">
            <v>32</v>
          </cell>
          <cell r="U138" t="str">
            <v>000000000012148</v>
          </cell>
        </row>
        <row r="139">
          <cell r="C139">
            <v>1</v>
          </cell>
          <cell r="H139" t="str">
            <v/>
          </cell>
          <cell r="K139">
            <v>0</v>
          </cell>
          <cell r="L139" t="str">
            <v/>
          </cell>
          <cell r="P139">
            <v>32</v>
          </cell>
          <cell r="U139" t="str">
            <v>000000000012148</v>
          </cell>
        </row>
        <row r="140">
          <cell r="C140">
            <v>16</v>
          </cell>
          <cell r="H140" t="str">
            <v/>
          </cell>
          <cell r="K140">
            <v>0</v>
          </cell>
          <cell r="L140" t="str">
            <v/>
          </cell>
          <cell r="M140" t="str">
            <v>合計</v>
          </cell>
          <cell r="N140">
            <v>11</v>
          </cell>
          <cell r="P140">
            <v>0</v>
          </cell>
          <cell r="U140" t="str">
            <v>000000000012148</v>
          </cell>
        </row>
        <row r="141">
          <cell r="C141" t="str">
            <v>灯具-1　L=1370</v>
          </cell>
          <cell r="H141" t="str">
            <v/>
          </cell>
          <cell r="K141">
            <v>0</v>
          </cell>
          <cell r="L141" t="str">
            <v/>
          </cell>
          <cell r="M141" t="str">
            <v>入数</v>
          </cell>
          <cell r="N141">
            <v>176</v>
          </cell>
          <cell r="P141">
            <v>208</v>
          </cell>
          <cell r="U141" t="str">
            <v>000000000012148</v>
          </cell>
        </row>
        <row r="142">
          <cell r="H142" t="str">
            <v/>
          </cell>
          <cell r="K142">
            <v>0</v>
          </cell>
          <cell r="L142" t="str">
            <v/>
          </cell>
          <cell r="M142" t="str">
            <v>作業者</v>
          </cell>
          <cell r="U142" t="str">
            <v>000000000012148</v>
          </cell>
        </row>
        <row r="143">
          <cell r="C143">
            <v>11</v>
          </cell>
          <cell r="H143" t="str">
            <v/>
          </cell>
          <cell r="K143">
            <v>0</v>
          </cell>
          <cell r="L143" t="str">
            <v/>
          </cell>
          <cell r="U143" t="str">
            <v>000000000012148</v>
          </cell>
        </row>
        <row r="144">
          <cell r="K144">
            <v>0</v>
          </cell>
          <cell r="L144" t="str">
            <v/>
          </cell>
          <cell r="M144" t="str">
            <v>T</v>
          </cell>
          <cell r="N144" t="str">
            <v>I</v>
          </cell>
          <cell r="R144">
            <v>32</v>
          </cell>
          <cell r="U144" t="str">
            <v>000000000012148</v>
          </cell>
        </row>
        <row r="145">
          <cell r="D145" t="str">
            <v>不良補填</v>
          </cell>
          <cell r="F145" t="str">
            <v/>
          </cell>
          <cell r="U145" t="str">
            <v>000000000012148</v>
          </cell>
        </row>
        <row r="146">
          <cell r="C146" t="str">
            <v>8FL281304 4810　L=297</v>
          </cell>
          <cell r="J146">
            <v>0</v>
          </cell>
          <cell r="K146">
            <v>0</v>
          </cell>
          <cell r="L146" t="str">
            <v/>
          </cell>
          <cell r="M146">
            <v>46086</v>
          </cell>
          <cell r="N146">
            <v>2</v>
          </cell>
          <cell r="P146">
            <v>46087</v>
          </cell>
          <cell r="R146">
            <v>3</v>
          </cell>
          <cell r="U146" t="str">
            <v>000000000012190</v>
          </cell>
        </row>
        <row r="147">
          <cell r="D147">
            <v>46086</v>
          </cell>
          <cell r="E147" t="str">
            <v>26B24-01</v>
          </cell>
          <cell r="G147">
            <v>20</v>
          </cell>
          <cell r="H147">
            <v>297</v>
          </cell>
          <cell r="I147">
            <v>297.16000000000003</v>
          </cell>
          <cell r="J147" t="str">
            <v>26B24-01</v>
          </cell>
          <cell r="K147">
            <v>303</v>
          </cell>
          <cell r="L147">
            <v>50.5</v>
          </cell>
          <cell r="M147">
            <v>46087</v>
          </cell>
          <cell r="N147">
            <v>1</v>
          </cell>
          <cell r="P147">
            <v>300</v>
          </cell>
          <cell r="U147" t="str">
            <v>000000000012190</v>
          </cell>
        </row>
        <row r="148">
          <cell r="C148">
            <v>300</v>
          </cell>
          <cell r="D148">
            <v>46086</v>
          </cell>
          <cell r="E148" t="str">
            <v>26B24-01</v>
          </cell>
          <cell r="F148">
            <v>300</v>
          </cell>
          <cell r="G148">
            <v>20</v>
          </cell>
          <cell r="H148">
            <v>297</v>
          </cell>
          <cell r="I148">
            <v>297.14999999999998</v>
          </cell>
          <cell r="K148">
            <v>0</v>
          </cell>
          <cell r="L148" t="str">
            <v/>
          </cell>
          <cell r="P148">
            <v>50.5</v>
          </cell>
          <cell r="U148" t="str">
            <v>000000000012190</v>
          </cell>
        </row>
        <row r="149">
          <cell r="C149">
            <v>300</v>
          </cell>
          <cell r="H149" t="str">
            <v/>
          </cell>
          <cell r="K149">
            <v>0</v>
          </cell>
          <cell r="L149" t="str">
            <v/>
          </cell>
          <cell r="P149">
            <v>3</v>
          </cell>
          <cell r="U149" t="str">
            <v>000000000012190</v>
          </cell>
        </row>
        <row r="150">
          <cell r="C150">
            <v>6</v>
          </cell>
          <cell r="H150" t="str">
            <v/>
          </cell>
          <cell r="K150">
            <v>0</v>
          </cell>
          <cell r="L150" t="str">
            <v/>
          </cell>
          <cell r="P150">
            <v>0.5</v>
          </cell>
          <cell r="U150" t="str">
            <v>000000000012190</v>
          </cell>
        </row>
        <row r="151">
          <cell r="C151">
            <v>100</v>
          </cell>
          <cell r="H151" t="str">
            <v/>
          </cell>
          <cell r="K151">
            <v>0</v>
          </cell>
          <cell r="L151" t="str">
            <v/>
          </cell>
          <cell r="M151" t="str">
            <v>合計</v>
          </cell>
          <cell r="N151">
            <v>3</v>
          </cell>
          <cell r="P151">
            <v>0</v>
          </cell>
          <cell r="U151" t="str">
            <v>000000000012190</v>
          </cell>
        </row>
        <row r="152">
          <cell r="C152" t="str">
            <v>LED-A300</v>
          </cell>
          <cell r="H152" t="str">
            <v/>
          </cell>
          <cell r="K152">
            <v>0</v>
          </cell>
          <cell r="L152" t="str">
            <v/>
          </cell>
          <cell r="M152" t="str">
            <v>入数</v>
          </cell>
          <cell r="N152">
            <v>300</v>
          </cell>
          <cell r="P152">
            <v>303</v>
          </cell>
          <cell r="U152" t="str">
            <v>000000000012190</v>
          </cell>
        </row>
        <row r="153">
          <cell r="H153" t="str">
            <v/>
          </cell>
          <cell r="K153">
            <v>0</v>
          </cell>
          <cell r="L153" t="str">
            <v/>
          </cell>
          <cell r="M153" t="str">
            <v>作業者</v>
          </cell>
          <cell r="U153" t="str">
            <v>000000000012190</v>
          </cell>
        </row>
        <row r="154">
          <cell r="C154">
            <v>3</v>
          </cell>
          <cell r="H154" t="str">
            <v/>
          </cell>
          <cell r="K154">
            <v>0</v>
          </cell>
          <cell r="L154" t="str">
            <v/>
          </cell>
          <cell r="M154" t="str">
            <v>I</v>
          </cell>
          <cell r="U154" t="str">
            <v>000000000012190</v>
          </cell>
        </row>
        <row r="155">
          <cell r="K155">
            <v>0</v>
          </cell>
          <cell r="L155" t="str">
            <v/>
          </cell>
          <cell r="M155" t="str">
            <v>U</v>
          </cell>
          <cell r="N155" t="str">
            <v>T</v>
          </cell>
          <cell r="R155">
            <v>3</v>
          </cell>
          <cell r="U155" t="str">
            <v>000000000012190</v>
          </cell>
        </row>
        <row r="156">
          <cell r="D156">
            <v>46087</v>
          </cell>
          <cell r="E156" t="str">
            <v>26B24-01</v>
          </cell>
          <cell r="F156">
            <v>3</v>
          </cell>
          <cell r="U156" t="str">
            <v>000000000012190</v>
          </cell>
        </row>
        <row r="157">
          <cell r="C157" t="str">
            <v>8FL281304 6110　L=1478</v>
          </cell>
          <cell r="J157">
            <v>0</v>
          </cell>
          <cell r="K157">
            <v>0</v>
          </cell>
          <cell r="L157" t="str">
            <v/>
          </cell>
          <cell r="M157">
            <v>46087</v>
          </cell>
          <cell r="N157">
            <v>1</v>
          </cell>
          <cell r="P157">
            <v>46087</v>
          </cell>
          <cell r="R157">
            <v>1</v>
          </cell>
          <cell r="U157" t="str">
            <v>000000000012197</v>
          </cell>
        </row>
        <row r="158">
          <cell r="D158">
            <v>46086</v>
          </cell>
          <cell r="E158" t="str">
            <v>26B24-01</v>
          </cell>
          <cell r="G158">
            <v>20</v>
          </cell>
          <cell r="H158">
            <v>1478</v>
          </cell>
          <cell r="I158">
            <v>1477.89</v>
          </cell>
          <cell r="J158" t="str">
            <v>26B24-01</v>
          </cell>
          <cell r="K158">
            <v>100</v>
          </cell>
          <cell r="L158">
            <v>100</v>
          </cell>
          <cell r="P158">
            <v>100</v>
          </cell>
          <cell r="U158" t="str">
            <v>000000000012197</v>
          </cell>
        </row>
        <row r="159">
          <cell r="C159">
            <v>100</v>
          </cell>
          <cell r="D159">
            <v>46086</v>
          </cell>
          <cell r="E159" t="str">
            <v>26B24-01</v>
          </cell>
          <cell r="F159">
            <v>100</v>
          </cell>
          <cell r="G159">
            <v>20</v>
          </cell>
          <cell r="H159">
            <v>1478</v>
          </cell>
          <cell r="I159">
            <v>1477.93</v>
          </cell>
          <cell r="J159" t="str">
            <v>26A21-02</v>
          </cell>
          <cell r="K159">
            <v>1</v>
          </cell>
          <cell r="L159">
            <v>1</v>
          </cell>
          <cell r="P159">
            <v>101</v>
          </cell>
          <cell r="U159" t="str">
            <v>000000000012197</v>
          </cell>
        </row>
        <row r="160">
          <cell r="C160">
            <v>100</v>
          </cell>
          <cell r="H160" t="str">
            <v/>
          </cell>
          <cell r="K160">
            <v>0</v>
          </cell>
          <cell r="L160" t="str">
            <v/>
          </cell>
          <cell r="P160">
            <v>1</v>
          </cell>
          <cell r="U160" t="str">
            <v>000000000012197</v>
          </cell>
        </row>
        <row r="161">
          <cell r="C161">
            <v>1</v>
          </cell>
          <cell r="H161" t="str">
            <v/>
          </cell>
          <cell r="K161">
            <v>0</v>
          </cell>
          <cell r="L161" t="str">
            <v/>
          </cell>
          <cell r="P161">
            <v>1</v>
          </cell>
          <cell r="U161" t="str">
            <v>000000000012197</v>
          </cell>
        </row>
        <row r="162">
          <cell r="C162">
            <v>100</v>
          </cell>
          <cell r="H162" t="str">
            <v/>
          </cell>
          <cell r="K162">
            <v>0</v>
          </cell>
          <cell r="L162" t="str">
            <v/>
          </cell>
          <cell r="M162" t="str">
            <v>合計</v>
          </cell>
          <cell r="N162">
            <v>1</v>
          </cell>
          <cell r="P162">
            <v>0</v>
          </cell>
          <cell r="U162" t="str">
            <v>000000000012197</v>
          </cell>
        </row>
        <row r="163">
          <cell r="C163" t="str">
            <v>LED-A1478</v>
          </cell>
          <cell r="H163" t="str">
            <v/>
          </cell>
          <cell r="K163">
            <v>0</v>
          </cell>
          <cell r="L163" t="str">
            <v/>
          </cell>
          <cell r="M163" t="str">
            <v>入数</v>
          </cell>
          <cell r="N163">
            <v>100</v>
          </cell>
          <cell r="P163">
            <v>101</v>
          </cell>
          <cell r="U163" t="str">
            <v>000000000012197</v>
          </cell>
        </row>
        <row r="164">
          <cell r="H164" t="str">
            <v/>
          </cell>
          <cell r="K164">
            <v>0</v>
          </cell>
          <cell r="L164" t="str">
            <v/>
          </cell>
          <cell r="M164" t="str">
            <v>作業者</v>
          </cell>
          <cell r="U164" t="str">
            <v>000000000012197</v>
          </cell>
        </row>
        <row r="165">
          <cell r="C165">
            <v>1</v>
          </cell>
          <cell r="H165" t="str">
            <v/>
          </cell>
          <cell r="K165">
            <v>0</v>
          </cell>
          <cell r="L165" t="str">
            <v/>
          </cell>
          <cell r="M165" t="str">
            <v>C</v>
          </cell>
          <cell r="N165" t="str">
            <v>I</v>
          </cell>
          <cell r="U165" t="str">
            <v>000000000012197</v>
          </cell>
        </row>
        <row r="166">
          <cell r="K166">
            <v>0</v>
          </cell>
          <cell r="L166" t="str">
            <v/>
          </cell>
          <cell r="M166" t="str">
            <v>T</v>
          </cell>
          <cell r="R166">
            <v>1</v>
          </cell>
          <cell r="U166" t="str">
            <v>000000000012197</v>
          </cell>
        </row>
        <row r="167">
          <cell r="D167">
            <v>46055</v>
          </cell>
          <cell r="E167" t="str">
            <v>26A21-02</v>
          </cell>
          <cell r="F167">
            <v>1</v>
          </cell>
          <cell r="U167" t="str">
            <v>000000000012197</v>
          </cell>
        </row>
        <row r="168">
          <cell r="C168" t="str">
            <v>灯具カバーPC IN 2060　L=1258.5</v>
          </cell>
          <cell r="J168">
            <v>0</v>
          </cell>
          <cell r="K168">
            <v>0</v>
          </cell>
          <cell r="L168" t="str">
            <v/>
          </cell>
          <cell r="M168">
            <v>46087</v>
          </cell>
          <cell r="N168">
            <v>5</v>
          </cell>
          <cell r="P168">
            <v>46087</v>
          </cell>
          <cell r="R168">
            <v>6</v>
          </cell>
          <cell r="U168" t="str">
            <v>000000000012150</v>
          </cell>
        </row>
        <row r="169">
          <cell r="D169">
            <v>46087</v>
          </cell>
          <cell r="E169" t="str">
            <v>26B21-01</v>
          </cell>
          <cell r="F169">
            <v>89</v>
          </cell>
          <cell r="H169" t="str">
            <v/>
          </cell>
          <cell r="J169" t="str">
            <v>26B21-01</v>
          </cell>
          <cell r="K169">
            <v>89</v>
          </cell>
          <cell r="L169">
            <v>89</v>
          </cell>
          <cell r="P169">
            <v>80</v>
          </cell>
          <cell r="R169">
            <v>3</v>
          </cell>
          <cell r="U169" t="str">
            <v>000000000012150</v>
          </cell>
        </row>
        <row r="170">
          <cell r="C170">
            <v>80</v>
          </cell>
          <cell r="H170" t="str">
            <v/>
          </cell>
          <cell r="K170">
            <v>0</v>
          </cell>
          <cell r="L170" t="str">
            <v/>
          </cell>
          <cell r="P170">
            <v>89</v>
          </cell>
          <cell r="U170" t="str">
            <v>000000000012150</v>
          </cell>
        </row>
        <row r="171">
          <cell r="C171">
            <v>80</v>
          </cell>
          <cell r="H171" t="str">
            <v/>
          </cell>
          <cell r="K171">
            <v>0</v>
          </cell>
          <cell r="L171" t="str">
            <v/>
          </cell>
          <cell r="P171">
            <v>9</v>
          </cell>
          <cell r="U171" t="str">
            <v>000000000012150</v>
          </cell>
        </row>
        <row r="172">
          <cell r="C172">
            <v>1</v>
          </cell>
          <cell r="H172" t="str">
            <v/>
          </cell>
          <cell r="K172">
            <v>0</v>
          </cell>
          <cell r="L172" t="str">
            <v/>
          </cell>
          <cell r="P172">
            <v>9</v>
          </cell>
          <cell r="U172" t="str">
            <v>000000000012150</v>
          </cell>
        </row>
        <row r="173">
          <cell r="C173">
            <v>16</v>
          </cell>
          <cell r="H173" t="str">
            <v/>
          </cell>
          <cell r="K173">
            <v>0</v>
          </cell>
          <cell r="L173" t="str">
            <v/>
          </cell>
          <cell r="M173" t="str">
            <v>合計</v>
          </cell>
          <cell r="N173">
            <v>5</v>
          </cell>
          <cell r="P173">
            <v>0</v>
          </cell>
          <cell r="U173" t="str">
            <v>000000000012150</v>
          </cell>
        </row>
        <row r="174">
          <cell r="C174" t="str">
            <v>灯具-1　L=1370</v>
          </cell>
          <cell r="H174" t="str">
            <v/>
          </cell>
          <cell r="K174">
            <v>0</v>
          </cell>
          <cell r="L174" t="str">
            <v/>
          </cell>
          <cell r="M174" t="str">
            <v>入数</v>
          </cell>
          <cell r="N174">
            <v>80</v>
          </cell>
          <cell r="P174">
            <v>89</v>
          </cell>
          <cell r="U174" t="str">
            <v>000000000012150</v>
          </cell>
        </row>
        <row r="175">
          <cell r="H175" t="str">
            <v/>
          </cell>
          <cell r="K175">
            <v>0</v>
          </cell>
          <cell r="L175" t="str">
            <v/>
          </cell>
          <cell r="M175" t="str">
            <v>作業者</v>
          </cell>
          <cell r="U175" t="str">
            <v>000000000012150</v>
          </cell>
        </row>
        <row r="176">
          <cell r="C176">
            <v>5</v>
          </cell>
          <cell r="H176" t="str">
            <v/>
          </cell>
          <cell r="K176">
            <v>0</v>
          </cell>
          <cell r="L176" t="str">
            <v/>
          </cell>
          <cell r="U176" t="str">
            <v>000000000012150</v>
          </cell>
        </row>
        <row r="177">
          <cell r="K177">
            <v>0</v>
          </cell>
          <cell r="L177" t="str">
            <v/>
          </cell>
          <cell r="M177" t="str">
            <v>T</v>
          </cell>
          <cell r="N177" t="str">
            <v>I</v>
          </cell>
          <cell r="R177">
            <v>9</v>
          </cell>
          <cell r="U177" t="str">
            <v>000000000012150</v>
          </cell>
        </row>
        <row r="178">
          <cell r="D178" t="str">
            <v>不良補填</v>
          </cell>
          <cell r="F178" t="str">
            <v/>
          </cell>
          <cell r="U178" t="str">
            <v>000000000012150</v>
          </cell>
        </row>
        <row r="179">
          <cell r="C179" t="str">
            <v>灯具カバーPC IN 2110　L=1815</v>
          </cell>
          <cell r="D179">
            <v>46078</v>
          </cell>
          <cell r="E179" t="str">
            <v>26B19-03</v>
          </cell>
          <cell r="F179">
            <v>15</v>
          </cell>
          <cell r="J179" t="str">
            <v>26B19-03</v>
          </cell>
          <cell r="K179">
            <v>15</v>
          </cell>
          <cell r="L179">
            <v>15</v>
          </cell>
          <cell r="M179">
            <v>46087</v>
          </cell>
          <cell r="N179">
            <v>3</v>
          </cell>
          <cell r="P179">
            <v>46090</v>
          </cell>
          <cell r="R179">
            <v>11</v>
          </cell>
          <cell r="U179" t="str">
            <v>000000000012152-2</v>
          </cell>
        </row>
        <row r="180">
          <cell r="D180">
            <v>46087</v>
          </cell>
          <cell r="E180" t="str">
            <v>26B21-04</v>
          </cell>
          <cell r="F180">
            <v>192</v>
          </cell>
          <cell r="H180" t="str">
            <v/>
          </cell>
          <cell r="J180" t="str">
            <v>26B21-04</v>
          </cell>
          <cell r="K180">
            <v>192</v>
          </cell>
          <cell r="L180">
            <v>192</v>
          </cell>
          <cell r="M180">
            <v>46090</v>
          </cell>
          <cell r="N180">
            <v>9</v>
          </cell>
          <cell r="P180">
            <v>192</v>
          </cell>
          <cell r="R180">
            <v>4</v>
          </cell>
          <cell r="U180" t="str">
            <v>000000000012152-2</v>
          </cell>
        </row>
        <row r="181">
          <cell r="C181">
            <v>192</v>
          </cell>
          <cell r="H181" t="str">
            <v/>
          </cell>
          <cell r="K181">
            <v>0</v>
          </cell>
          <cell r="L181" t="str">
            <v/>
          </cell>
          <cell r="P181">
            <v>207</v>
          </cell>
          <cell r="U181" t="str">
            <v>000000000012152-2</v>
          </cell>
        </row>
        <row r="182">
          <cell r="C182">
            <v>192</v>
          </cell>
          <cell r="H182" t="str">
            <v/>
          </cell>
          <cell r="K182">
            <v>0</v>
          </cell>
          <cell r="L182" t="str">
            <v/>
          </cell>
          <cell r="P182">
            <v>15</v>
          </cell>
          <cell r="U182" t="str">
            <v>000000000012152-2</v>
          </cell>
        </row>
        <row r="183">
          <cell r="C183">
            <v>1</v>
          </cell>
          <cell r="H183" t="str">
            <v/>
          </cell>
          <cell r="K183">
            <v>0</v>
          </cell>
          <cell r="L183" t="str">
            <v/>
          </cell>
          <cell r="P183">
            <v>15</v>
          </cell>
          <cell r="U183" t="str">
            <v>000000000012152-2</v>
          </cell>
        </row>
        <row r="184">
          <cell r="C184">
            <v>16</v>
          </cell>
          <cell r="H184" t="str">
            <v/>
          </cell>
          <cell r="K184">
            <v>0</v>
          </cell>
          <cell r="L184" t="str">
            <v/>
          </cell>
          <cell r="M184" t="str">
            <v>合計</v>
          </cell>
          <cell r="N184">
            <v>12</v>
          </cell>
          <cell r="P184">
            <v>0</v>
          </cell>
          <cell r="U184" t="str">
            <v>000000000012152-2</v>
          </cell>
        </row>
        <row r="185">
          <cell r="C185" t="str">
            <v>灯具-2　L＝1996</v>
          </cell>
          <cell r="H185" t="str">
            <v/>
          </cell>
          <cell r="K185">
            <v>0</v>
          </cell>
          <cell r="L185" t="str">
            <v/>
          </cell>
          <cell r="M185" t="str">
            <v>入数</v>
          </cell>
          <cell r="N185">
            <v>192</v>
          </cell>
          <cell r="P185">
            <v>207</v>
          </cell>
          <cell r="U185" t="str">
            <v>000000000012152-2</v>
          </cell>
        </row>
        <row r="186">
          <cell r="H186" t="str">
            <v/>
          </cell>
          <cell r="K186">
            <v>0</v>
          </cell>
          <cell r="L186" t="str">
            <v/>
          </cell>
          <cell r="M186" t="str">
            <v>作業者</v>
          </cell>
          <cell r="U186" t="str">
            <v>000000000012152-2</v>
          </cell>
        </row>
        <row r="187">
          <cell r="C187">
            <v>12</v>
          </cell>
          <cell r="H187" t="str">
            <v/>
          </cell>
          <cell r="K187">
            <v>0</v>
          </cell>
          <cell r="L187" t="str">
            <v/>
          </cell>
          <cell r="U187" t="str">
            <v>000000000012152-2</v>
          </cell>
        </row>
        <row r="188">
          <cell r="K188">
            <v>0</v>
          </cell>
          <cell r="L188" t="str">
            <v/>
          </cell>
          <cell r="M188" t="str">
            <v>T</v>
          </cell>
          <cell r="N188" t="str">
            <v>I</v>
          </cell>
          <cell r="R188">
            <v>15</v>
          </cell>
          <cell r="U188" t="str">
            <v>000000000012152-2</v>
          </cell>
        </row>
        <row r="189">
          <cell r="D189" t="str">
            <v>不良補填</v>
          </cell>
          <cell r="F189" t="str">
            <v/>
          </cell>
          <cell r="U189" t="str">
            <v>000000000012152-2</v>
          </cell>
        </row>
        <row r="190">
          <cell r="C190" t="str">
            <v>8FL281304 6110　L=1478</v>
          </cell>
          <cell r="D190">
            <v>46055</v>
          </cell>
          <cell r="E190" t="str">
            <v>26A21-02</v>
          </cell>
          <cell r="F190">
            <v>4</v>
          </cell>
          <cell r="J190" t="str">
            <v>26A21-02</v>
          </cell>
          <cell r="K190">
            <v>4</v>
          </cell>
          <cell r="L190">
            <v>4</v>
          </cell>
          <cell r="M190">
            <v>46090</v>
          </cell>
          <cell r="N190">
            <v>2</v>
          </cell>
          <cell r="P190">
            <v>46091</v>
          </cell>
          <cell r="R190">
            <v>15</v>
          </cell>
          <cell r="U190" t="str">
            <v>000000000012198</v>
          </cell>
        </row>
        <row r="191">
          <cell r="D191">
            <v>46087</v>
          </cell>
          <cell r="E191" t="str">
            <v>26B24-01</v>
          </cell>
          <cell r="G191">
            <v>20</v>
          </cell>
          <cell r="H191">
            <v>1478</v>
          </cell>
          <cell r="I191">
            <v>1478.05</v>
          </cell>
          <cell r="J191" t="str">
            <v>26B24-01</v>
          </cell>
          <cell r="K191">
            <v>117</v>
          </cell>
          <cell r="L191">
            <v>117</v>
          </cell>
          <cell r="M191">
            <v>46091</v>
          </cell>
          <cell r="N191">
            <v>8</v>
          </cell>
          <cell r="P191">
            <v>1000</v>
          </cell>
          <cell r="R191">
            <v>1</v>
          </cell>
          <cell r="U191" t="str">
            <v>000000000012198</v>
          </cell>
        </row>
        <row r="192">
          <cell r="C192">
            <v>1000</v>
          </cell>
          <cell r="D192">
            <v>46087</v>
          </cell>
          <cell r="E192" t="str">
            <v>26B24-01</v>
          </cell>
          <cell r="F192">
            <v>97</v>
          </cell>
          <cell r="G192">
            <v>20</v>
          </cell>
          <cell r="H192">
            <v>1478</v>
          </cell>
          <cell r="I192">
            <v>1477.96</v>
          </cell>
          <cell r="J192" t="str">
            <v>26B25-02</v>
          </cell>
          <cell r="K192">
            <v>699</v>
          </cell>
          <cell r="L192">
            <v>699</v>
          </cell>
          <cell r="P192">
            <v>1020</v>
          </cell>
          <cell r="U192" t="str">
            <v>000000000012198</v>
          </cell>
        </row>
        <row r="193">
          <cell r="C193">
            <v>1000</v>
          </cell>
          <cell r="D193">
            <v>46090</v>
          </cell>
          <cell r="E193" t="str">
            <v>26B25-02</v>
          </cell>
          <cell r="F193">
            <v>299</v>
          </cell>
          <cell r="G193">
            <v>16</v>
          </cell>
          <cell r="H193">
            <v>1477.61</v>
          </cell>
          <cell r="I193">
            <v>1477.64</v>
          </cell>
          <cell r="J193" t="str">
            <v>26B26-02</v>
          </cell>
          <cell r="K193">
            <v>46</v>
          </cell>
          <cell r="L193">
            <v>46</v>
          </cell>
          <cell r="P193">
            <v>20</v>
          </cell>
          <cell r="U193" t="str">
            <v>000000000012198</v>
          </cell>
        </row>
        <row r="194">
          <cell r="C194">
            <v>1</v>
          </cell>
          <cell r="D194">
            <v>46090</v>
          </cell>
          <cell r="E194" t="str">
            <v>26B25-02</v>
          </cell>
          <cell r="F194">
            <v>400</v>
          </cell>
          <cell r="G194">
            <v>20</v>
          </cell>
          <cell r="H194">
            <v>1478</v>
          </cell>
          <cell r="I194">
            <v>1478.15</v>
          </cell>
          <cell r="J194" t="str">
            <v>26B26-03</v>
          </cell>
          <cell r="K194">
            <v>154</v>
          </cell>
          <cell r="L194">
            <v>154</v>
          </cell>
          <cell r="P194">
            <v>20</v>
          </cell>
          <cell r="U194" t="str">
            <v>000000000012198</v>
          </cell>
        </row>
        <row r="195">
          <cell r="C195">
            <v>100</v>
          </cell>
          <cell r="D195">
            <v>46090</v>
          </cell>
          <cell r="E195" t="str">
            <v>26B26-02</v>
          </cell>
          <cell r="F195">
            <v>46</v>
          </cell>
          <cell r="G195">
            <v>20</v>
          </cell>
          <cell r="H195">
            <v>1478</v>
          </cell>
          <cell r="I195">
            <v>1478.16</v>
          </cell>
          <cell r="K195">
            <v>0</v>
          </cell>
          <cell r="L195" t="str">
            <v/>
          </cell>
          <cell r="M195" t="str">
            <v>合計</v>
          </cell>
          <cell r="N195">
            <v>10</v>
          </cell>
          <cell r="P195">
            <v>0</v>
          </cell>
          <cell r="U195" t="str">
            <v>000000000012198</v>
          </cell>
        </row>
        <row r="196">
          <cell r="C196" t="str">
            <v>LED-A1478</v>
          </cell>
          <cell r="D196">
            <v>46090</v>
          </cell>
          <cell r="E196" t="str">
            <v>26B26-03</v>
          </cell>
          <cell r="F196">
            <v>154</v>
          </cell>
          <cell r="G196">
            <v>20</v>
          </cell>
          <cell r="H196">
            <v>1478</v>
          </cell>
          <cell r="I196">
            <v>1478.13</v>
          </cell>
          <cell r="K196">
            <v>0</v>
          </cell>
          <cell r="L196" t="str">
            <v/>
          </cell>
          <cell r="M196" t="str">
            <v>入数</v>
          </cell>
          <cell r="N196">
            <v>1000</v>
          </cell>
          <cell r="P196">
            <v>1020</v>
          </cell>
          <cell r="U196" t="str">
            <v>000000000012198</v>
          </cell>
        </row>
        <row r="197">
          <cell r="H197" t="str">
            <v/>
          </cell>
          <cell r="K197">
            <v>0</v>
          </cell>
          <cell r="L197" t="str">
            <v/>
          </cell>
          <cell r="M197" t="str">
            <v>作業者</v>
          </cell>
          <cell r="U197" t="str">
            <v>000000000012198</v>
          </cell>
        </row>
        <row r="198">
          <cell r="C198">
            <v>10</v>
          </cell>
          <cell r="H198" t="str">
            <v/>
          </cell>
          <cell r="K198">
            <v>0</v>
          </cell>
          <cell r="L198" t="str">
            <v/>
          </cell>
          <cell r="M198" t="str">
            <v>C</v>
          </cell>
          <cell r="N198" t="str">
            <v>I</v>
          </cell>
          <cell r="R198">
            <v>4</v>
          </cell>
          <cell r="U198" t="str">
            <v>000000000012198</v>
          </cell>
        </row>
        <row r="199">
          <cell r="K199">
            <v>0</v>
          </cell>
          <cell r="L199" t="str">
            <v/>
          </cell>
          <cell r="M199" t="str">
            <v>T</v>
          </cell>
          <cell r="N199" t="str">
            <v>U</v>
          </cell>
          <cell r="R199">
            <v>20</v>
          </cell>
          <cell r="U199" t="str">
            <v>000000000012198</v>
          </cell>
        </row>
        <row r="200">
          <cell r="D200">
            <v>46087</v>
          </cell>
          <cell r="E200" t="str">
            <v>26B24-01</v>
          </cell>
          <cell r="F200">
            <v>20</v>
          </cell>
          <cell r="U200" t="str">
            <v>000000000012198</v>
          </cell>
        </row>
        <row r="201">
          <cell r="C201" t="str">
            <v>8FL281304 5010　L=888</v>
          </cell>
          <cell r="J201">
            <v>0</v>
          </cell>
          <cell r="K201">
            <v>0</v>
          </cell>
          <cell r="L201" t="str">
            <v/>
          </cell>
          <cell r="M201">
            <v>46090</v>
          </cell>
          <cell r="N201">
            <v>1</v>
          </cell>
          <cell r="P201">
            <v>46090</v>
          </cell>
          <cell r="R201">
            <v>2</v>
          </cell>
          <cell r="U201" t="str">
            <v>000000000012711</v>
          </cell>
        </row>
        <row r="202">
          <cell r="D202">
            <v>46090</v>
          </cell>
          <cell r="E202" t="str">
            <v>26B25-02</v>
          </cell>
          <cell r="G202">
            <v>20</v>
          </cell>
          <cell r="H202">
            <v>888</v>
          </cell>
          <cell r="I202">
            <v>888.06</v>
          </cell>
          <cell r="J202" t="str">
            <v>26B25-02</v>
          </cell>
          <cell r="K202">
            <v>100</v>
          </cell>
          <cell r="L202">
            <v>50</v>
          </cell>
          <cell r="P202">
            <v>100</v>
          </cell>
          <cell r="U202" t="str">
            <v>000000000012711</v>
          </cell>
        </row>
        <row r="203">
          <cell r="C203">
            <v>100</v>
          </cell>
          <cell r="D203">
            <v>46090</v>
          </cell>
          <cell r="E203" t="str">
            <v>26B25-02</v>
          </cell>
          <cell r="F203">
            <v>100</v>
          </cell>
          <cell r="G203">
            <v>20</v>
          </cell>
          <cell r="H203">
            <v>888</v>
          </cell>
          <cell r="I203">
            <v>887.98</v>
          </cell>
          <cell r="J203" t="str">
            <v>26B24-01</v>
          </cell>
          <cell r="K203">
            <v>3</v>
          </cell>
          <cell r="L203">
            <v>1.5</v>
          </cell>
          <cell r="P203">
            <v>51.5</v>
          </cell>
          <cell r="R203">
            <v>1</v>
          </cell>
          <cell r="U203" t="str">
            <v>000000000012711</v>
          </cell>
        </row>
        <row r="204">
          <cell r="C204">
            <v>100</v>
          </cell>
          <cell r="H204" t="str">
            <v/>
          </cell>
          <cell r="K204">
            <v>0</v>
          </cell>
          <cell r="L204" t="str">
            <v/>
          </cell>
          <cell r="P204">
            <v>3</v>
          </cell>
          <cell r="U204" t="str">
            <v>000000000012711</v>
          </cell>
        </row>
        <row r="205">
          <cell r="C205">
            <v>2</v>
          </cell>
          <cell r="H205" t="str">
            <v/>
          </cell>
          <cell r="K205">
            <v>0</v>
          </cell>
          <cell r="L205" t="str">
            <v/>
          </cell>
          <cell r="P205">
            <v>1.5</v>
          </cell>
          <cell r="U205" t="str">
            <v>000000000012711</v>
          </cell>
        </row>
        <row r="206">
          <cell r="C206">
            <v>100</v>
          </cell>
          <cell r="H206" t="str">
            <v/>
          </cell>
          <cell r="K206">
            <v>0</v>
          </cell>
          <cell r="L206" t="str">
            <v/>
          </cell>
          <cell r="M206" t="str">
            <v>合計</v>
          </cell>
          <cell r="N206">
            <v>1</v>
          </cell>
          <cell r="P206">
            <v>0</v>
          </cell>
          <cell r="U206" t="str">
            <v>000000000012711</v>
          </cell>
        </row>
        <row r="207">
          <cell r="C207" t="str">
            <v>LED-A888</v>
          </cell>
          <cell r="H207" t="str">
            <v/>
          </cell>
          <cell r="K207">
            <v>0</v>
          </cell>
          <cell r="L207" t="str">
            <v/>
          </cell>
          <cell r="M207" t="str">
            <v>入数</v>
          </cell>
          <cell r="N207">
            <v>100</v>
          </cell>
          <cell r="P207">
            <v>103</v>
          </cell>
          <cell r="U207" t="str">
            <v>000000000012711</v>
          </cell>
        </row>
        <row r="208">
          <cell r="H208" t="str">
            <v/>
          </cell>
          <cell r="K208">
            <v>0</v>
          </cell>
          <cell r="L208" t="str">
            <v/>
          </cell>
          <cell r="M208" t="str">
            <v>作業者</v>
          </cell>
          <cell r="U208" t="str">
            <v>000000000012711</v>
          </cell>
        </row>
        <row r="209">
          <cell r="C209">
            <v>1</v>
          </cell>
          <cell r="H209" t="str">
            <v/>
          </cell>
          <cell r="K209">
            <v>0</v>
          </cell>
          <cell r="L209" t="str">
            <v/>
          </cell>
          <cell r="M209" t="str">
            <v>I</v>
          </cell>
          <cell r="U209" t="str">
            <v>000000000012711</v>
          </cell>
        </row>
        <row r="210">
          <cell r="K210">
            <v>0</v>
          </cell>
          <cell r="L210" t="str">
            <v/>
          </cell>
          <cell r="M210" t="str">
            <v>U</v>
          </cell>
          <cell r="R210">
            <v>3</v>
          </cell>
          <cell r="U210" t="str">
            <v>000000000012711</v>
          </cell>
        </row>
        <row r="211">
          <cell r="D211">
            <v>46086</v>
          </cell>
          <cell r="E211" t="str">
            <v>26B24-01</v>
          </cell>
          <cell r="F211">
            <v>3</v>
          </cell>
          <cell r="U211" t="str">
            <v>000000000012711</v>
          </cell>
        </row>
        <row r="212">
          <cell r="C212" t="str">
            <v>8FL281304 5010　L=888</v>
          </cell>
          <cell r="J212">
            <v>0</v>
          </cell>
          <cell r="K212">
            <v>0</v>
          </cell>
          <cell r="L212" t="str">
            <v/>
          </cell>
          <cell r="M212">
            <v>46091</v>
          </cell>
          <cell r="N212">
            <v>4</v>
          </cell>
          <cell r="P212">
            <v>46092</v>
          </cell>
          <cell r="R212">
            <v>4</v>
          </cell>
          <cell r="U212" t="str">
            <v>000000000012196</v>
          </cell>
        </row>
        <row r="213">
          <cell r="D213">
            <v>46091</v>
          </cell>
          <cell r="E213" t="str">
            <v>26B26-03</v>
          </cell>
          <cell r="G213">
            <v>16</v>
          </cell>
          <cell r="H213">
            <v>887.77</v>
          </cell>
          <cell r="I213">
            <v>887.79</v>
          </cell>
          <cell r="J213" t="str">
            <v>26B26-03</v>
          </cell>
          <cell r="K213">
            <v>1200</v>
          </cell>
          <cell r="L213">
            <v>600</v>
          </cell>
          <cell r="M213">
            <v>46092</v>
          </cell>
          <cell r="N213">
            <v>8</v>
          </cell>
          <cell r="P213">
            <v>1200</v>
          </cell>
          <cell r="U213" t="str">
            <v>000000000012196</v>
          </cell>
        </row>
        <row r="214">
          <cell r="C214">
            <v>1200</v>
          </cell>
          <cell r="D214">
            <v>46091</v>
          </cell>
          <cell r="E214" t="str">
            <v>26B26-03</v>
          </cell>
          <cell r="F214">
            <v>400</v>
          </cell>
          <cell r="G214">
            <v>18</v>
          </cell>
          <cell r="H214">
            <v>887.88</v>
          </cell>
          <cell r="I214">
            <v>887.89</v>
          </cell>
          <cell r="J214" t="str">
            <v>26B24-01</v>
          </cell>
          <cell r="K214">
            <v>6</v>
          </cell>
          <cell r="L214">
            <v>3</v>
          </cell>
          <cell r="P214">
            <v>603</v>
          </cell>
          <cell r="R214">
            <v>2</v>
          </cell>
          <cell r="U214" t="str">
            <v>000000000012196</v>
          </cell>
        </row>
        <row r="215">
          <cell r="C215">
            <v>1200</v>
          </cell>
          <cell r="D215">
            <v>46091</v>
          </cell>
          <cell r="E215" t="str">
            <v>26B26-03</v>
          </cell>
          <cell r="F215">
            <v>400</v>
          </cell>
          <cell r="G215">
            <v>18</v>
          </cell>
          <cell r="H215">
            <v>887.88</v>
          </cell>
          <cell r="I215">
            <v>887.89</v>
          </cell>
          <cell r="K215">
            <v>0</v>
          </cell>
          <cell r="L215" t="str">
            <v/>
          </cell>
          <cell r="P215">
            <v>6</v>
          </cell>
          <cell r="U215" t="str">
            <v>000000000012196</v>
          </cell>
        </row>
        <row r="216">
          <cell r="C216">
            <v>2</v>
          </cell>
          <cell r="D216">
            <v>46091</v>
          </cell>
          <cell r="E216" t="str">
            <v>26B26-03</v>
          </cell>
          <cell r="F216">
            <v>400</v>
          </cell>
          <cell r="G216">
            <v>20</v>
          </cell>
          <cell r="H216">
            <v>888</v>
          </cell>
          <cell r="I216">
            <v>887.94</v>
          </cell>
          <cell r="K216">
            <v>0</v>
          </cell>
          <cell r="L216" t="str">
            <v/>
          </cell>
          <cell r="P216">
            <v>3</v>
          </cell>
          <cell r="U216" t="str">
            <v>000000000012196</v>
          </cell>
        </row>
        <row r="217">
          <cell r="C217">
            <v>100</v>
          </cell>
          <cell r="H217" t="str">
            <v/>
          </cell>
          <cell r="K217">
            <v>0</v>
          </cell>
          <cell r="L217" t="str">
            <v/>
          </cell>
          <cell r="M217" t="str">
            <v>合計</v>
          </cell>
          <cell r="N217">
            <v>12</v>
          </cell>
          <cell r="P217">
            <v>0</v>
          </cell>
          <cell r="U217" t="str">
            <v>000000000012196</v>
          </cell>
        </row>
        <row r="218">
          <cell r="C218" t="str">
            <v>LED-A888</v>
          </cell>
          <cell r="H218" t="str">
            <v/>
          </cell>
          <cell r="K218">
            <v>0</v>
          </cell>
          <cell r="L218" t="str">
            <v/>
          </cell>
          <cell r="M218" t="str">
            <v>入数</v>
          </cell>
          <cell r="N218">
            <v>1200</v>
          </cell>
          <cell r="P218">
            <v>1206</v>
          </cell>
          <cell r="U218" t="str">
            <v>000000000012196</v>
          </cell>
        </row>
        <row r="219">
          <cell r="H219" t="str">
            <v/>
          </cell>
          <cell r="K219">
            <v>0</v>
          </cell>
          <cell r="L219" t="str">
            <v/>
          </cell>
          <cell r="M219" t="str">
            <v>作業者</v>
          </cell>
          <cell r="U219" t="str">
            <v>000000000012196</v>
          </cell>
        </row>
        <row r="220">
          <cell r="C220">
            <v>12</v>
          </cell>
          <cell r="H220" t="str">
            <v/>
          </cell>
          <cell r="K220">
            <v>0</v>
          </cell>
          <cell r="L220" t="str">
            <v/>
          </cell>
          <cell r="M220" t="str">
            <v>I</v>
          </cell>
          <cell r="U220" t="str">
            <v>000000000012196</v>
          </cell>
        </row>
        <row r="221">
          <cell r="K221">
            <v>0</v>
          </cell>
          <cell r="L221" t="str">
            <v/>
          </cell>
          <cell r="M221" t="str">
            <v>U</v>
          </cell>
          <cell r="N221" t="str">
            <v>T</v>
          </cell>
          <cell r="R221">
            <v>6</v>
          </cell>
          <cell r="U221" t="str">
            <v>000000000012196</v>
          </cell>
        </row>
        <row r="222">
          <cell r="D222">
            <v>46086</v>
          </cell>
          <cell r="E222" t="str">
            <v>26B24-01</v>
          </cell>
          <cell r="F222">
            <v>6</v>
          </cell>
          <cell r="U222" t="str">
            <v>000000000012196</v>
          </cell>
        </row>
        <row r="223">
          <cell r="C223" t="str">
            <v>8FL281304 5010　L=888</v>
          </cell>
          <cell r="J223">
            <v>0</v>
          </cell>
          <cell r="K223">
            <v>0</v>
          </cell>
          <cell r="L223" t="str">
            <v/>
          </cell>
          <cell r="M223">
            <v>46092</v>
          </cell>
          <cell r="N223">
            <v>1</v>
          </cell>
          <cell r="P223">
            <v>46092</v>
          </cell>
          <cell r="R223">
            <v>2</v>
          </cell>
          <cell r="U223" t="str">
            <v>000000000012389</v>
          </cell>
        </row>
        <row r="224">
          <cell r="D224">
            <v>46092</v>
          </cell>
          <cell r="E224" t="str">
            <v>26C04-01</v>
          </cell>
          <cell r="G224">
            <v>20</v>
          </cell>
          <cell r="H224">
            <v>888</v>
          </cell>
          <cell r="I224">
            <v>887.91</v>
          </cell>
          <cell r="J224" t="str">
            <v>26C04-01</v>
          </cell>
          <cell r="K224">
            <v>100</v>
          </cell>
          <cell r="L224">
            <v>50</v>
          </cell>
          <cell r="P224">
            <v>100</v>
          </cell>
          <cell r="U224" t="str">
            <v>000000000012389</v>
          </cell>
        </row>
        <row r="225">
          <cell r="C225">
            <v>100</v>
          </cell>
          <cell r="D225">
            <v>46092</v>
          </cell>
          <cell r="E225" t="str">
            <v>26C04-01</v>
          </cell>
          <cell r="F225">
            <v>100</v>
          </cell>
          <cell r="G225">
            <v>20</v>
          </cell>
          <cell r="H225">
            <v>888</v>
          </cell>
          <cell r="I225">
            <v>887.98</v>
          </cell>
          <cell r="J225" t="str">
            <v>26B24-01</v>
          </cell>
          <cell r="K225">
            <v>2</v>
          </cell>
          <cell r="L225">
            <v>1</v>
          </cell>
          <cell r="P225">
            <v>51</v>
          </cell>
          <cell r="U225" t="str">
            <v>000000000012389</v>
          </cell>
        </row>
        <row r="226">
          <cell r="C226">
            <v>100</v>
          </cell>
          <cell r="H226" t="str">
            <v/>
          </cell>
          <cell r="K226">
            <v>0</v>
          </cell>
          <cell r="L226" t="str">
            <v/>
          </cell>
          <cell r="P226">
            <v>2</v>
          </cell>
          <cell r="U226" t="str">
            <v>000000000012389</v>
          </cell>
        </row>
        <row r="227">
          <cell r="C227">
            <v>2</v>
          </cell>
          <cell r="H227" t="str">
            <v/>
          </cell>
          <cell r="K227">
            <v>0</v>
          </cell>
          <cell r="L227" t="str">
            <v/>
          </cell>
          <cell r="P227">
            <v>1</v>
          </cell>
          <cell r="U227" t="str">
            <v>000000000012389</v>
          </cell>
        </row>
        <row r="228">
          <cell r="C228">
            <v>100</v>
          </cell>
          <cell r="H228" t="str">
            <v/>
          </cell>
          <cell r="K228">
            <v>0</v>
          </cell>
          <cell r="L228" t="str">
            <v/>
          </cell>
          <cell r="M228" t="str">
            <v>合計</v>
          </cell>
          <cell r="N228">
            <v>1</v>
          </cell>
          <cell r="P228">
            <v>0</v>
          </cell>
          <cell r="U228" t="str">
            <v>000000000012389</v>
          </cell>
        </row>
        <row r="229">
          <cell r="C229" t="str">
            <v>LED-A888</v>
          </cell>
          <cell r="H229" t="str">
            <v/>
          </cell>
          <cell r="K229">
            <v>0</v>
          </cell>
          <cell r="L229" t="str">
            <v/>
          </cell>
          <cell r="M229" t="str">
            <v>入数</v>
          </cell>
          <cell r="N229">
            <v>100</v>
          </cell>
          <cell r="P229">
            <v>102</v>
          </cell>
          <cell r="U229" t="str">
            <v>000000000012389</v>
          </cell>
        </row>
        <row r="230">
          <cell r="H230" t="str">
            <v/>
          </cell>
          <cell r="K230">
            <v>0</v>
          </cell>
          <cell r="L230" t="str">
            <v/>
          </cell>
          <cell r="M230" t="str">
            <v>作業者</v>
          </cell>
          <cell r="U230" t="str">
            <v>000000000012389</v>
          </cell>
        </row>
        <row r="231">
          <cell r="C231">
            <v>1</v>
          </cell>
          <cell r="H231" t="str">
            <v/>
          </cell>
          <cell r="K231">
            <v>0</v>
          </cell>
          <cell r="L231" t="str">
            <v/>
          </cell>
          <cell r="M231" t="str">
            <v>I</v>
          </cell>
          <cell r="U231" t="str">
            <v>000000000012389</v>
          </cell>
        </row>
        <row r="232">
          <cell r="K232">
            <v>0</v>
          </cell>
          <cell r="L232" t="str">
            <v/>
          </cell>
          <cell r="M232" t="str">
            <v>U</v>
          </cell>
          <cell r="R232">
            <v>2</v>
          </cell>
          <cell r="U232" t="str">
            <v>000000000012389</v>
          </cell>
        </row>
        <row r="233">
          <cell r="D233">
            <v>46086</v>
          </cell>
          <cell r="E233" t="str">
            <v>26B24-01</v>
          </cell>
          <cell r="F233">
            <v>2</v>
          </cell>
          <cell r="U233" t="str">
            <v>000000000012389</v>
          </cell>
        </row>
        <row r="234">
          <cell r="C234" t="str">
            <v>8FL281304 5010　L=888</v>
          </cell>
          <cell r="J234">
            <v>0</v>
          </cell>
          <cell r="K234">
            <v>0</v>
          </cell>
          <cell r="L234" t="str">
            <v/>
          </cell>
          <cell r="M234">
            <v>46092</v>
          </cell>
          <cell r="N234">
            <v>4</v>
          </cell>
          <cell r="P234">
            <v>46092</v>
          </cell>
          <cell r="U234" t="str">
            <v>000000000012712</v>
          </cell>
        </row>
        <row r="235">
          <cell r="D235">
            <v>46091</v>
          </cell>
          <cell r="E235" t="str">
            <v>26B26-03</v>
          </cell>
          <cell r="G235">
            <v>20</v>
          </cell>
          <cell r="H235">
            <v>888</v>
          </cell>
          <cell r="I235">
            <v>887.91</v>
          </cell>
          <cell r="J235" t="str">
            <v>26B26-03</v>
          </cell>
          <cell r="K235">
            <v>88</v>
          </cell>
          <cell r="L235">
            <v>44</v>
          </cell>
          <cell r="P235">
            <v>400</v>
          </cell>
          <cell r="U235" t="str">
            <v>000000000012712</v>
          </cell>
        </row>
        <row r="236">
          <cell r="C236">
            <v>400</v>
          </cell>
          <cell r="D236">
            <v>46091</v>
          </cell>
          <cell r="E236" t="str">
            <v>26B26-03</v>
          </cell>
          <cell r="F236">
            <v>88</v>
          </cell>
          <cell r="G236">
            <v>20</v>
          </cell>
          <cell r="H236">
            <v>888</v>
          </cell>
          <cell r="I236">
            <v>887.9</v>
          </cell>
          <cell r="J236" t="str">
            <v>26C04-01</v>
          </cell>
          <cell r="K236">
            <v>312</v>
          </cell>
          <cell r="L236">
            <v>156</v>
          </cell>
          <cell r="P236">
            <v>200</v>
          </cell>
          <cell r="U236" t="str">
            <v>000000000012712</v>
          </cell>
        </row>
        <row r="237">
          <cell r="C237">
            <v>400</v>
          </cell>
          <cell r="D237">
            <v>46092</v>
          </cell>
          <cell r="E237" t="str">
            <v>26C04-01</v>
          </cell>
          <cell r="F237">
            <v>312</v>
          </cell>
          <cell r="G237">
            <v>20</v>
          </cell>
          <cell r="H237">
            <v>888</v>
          </cell>
          <cell r="I237">
            <v>887.92</v>
          </cell>
          <cell r="K237">
            <v>0</v>
          </cell>
          <cell r="L237" t="str">
            <v/>
          </cell>
          <cell r="P237">
            <v>0</v>
          </cell>
          <cell r="U237" t="str">
            <v>000000000012712</v>
          </cell>
        </row>
        <row r="238">
          <cell r="C238">
            <v>2</v>
          </cell>
          <cell r="H238" t="str">
            <v/>
          </cell>
          <cell r="K238">
            <v>0</v>
          </cell>
          <cell r="L238" t="str">
            <v/>
          </cell>
          <cell r="P238">
            <v>0</v>
          </cell>
          <cell r="U238" t="str">
            <v>000000000012712</v>
          </cell>
        </row>
        <row r="239">
          <cell r="C239">
            <v>100</v>
          </cell>
          <cell r="H239" t="str">
            <v/>
          </cell>
          <cell r="K239">
            <v>0</v>
          </cell>
          <cell r="L239" t="str">
            <v/>
          </cell>
          <cell r="M239" t="str">
            <v>合計</v>
          </cell>
          <cell r="N239">
            <v>4</v>
          </cell>
          <cell r="P239">
            <v>0</v>
          </cell>
          <cell r="U239" t="str">
            <v>000000000012712</v>
          </cell>
        </row>
        <row r="240">
          <cell r="C240" t="str">
            <v>LED-A888</v>
          </cell>
          <cell r="H240" t="str">
            <v/>
          </cell>
          <cell r="K240">
            <v>0</v>
          </cell>
          <cell r="L240" t="str">
            <v/>
          </cell>
          <cell r="M240" t="str">
            <v>入数</v>
          </cell>
          <cell r="N240">
            <v>400</v>
          </cell>
          <cell r="P240">
            <v>400</v>
          </cell>
          <cell r="U240" t="str">
            <v>000000000012712</v>
          </cell>
        </row>
        <row r="241">
          <cell r="H241" t="str">
            <v/>
          </cell>
          <cell r="K241">
            <v>0</v>
          </cell>
          <cell r="L241" t="str">
            <v/>
          </cell>
          <cell r="M241" t="str">
            <v>作業者</v>
          </cell>
          <cell r="U241" t="str">
            <v>000000000012712</v>
          </cell>
        </row>
        <row r="242">
          <cell r="C242">
            <v>4</v>
          </cell>
          <cell r="H242" t="str">
            <v/>
          </cell>
          <cell r="K242">
            <v>0</v>
          </cell>
          <cell r="L242" t="str">
            <v/>
          </cell>
          <cell r="M242" t="str">
            <v>I</v>
          </cell>
          <cell r="U242" t="str">
            <v>000000000012712</v>
          </cell>
        </row>
        <row r="243">
          <cell r="K243">
            <v>0</v>
          </cell>
          <cell r="L243" t="str">
            <v/>
          </cell>
          <cell r="M243" t="str">
            <v>U</v>
          </cell>
          <cell r="R243">
            <v>0</v>
          </cell>
          <cell r="U243" t="str">
            <v>000000000012712</v>
          </cell>
        </row>
        <row r="244">
          <cell r="D244" t="str">
            <v>不良補填</v>
          </cell>
          <cell r="F244">
            <v>0</v>
          </cell>
          <cell r="U244" t="str">
            <v>000000000012712</v>
          </cell>
        </row>
        <row r="245">
          <cell r="C245" t="str">
            <v>8FL281304 5010　L=888</v>
          </cell>
          <cell r="J245">
            <v>0</v>
          </cell>
          <cell r="K245">
            <v>0</v>
          </cell>
          <cell r="L245" t="str">
            <v/>
          </cell>
          <cell r="P245">
            <v>0</v>
          </cell>
          <cell r="U245" t="str">
            <v>000000000012199-1</v>
          </cell>
        </row>
        <row r="246">
          <cell r="H246" t="str">
            <v/>
          </cell>
          <cell r="J246" t="str">
            <v/>
          </cell>
          <cell r="K246">
            <v>0</v>
          </cell>
          <cell r="L246" t="str">
            <v/>
          </cell>
          <cell r="P246">
            <v>0</v>
          </cell>
          <cell r="U246" t="str">
            <v>000000000012199-1</v>
          </cell>
        </row>
        <row r="247">
          <cell r="C247">
            <v>1400</v>
          </cell>
          <cell r="H247" t="str">
            <v/>
          </cell>
          <cell r="K247">
            <v>0</v>
          </cell>
          <cell r="L247" t="str">
            <v/>
          </cell>
          <cell r="P247">
            <v>0</v>
          </cell>
          <cell r="U247" t="str">
            <v>000000000012199-1</v>
          </cell>
        </row>
        <row r="248">
          <cell r="C248">
            <v>2000</v>
          </cell>
          <cell r="H248" t="str">
            <v/>
          </cell>
          <cell r="K248">
            <v>0</v>
          </cell>
          <cell r="L248" t="str">
            <v/>
          </cell>
          <cell r="P248">
            <v>0</v>
          </cell>
          <cell r="U248" t="str">
            <v>000000000012199-1</v>
          </cell>
        </row>
        <row r="249">
          <cell r="C249">
            <v>2</v>
          </cell>
          <cell r="H249" t="str">
            <v/>
          </cell>
          <cell r="K249">
            <v>0</v>
          </cell>
          <cell r="L249" t="str">
            <v/>
          </cell>
          <cell r="P249">
            <v>0</v>
          </cell>
          <cell r="U249" t="str">
            <v>000000000012199-1</v>
          </cell>
        </row>
        <row r="250">
          <cell r="C250">
            <v>100</v>
          </cell>
          <cell r="H250" t="str">
            <v/>
          </cell>
          <cell r="K250">
            <v>0</v>
          </cell>
          <cell r="L250" t="str">
            <v/>
          </cell>
          <cell r="M250" t="str">
            <v>合計</v>
          </cell>
          <cell r="N250">
            <v>0</v>
          </cell>
          <cell r="P250">
            <v>0</v>
          </cell>
          <cell r="U250" t="str">
            <v>000000000012199-1</v>
          </cell>
        </row>
        <row r="251">
          <cell r="C251" t="str">
            <v>LED-A888</v>
          </cell>
          <cell r="H251" t="str">
            <v/>
          </cell>
          <cell r="K251">
            <v>0</v>
          </cell>
          <cell r="L251" t="str">
            <v/>
          </cell>
          <cell r="M251" t="str">
            <v>入数</v>
          </cell>
          <cell r="N251">
            <v>0</v>
          </cell>
          <cell r="P251">
            <v>0</v>
          </cell>
          <cell r="U251" t="str">
            <v>000000000012199-1</v>
          </cell>
        </row>
        <row r="252">
          <cell r="H252" t="str">
            <v/>
          </cell>
          <cell r="K252">
            <v>0</v>
          </cell>
          <cell r="L252" t="str">
            <v/>
          </cell>
          <cell r="M252" t="str">
            <v>作業者</v>
          </cell>
          <cell r="U252" t="str">
            <v>000000000012199-1</v>
          </cell>
        </row>
        <row r="253">
          <cell r="C253">
            <v>0</v>
          </cell>
          <cell r="H253" t="str">
            <v/>
          </cell>
          <cell r="K253">
            <v>0</v>
          </cell>
          <cell r="L253" t="str">
            <v/>
          </cell>
          <cell r="U253" t="str">
            <v>000000000012199-1</v>
          </cell>
        </row>
        <row r="254">
          <cell r="K254">
            <v>0</v>
          </cell>
          <cell r="L254" t="str">
            <v/>
          </cell>
          <cell r="R254">
            <v>0</v>
          </cell>
          <cell r="U254" t="str">
            <v>000000000012199-1</v>
          </cell>
        </row>
        <row r="255">
          <cell r="D255" t="str">
            <v>不良補填</v>
          </cell>
          <cell r="F255">
            <v>0</v>
          </cell>
          <cell r="U255" t="str">
            <v>000000000012199-1</v>
          </cell>
        </row>
        <row r="256">
          <cell r="C256" t="str">
            <v>8FL281304 5010　L=888</v>
          </cell>
          <cell r="J256">
            <v>0</v>
          </cell>
          <cell r="K256">
            <v>0</v>
          </cell>
          <cell r="L256" t="str">
            <v/>
          </cell>
          <cell r="P256">
            <v>0</v>
          </cell>
          <cell r="U256" t="str">
            <v>000000000012199-2</v>
          </cell>
        </row>
        <row r="257">
          <cell r="H257" t="str">
            <v/>
          </cell>
          <cell r="J257" t="str">
            <v/>
          </cell>
          <cell r="K257">
            <v>0</v>
          </cell>
          <cell r="L257" t="str">
            <v/>
          </cell>
          <cell r="P257">
            <v>0</v>
          </cell>
          <cell r="U257" t="str">
            <v>000000000012199-2</v>
          </cell>
        </row>
        <row r="258">
          <cell r="H258" t="str">
            <v/>
          </cell>
          <cell r="K258">
            <v>0</v>
          </cell>
          <cell r="L258" t="str">
            <v/>
          </cell>
          <cell r="P258">
            <v>0</v>
          </cell>
          <cell r="U258" t="str">
            <v>000000000012199-2</v>
          </cell>
        </row>
        <row r="259">
          <cell r="C259">
            <v>2000</v>
          </cell>
          <cell r="H259" t="str">
            <v/>
          </cell>
          <cell r="K259">
            <v>0</v>
          </cell>
          <cell r="L259" t="str">
            <v/>
          </cell>
          <cell r="P259">
            <v>0</v>
          </cell>
          <cell r="U259" t="str">
            <v>000000000012199-2</v>
          </cell>
        </row>
        <row r="260">
          <cell r="C260">
            <v>2</v>
          </cell>
          <cell r="H260" t="str">
            <v/>
          </cell>
          <cell r="K260">
            <v>0</v>
          </cell>
          <cell r="L260" t="str">
            <v/>
          </cell>
          <cell r="P260">
            <v>0</v>
          </cell>
          <cell r="U260" t="str">
            <v>000000000012199-2</v>
          </cell>
        </row>
        <row r="261">
          <cell r="C261">
            <v>100</v>
          </cell>
          <cell r="H261" t="str">
            <v/>
          </cell>
          <cell r="K261">
            <v>0</v>
          </cell>
          <cell r="L261" t="str">
            <v/>
          </cell>
          <cell r="M261" t="str">
            <v>合計</v>
          </cell>
          <cell r="N261">
            <v>0</v>
          </cell>
          <cell r="P261">
            <v>0</v>
          </cell>
          <cell r="U261" t="str">
            <v>000000000012199-2</v>
          </cell>
        </row>
        <row r="262">
          <cell r="C262" t="str">
            <v>LED-A888</v>
          </cell>
          <cell r="H262" t="str">
            <v/>
          </cell>
          <cell r="K262">
            <v>0</v>
          </cell>
          <cell r="L262" t="str">
            <v/>
          </cell>
          <cell r="M262" t="str">
            <v>入数</v>
          </cell>
          <cell r="N262">
            <v>0</v>
          </cell>
          <cell r="P262">
            <v>0</v>
          </cell>
          <cell r="U262" t="str">
            <v>000000000012199-2</v>
          </cell>
        </row>
        <row r="263">
          <cell r="H263" t="str">
            <v/>
          </cell>
          <cell r="K263">
            <v>0</v>
          </cell>
          <cell r="L263" t="str">
            <v/>
          </cell>
          <cell r="M263" t="str">
            <v>作業者</v>
          </cell>
          <cell r="U263" t="str">
            <v>000000000012199-2</v>
          </cell>
        </row>
        <row r="264">
          <cell r="C264">
            <v>0</v>
          </cell>
          <cell r="H264" t="str">
            <v/>
          </cell>
          <cell r="K264">
            <v>0</v>
          </cell>
          <cell r="L264" t="str">
            <v/>
          </cell>
          <cell r="U264" t="str">
            <v>000000000012199-2</v>
          </cell>
        </row>
        <row r="265">
          <cell r="K265">
            <v>0</v>
          </cell>
          <cell r="L265" t="str">
            <v/>
          </cell>
          <cell r="R265">
            <v>0</v>
          </cell>
          <cell r="U265" t="str">
            <v>000000000012199-2</v>
          </cell>
        </row>
        <row r="266">
          <cell r="D266" t="str">
            <v>不良補填</v>
          </cell>
          <cell r="F266">
            <v>0</v>
          </cell>
          <cell r="U266" t="str">
            <v>000000000012199-2</v>
          </cell>
        </row>
        <row r="267">
          <cell r="C267" t="str">
            <v>8FL281304 5010　L=888</v>
          </cell>
          <cell r="J267">
            <v>0</v>
          </cell>
          <cell r="K267">
            <v>0</v>
          </cell>
          <cell r="L267" t="str">
            <v/>
          </cell>
          <cell r="P267">
            <v>0</v>
          </cell>
          <cell r="U267" t="str">
            <v>000000000012849</v>
          </cell>
        </row>
        <row r="268">
          <cell r="H268" t="str">
            <v/>
          </cell>
          <cell r="J268" t="str">
            <v/>
          </cell>
          <cell r="K268">
            <v>0</v>
          </cell>
          <cell r="L268" t="str">
            <v/>
          </cell>
          <cell r="P268">
            <v>0</v>
          </cell>
          <cell r="U268" t="str">
            <v>000000000012849</v>
          </cell>
        </row>
        <row r="269">
          <cell r="H269" t="str">
            <v/>
          </cell>
          <cell r="K269">
            <v>0</v>
          </cell>
          <cell r="L269" t="str">
            <v/>
          </cell>
          <cell r="P269">
            <v>0</v>
          </cell>
          <cell r="U269" t="str">
            <v>000000000012849</v>
          </cell>
        </row>
        <row r="270">
          <cell r="C270">
            <v>200</v>
          </cell>
          <cell r="H270" t="str">
            <v/>
          </cell>
          <cell r="K270">
            <v>0</v>
          </cell>
          <cell r="L270" t="str">
            <v/>
          </cell>
          <cell r="P270">
            <v>0</v>
          </cell>
          <cell r="U270" t="str">
            <v>000000000012849</v>
          </cell>
        </row>
        <row r="271">
          <cell r="C271">
            <v>2</v>
          </cell>
          <cell r="H271" t="str">
            <v/>
          </cell>
          <cell r="K271">
            <v>0</v>
          </cell>
          <cell r="L271" t="str">
            <v/>
          </cell>
          <cell r="P271">
            <v>0</v>
          </cell>
          <cell r="U271" t="str">
            <v>000000000012849</v>
          </cell>
        </row>
        <row r="272">
          <cell r="C272">
            <v>100</v>
          </cell>
          <cell r="H272" t="str">
            <v/>
          </cell>
          <cell r="K272">
            <v>0</v>
          </cell>
          <cell r="L272" t="str">
            <v/>
          </cell>
          <cell r="M272" t="str">
            <v>合計</v>
          </cell>
          <cell r="N272">
            <v>0</v>
          </cell>
          <cell r="P272">
            <v>0</v>
          </cell>
          <cell r="U272" t="str">
            <v>000000000012849</v>
          </cell>
        </row>
        <row r="273">
          <cell r="C273" t="str">
            <v>LED-A888</v>
          </cell>
          <cell r="H273" t="str">
            <v/>
          </cell>
          <cell r="K273">
            <v>0</v>
          </cell>
          <cell r="L273" t="str">
            <v/>
          </cell>
          <cell r="M273" t="str">
            <v>入数</v>
          </cell>
          <cell r="N273">
            <v>0</v>
          </cell>
          <cell r="P273">
            <v>0</v>
          </cell>
          <cell r="U273" t="str">
            <v>000000000012849</v>
          </cell>
        </row>
        <row r="274">
          <cell r="H274" t="str">
            <v/>
          </cell>
          <cell r="K274">
            <v>0</v>
          </cell>
          <cell r="L274" t="str">
            <v/>
          </cell>
          <cell r="M274" t="str">
            <v>作業者</v>
          </cell>
          <cell r="U274" t="str">
            <v>000000000012849</v>
          </cell>
        </row>
        <row r="275">
          <cell r="C275">
            <v>0</v>
          </cell>
          <cell r="H275" t="str">
            <v/>
          </cell>
          <cell r="K275">
            <v>0</v>
          </cell>
          <cell r="L275" t="str">
            <v/>
          </cell>
          <cell r="U275" t="str">
            <v>000000000012849</v>
          </cell>
        </row>
        <row r="276">
          <cell r="K276">
            <v>0</v>
          </cell>
          <cell r="L276" t="str">
            <v/>
          </cell>
          <cell r="R276">
            <v>0</v>
          </cell>
          <cell r="U276" t="str">
            <v>000000000012849</v>
          </cell>
        </row>
        <row r="277">
          <cell r="D277" t="str">
            <v>不良補填</v>
          </cell>
          <cell r="F277">
            <v>0</v>
          </cell>
          <cell r="U277" t="str">
            <v>000000000012849</v>
          </cell>
        </row>
        <row r="278">
          <cell r="C278" t="str">
            <v>8FL281304 5010　L=888</v>
          </cell>
          <cell r="J278">
            <v>0</v>
          </cell>
          <cell r="K278">
            <v>0</v>
          </cell>
          <cell r="L278" t="str">
            <v/>
          </cell>
          <cell r="P278">
            <v>0</v>
          </cell>
          <cell r="U278" t="str">
            <v>000000000012914</v>
          </cell>
        </row>
        <row r="279">
          <cell r="H279" t="str">
            <v/>
          </cell>
          <cell r="J279" t="str">
            <v/>
          </cell>
          <cell r="K279">
            <v>0</v>
          </cell>
          <cell r="L279" t="str">
            <v/>
          </cell>
          <cell r="P279">
            <v>0</v>
          </cell>
          <cell r="U279" t="str">
            <v>000000000012914</v>
          </cell>
        </row>
        <row r="280">
          <cell r="H280" t="str">
            <v/>
          </cell>
          <cell r="K280">
            <v>0</v>
          </cell>
          <cell r="L280" t="str">
            <v/>
          </cell>
          <cell r="P280">
            <v>0</v>
          </cell>
          <cell r="U280" t="str">
            <v>000000000012914</v>
          </cell>
        </row>
        <row r="281">
          <cell r="C281">
            <v>2000</v>
          </cell>
          <cell r="H281" t="str">
            <v/>
          </cell>
          <cell r="K281">
            <v>0</v>
          </cell>
          <cell r="L281" t="str">
            <v/>
          </cell>
          <cell r="P281">
            <v>0</v>
          </cell>
          <cell r="U281" t="str">
            <v>000000000012914</v>
          </cell>
        </row>
        <row r="282">
          <cell r="C282">
            <v>2</v>
          </cell>
          <cell r="H282" t="str">
            <v/>
          </cell>
          <cell r="K282">
            <v>0</v>
          </cell>
          <cell r="L282" t="str">
            <v/>
          </cell>
          <cell r="P282">
            <v>0</v>
          </cell>
          <cell r="U282" t="str">
            <v>000000000012914</v>
          </cell>
        </row>
        <row r="283">
          <cell r="C283">
            <v>100</v>
          </cell>
          <cell r="H283" t="str">
            <v/>
          </cell>
          <cell r="K283">
            <v>0</v>
          </cell>
          <cell r="L283" t="str">
            <v/>
          </cell>
          <cell r="M283" t="str">
            <v>合計</v>
          </cell>
          <cell r="N283">
            <v>0</v>
          </cell>
          <cell r="P283">
            <v>0</v>
          </cell>
          <cell r="U283" t="str">
            <v>000000000012914</v>
          </cell>
        </row>
        <row r="284">
          <cell r="C284" t="str">
            <v>LED-A888</v>
          </cell>
          <cell r="H284" t="str">
            <v/>
          </cell>
          <cell r="K284">
            <v>0</v>
          </cell>
          <cell r="L284" t="str">
            <v/>
          </cell>
          <cell r="M284" t="str">
            <v>入数</v>
          </cell>
          <cell r="N284">
            <v>0</v>
          </cell>
          <cell r="P284">
            <v>0</v>
          </cell>
          <cell r="U284" t="str">
            <v>000000000012914</v>
          </cell>
        </row>
        <row r="285">
          <cell r="H285" t="str">
            <v/>
          </cell>
          <cell r="K285">
            <v>0</v>
          </cell>
          <cell r="L285" t="str">
            <v/>
          </cell>
          <cell r="M285" t="str">
            <v>作業者</v>
          </cell>
          <cell r="U285" t="str">
            <v>000000000012914</v>
          </cell>
        </row>
        <row r="286">
          <cell r="C286">
            <v>0</v>
          </cell>
          <cell r="H286" t="str">
            <v/>
          </cell>
          <cell r="K286">
            <v>0</v>
          </cell>
          <cell r="L286" t="str">
            <v/>
          </cell>
          <cell r="U286" t="str">
            <v>000000000012914</v>
          </cell>
        </row>
        <row r="287">
          <cell r="K287">
            <v>0</v>
          </cell>
          <cell r="L287" t="str">
            <v/>
          </cell>
          <cell r="R287">
            <v>0</v>
          </cell>
          <cell r="U287" t="str">
            <v>000000000012914</v>
          </cell>
        </row>
        <row r="288">
          <cell r="D288" t="str">
            <v>不良補填</v>
          </cell>
          <cell r="F288">
            <v>0</v>
          </cell>
          <cell r="U288" t="str">
            <v>000000000012914</v>
          </cell>
        </row>
        <row r="289">
          <cell r="C289" t="str">
            <v>8FL281304 5010　L=888</v>
          </cell>
          <cell r="J289">
            <v>0</v>
          </cell>
          <cell r="K289">
            <v>0</v>
          </cell>
          <cell r="L289" t="str">
            <v/>
          </cell>
          <cell r="P289">
            <v>0</v>
          </cell>
          <cell r="U289" t="str">
            <v>000000000012929</v>
          </cell>
        </row>
        <row r="290">
          <cell r="H290" t="str">
            <v/>
          </cell>
          <cell r="J290" t="str">
            <v/>
          </cell>
          <cell r="K290">
            <v>0</v>
          </cell>
          <cell r="L290" t="str">
            <v/>
          </cell>
          <cell r="P290">
            <v>0</v>
          </cell>
          <cell r="U290" t="str">
            <v>000000000012929</v>
          </cell>
        </row>
        <row r="291">
          <cell r="H291" t="str">
            <v/>
          </cell>
          <cell r="K291">
            <v>0</v>
          </cell>
          <cell r="L291" t="str">
            <v/>
          </cell>
          <cell r="P291">
            <v>0</v>
          </cell>
          <cell r="U291" t="str">
            <v>000000000012929</v>
          </cell>
        </row>
        <row r="292">
          <cell r="C292">
            <v>100</v>
          </cell>
          <cell r="H292" t="str">
            <v/>
          </cell>
          <cell r="K292">
            <v>0</v>
          </cell>
          <cell r="L292" t="str">
            <v/>
          </cell>
          <cell r="P292">
            <v>0</v>
          </cell>
          <cell r="U292" t="str">
            <v>000000000012929</v>
          </cell>
        </row>
        <row r="293">
          <cell r="C293">
            <v>2</v>
          </cell>
          <cell r="H293" t="str">
            <v/>
          </cell>
          <cell r="K293">
            <v>0</v>
          </cell>
          <cell r="L293" t="str">
            <v/>
          </cell>
          <cell r="P293">
            <v>0</v>
          </cell>
          <cell r="U293" t="str">
            <v>000000000012929</v>
          </cell>
        </row>
        <row r="294">
          <cell r="C294">
            <v>100</v>
          </cell>
          <cell r="H294" t="str">
            <v/>
          </cell>
          <cell r="K294">
            <v>0</v>
          </cell>
          <cell r="L294" t="str">
            <v/>
          </cell>
          <cell r="M294" t="str">
            <v>合計</v>
          </cell>
          <cell r="N294">
            <v>0</v>
          </cell>
          <cell r="P294">
            <v>0</v>
          </cell>
          <cell r="U294" t="str">
            <v>000000000012929</v>
          </cell>
        </row>
        <row r="295">
          <cell r="C295" t="str">
            <v>LED-A888</v>
          </cell>
          <cell r="H295" t="str">
            <v/>
          </cell>
          <cell r="K295">
            <v>0</v>
          </cell>
          <cell r="L295" t="str">
            <v/>
          </cell>
          <cell r="M295" t="str">
            <v>入数</v>
          </cell>
          <cell r="N295">
            <v>0</v>
          </cell>
          <cell r="P295">
            <v>0</v>
          </cell>
          <cell r="U295" t="str">
            <v>000000000012929</v>
          </cell>
        </row>
        <row r="296">
          <cell r="H296" t="str">
            <v/>
          </cell>
          <cell r="K296">
            <v>0</v>
          </cell>
          <cell r="L296" t="str">
            <v/>
          </cell>
          <cell r="M296" t="str">
            <v>作業者</v>
          </cell>
          <cell r="U296" t="str">
            <v>000000000012929</v>
          </cell>
        </row>
        <row r="297">
          <cell r="C297">
            <v>0</v>
          </cell>
          <cell r="H297" t="str">
            <v/>
          </cell>
          <cell r="K297">
            <v>0</v>
          </cell>
          <cell r="L297" t="str">
            <v/>
          </cell>
          <cell r="U297" t="str">
            <v>000000000012929</v>
          </cell>
        </row>
        <row r="298">
          <cell r="K298">
            <v>0</v>
          </cell>
          <cell r="L298" t="str">
            <v/>
          </cell>
          <cell r="R298">
            <v>0</v>
          </cell>
          <cell r="U298" t="str">
            <v>000000000012929</v>
          </cell>
        </row>
        <row r="299">
          <cell r="D299" t="str">
            <v>不良補填</v>
          </cell>
          <cell r="F299">
            <v>0</v>
          </cell>
          <cell r="U299" t="str">
            <v>000000000012929</v>
          </cell>
        </row>
        <row r="300">
          <cell r="C300" t="str">
            <v>8FL281304 5010　L=888</v>
          </cell>
          <cell r="J300">
            <v>0</v>
          </cell>
          <cell r="K300">
            <v>0</v>
          </cell>
          <cell r="L300" t="str">
            <v/>
          </cell>
          <cell r="P300">
            <v>0</v>
          </cell>
          <cell r="U300" t="str">
            <v>000000000012915</v>
          </cell>
        </row>
        <row r="301">
          <cell r="H301" t="str">
            <v/>
          </cell>
          <cell r="J301" t="str">
            <v/>
          </cell>
          <cell r="K301">
            <v>0</v>
          </cell>
          <cell r="L301" t="str">
            <v/>
          </cell>
          <cell r="P301">
            <v>0</v>
          </cell>
          <cell r="U301" t="str">
            <v>000000000012915</v>
          </cell>
        </row>
        <row r="302">
          <cell r="H302" t="str">
            <v/>
          </cell>
          <cell r="K302">
            <v>0</v>
          </cell>
          <cell r="L302" t="str">
            <v/>
          </cell>
          <cell r="P302">
            <v>0</v>
          </cell>
          <cell r="U302" t="str">
            <v>000000000012915</v>
          </cell>
        </row>
        <row r="303">
          <cell r="C303">
            <v>300</v>
          </cell>
          <cell r="H303" t="str">
            <v/>
          </cell>
          <cell r="K303">
            <v>0</v>
          </cell>
          <cell r="L303" t="str">
            <v/>
          </cell>
          <cell r="P303">
            <v>0</v>
          </cell>
          <cell r="U303" t="str">
            <v>000000000012915</v>
          </cell>
        </row>
        <row r="304">
          <cell r="C304">
            <v>2</v>
          </cell>
          <cell r="H304" t="str">
            <v/>
          </cell>
          <cell r="K304">
            <v>0</v>
          </cell>
          <cell r="L304" t="str">
            <v/>
          </cell>
          <cell r="P304">
            <v>0</v>
          </cell>
          <cell r="U304" t="str">
            <v>000000000012915</v>
          </cell>
        </row>
        <row r="305">
          <cell r="C305">
            <v>100</v>
          </cell>
          <cell r="H305" t="str">
            <v/>
          </cell>
          <cell r="K305">
            <v>0</v>
          </cell>
          <cell r="L305" t="str">
            <v/>
          </cell>
          <cell r="M305" t="str">
            <v>合計</v>
          </cell>
          <cell r="N305">
            <v>0</v>
          </cell>
          <cell r="P305">
            <v>0</v>
          </cell>
          <cell r="U305" t="str">
            <v>000000000012915</v>
          </cell>
        </row>
        <row r="306">
          <cell r="C306" t="str">
            <v>LED-A888</v>
          </cell>
          <cell r="H306" t="str">
            <v/>
          </cell>
          <cell r="K306">
            <v>0</v>
          </cell>
          <cell r="L306" t="str">
            <v/>
          </cell>
          <cell r="M306" t="str">
            <v>入数</v>
          </cell>
          <cell r="N306">
            <v>0</v>
          </cell>
          <cell r="P306">
            <v>0</v>
          </cell>
          <cell r="U306" t="str">
            <v>000000000012915</v>
          </cell>
        </row>
        <row r="307">
          <cell r="H307" t="str">
            <v/>
          </cell>
          <cell r="K307">
            <v>0</v>
          </cell>
          <cell r="L307" t="str">
            <v/>
          </cell>
          <cell r="M307" t="str">
            <v>作業者</v>
          </cell>
          <cell r="U307" t="str">
            <v>000000000012915</v>
          </cell>
        </row>
        <row r="308">
          <cell r="C308">
            <v>0</v>
          </cell>
          <cell r="H308" t="str">
            <v/>
          </cell>
          <cell r="K308">
            <v>0</v>
          </cell>
          <cell r="L308" t="str">
            <v/>
          </cell>
          <cell r="U308" t="str">
            <v>000000000012915</v>
          </cell>
        </row>
        <row r="309">
          <cell r="K309">
            <v>0</v>
          </cell>
          <cell r="L309" t="str">
            <v/>
          </cell>
          <cell r="R309">
            <v>0</v>
          </cell>
          <cell r="U309" t="str">
            <v>000000000012915</v>
          </cell>
        </row>
        <row r="310">
          <cell r="D310" t="str">
            <v>不良補填</v>
          </cell>
          <cell r="F310">
            <v>0</v>
          </cell>
          <cell r="U310" t="str">
            <v>000000000012915</v>
          </cell>
        </row>
        <row r="311">
          <cell r="C311" t="str">
            <v>8FL281304 6110　L=1478</v>
          </cell>
          <cell r="J311">
            <v>0</v>
          </cell>
          <cell r="K311">
            <v>0</v>
          </cell>
          <cell r="L311" t="str">
            <v/>
          </cell>
          <cell r="P311">
            <v>0</v>
          </cell>
          <cell r="U311" t="str">
            <v>000000000012916</v>
          </cell>
        </row>
        <row r="312">
          <cell r="H312" t="str">
            <v/>
          </cell>
          <cell r="J312" t="str">
            <v/>
          </cell>
          <cell r="K312">
            <v>0</v>
          </cell>
          <cell r="L312" t="str">
            <v/>
          </cell>
          <cell r="P312">
            <v>0</v>
          </cell>
          <cell r="U312" t="str">
            <v>000000000012916</v>
          </cell>
        </row>
        <row r="313">
          <cell r="H313" t="str">
            <v/>
          </cell>
          <cell r="K313">
            <v>0</v>
          </cell>
          <cell r="L313" t="str">
            <v/>
          </cell>
          <cell r="P313">
            <v>0</v>
          </cell>
          <cell r="U313" t="str">
            <v>000000000012916</v>
          </cell>
        </row>
        <row r="314">
          <cell r="C314">
            <v>100</v>
          </cell>
          <cell r="H314" t="str">
            <v/>
          </cell>
          <cell r="K314">
            <v>0</v>
          </cell>
          <cell r="L314" t="str">
            <v/>
          </cell>
          <cell r="P314">
            <v>0</v>
          </cell>
          <cell r="U314" t="str">
            <v>000000000012916</v>
          </cell>
        </row>
        <row r="315">
          <cell r="C315">
            <v>1</v>
          </cell>
          <cell r="H315" t="str">
            <v/>
          </cell>
          <cell r="K315">
            <v>0</v>
          </cell>
          <cell r="L315" t="str">
            <v/>
          </cell>
          <cell r="P315">
            <v>0</v>
          </cell>
          <cell r="U315" t="str">
            <v>000000000012916</v>
          </cell>
        </row>
        <row r="316">
          <cell r="C316">
            <v>100</v>
          </cell>
          <cell r="H316" t="str">
            <v/>
          </cell>
          <cell r="K316">
            <v>0</v>
          </cell>
          <cell r="L316" t="str">
            <v/>
          </cell>
          <cell r="M316" t="str">
            <v>合計</v>
          </cell>
          <cell r="N316">
            <v>0</v>
          </cell>
          <cell r="P316">
            <v>0</v>
          </cell>
          <cell r="U316" t="str">
            <v>000000000012916</v>
          </cell>
        </row>
        <row r="317">
          <cell r="C317" t="str">
            <v>LED-A1478</v>
          </cell>
          <cell r="H317" t="str">
            <v/>
          </cell>
          <cell r="K317">
            <v>0</v>
          </cell>
          <cell r="L317" t="str">
            <v/>
          </cell>
          <cell r="M317" t="str">
            <v>入数</v>
          </cell>
          <cell r="N317">
            <v>0</v>
          </cell>
          <cell r="P317">
            <v>0</v>
          </cell>
          <cell r="U317" t="str">
            <v>000000000012916</v>
          </cell>
        </row>
        <row r="318">
          <cell r="H318" t="str">
            <v/>
          </cell>
          <cell r="K318">
            <v>0</v>
          </cell>
          <cell r="L318" t="str">
            <v/>
          </cell>
          <cell r="M318" t="str">
            <v>作業者</v>
          </cell>
          <cell r="U318" t="str">
            <v>000000000012916</v>
          </cell>
        </row>
        <row r="319">
          <cell r="C319">
            <v>0</v>
          </cell>
          <cell r="H319" t="str">
            <v/>
          </cell>
          <cell r="K319">
            <v>0</v>
          </cell>
          <cell r="L319" t="str">
            <v/>
          </cell>
          <cell r="U319" t="str">
            <v>000000000012916</v>
          </cell>
        </row>
        <row r="320">
          <cell r="K320">
            <v>0</v>
          </cell>
          <cell r="L320" t="str">
            <v/>
          </cell>
          <cell r="R320">
            <v>0</v>
          </cell>
          <cell r="U320" t="str">
            <v>000000000012916</v>
          </cell>
        </row>
        <row r="321">
          <cell r="D321" t="str">
            <v>不良補填</v>
          </cell>
          <cell r="F321">
            <v>0</v>
          </cell>
          <cell r="U321" t="str">
            <v>000000000012916</v>
          </cell>
        </row>
        <row r="322">
          <cell r="C322" t="str">
            <v>8FL281304 8310　L=748</v>
          </cell>
          <cell r="J322">
            <v>0</v>
          </cell>
          <cell r="K322">
            <v>0</v>
          </cell>
          <cell r="L322" t="str">
            <v/>
          </cell>
          <cell r="P322">
            <v>0</v>
          </cell>
          <cell r="U322" t="str">
            <v>000000000012913</v>
          </cell>
        </row>
        <row r="323">
          <cell r="H323" t="str">
            <v/>
          </cell>
          <cell r="J323" t="str">
            <v/>
          </cell>
          <cell r="K323">
            <v>0</v>
          </cell>
          <cell r="L323" t="str">
            <v/>
          </cell>
          <cell r="P323">
            <v>0</v>
          </cell>
          <cell r="U323" t="str">
            <v>000000000012913</v>
          </cell>
        </row>
        <row r="324">
          <cell r="H324" t="str">
            <v/>
          </cell>
          <cell r="K324">
            <v>0</v>
          </cell>
          <cell r="L324" t="str">
            <v/>
          </cell>
          <cell r="P324">
            <v>0</v>
          </cell>
          <cell r="U324" t="str">
            <v>000000000012913</v>
          </cell>
        </row>
        <row r="325">
          <cell r="C325">
            <v>200</v>
          </cell>
          <cell r="H325" t="str">
            <v/>
          </cell>
          <cell r="K325">
            <v>0</v>
          </cell>
          <cell r="L325" t="str">
            <v/>
          </cell>
          <cell r="P325">
            <v>0</v>
          </cell>
          <cell r="U325" t="str">
            <v>000000000012913</v>
          </cell>
        </row>
        <row r="326">
          <cell r="C326">
            <v>2</v>
          </cell>
          <cell r="H326" t="str">
            <v/>
          </cell>
          <cell r="K326">
            <v>0</v>
          </cell>
          <cell r="L326" t="str">
            <v/>
          </cell>
          <cell r="P326">
            <v>0</v>
          </cell>
          <cell r="U326" t="str">
            <v>000000000012913</v>
          </cell>
        </row>
        <row r="327">
          <cell r="C327">
            <v>100</v>
          </cell>
          <cell r="H327" t="str">
            <v/>
          </cell>
          <cell r="K327">
            <v>0</v>
          </cell>
          <cell r="L327" t="str">
            <v/>
          </cell>
          <cell r="M327" t="str">
            <v>合計</v>
          </cell>
          <cell r="N327">
            <v>0</v>
          </cell>
          <cell r="P327">
            <v>0</v>
          </cell>
          <cell r="U327" t="str">
            <v>000000000012913</v>
          </cell>
        </row>
        <row r="328">
          <cell r="C328" t="str">
            <v>LED-A888</v>
          </cell>
          <cell r="H328" t="str">
            <v/>
          </cell>
          <cell r="K328">
            <v>0</v>
          </cell>
          <cell r="L328" t="str">
            <v/>
          </cell>
          <cell r="M328" t="str">
            <v>入数</v>
          </cell>
          <cell r="N328">
            <v>0</v>
          </cell>
          <cell r="P328">
            <v>0</v>
          </cell>
          <cell r="U328" t="str">
            <v>000000000012913</v>
          </cell>
        </row>
        <row r="329">
          <cell r="H329" t="str">
            <v/>
          </cell>
          <cell r="K329">
            <v>0</v>
          </cell>
          <cell r="L329" t="str">
            <v/>
          </cell>
          <cell r="M329" t="str">
            <v>作業者</v>
          </cell>
          <cell r="U329" t="str">
            <v>000000000012913</v>
          </cell>
        </row>
        <row r="330">
          <cell r="C330">
            <v>0</v>
          </cell>
          <cell r="H330" t="str">
            <v/>
          </cell>
          <cell r="K330">
            <v>0</v>
          </cell>
          <cell r="L330" t="str">
            <v/>
          </cell>
          <cell r="U330" t="str">
            <v>000000000012913</v>
          </cell>
        </row>
        <row r="331">
          <cell r="K331">
            <v>0</v>
          </cell>
          <cell r="L331" t="str">
            <v/>
          </cell>
          <cell r="R331">
            <v>0</v>
          </cell>
          <cell r="U331" t="str">
            <v>000000000012913</v>
          </cell>
        </row>
        <row r="332">
          <cell r="D332" t="str">
            <v>不良補填</v>
          </cell>
          <cell r="F332">
            <v>0</v>
          </cell>
          <cell r="U332" t="str">
            <v>000000000012913</v>
          </cell>
        </row>
        <row r="333">
          <cell r="C333" t="str">
            <v>8FL281304 4810　L=297</v>
          </cell>
          <cell r="J333">
            <v>0</v>
          </cell>
          <cell r="K333">
            <v>0</v>
          </cell>
          <cell r="L333" t="str">
            <v/>
          </cell>
          <cell r="P333">
            <v>0</v>
          </cell>
          <cell r="U333" t="str">
            <v>000000000012912</v>
          </cell>
        </row>
        <row r="334">
          <cell r="H334" t="str">
            <v/>
          </cell>
          <cell r="J334" t="str">
            <v/>
          </cell>
          <cell r="K334">
            <v>0</v>
          </cell>
          <cell r="L334" t="str">
            <v/>
          </cell>
          <cell r="P334">
            <v>0</v>
          </cell>
          <cell r="U334" t="str">
            <v>000000000012912</v>
          </cell>
        </row>
        <row r="335">
          <cell r="H335" t="str">
            <v/>
          </cell>
          <cell r="K335">
            <v>0</v>
          </cell>
          <cell r="L335" t="str">
            <v/>
          </cell>
          <cell r="P335">
            <v>0</v>
          </cell>
          <cell r="U335" t="str">
            <v>000000000012912</v>
          </cell>
        </row>
        <row r="336">
          <cell r="C336">
            <v>300</v>
          </cell>
          <cell r="H336" t="str">
            <v/>
          </cell>
          <cell r="K336">
            <v>0</v>
          </cell>
          <cell r="L336" t="str">
            <v/>
          </cell>
          <cell r="P336">
            <v>0</v>
          </cell>
          <cell r="U336" t="str">
            <v>000000000012912</v>
          </cell>
        </row>
        <row r="337">
          <cell r="C337">
            <v>6</v>
          </cell>
          <cell r="H337" t="str">
            <v/>
          </cell>
          <cell r="K337">
            <v>0</v>
          </cell>
          <cell r="L337" t="str">
            <v/>
          </cell>
          <cell r="P337">
            <v>0</v>
          </cell>
          <cell r="U337" t="str">
            <v>000000000012912</v>
          </cell>
        </row>
        <row r="338">
          <cell r="C338">
            <v>100</v>
          </cell>
          <cell r="H338" t="str">
            <v/>
          </cell>
          <cell r="K338">
            <v>0</v>
          </cell>
          <cell r="L338" t="str">
            <v/>
          </cell>
          <cell r="M338" t="str">
            <v>合計</v>
          </cell>
          <cell r="N338">
            <v>0</v>
          </cell>
          <cell r="P338">
            <v>0</v>
          </cell>
          <cell r="U338" t="str">
            <v>000000000012912</v>
          </cell>
        </row>
        <row r="339">
          <cell r="C339" t="str">
            <v>LED-A300</v>
          </cell>
          <cell r="H339" t="str">
            <v/>
          </cell>
          <cell r="K339">
            <v>0</v>
          </cell>
          <cell r="L339" t="str">
            <v/>
          </cell>
          <cell r="M339" t="str">
            <v>入数</v>
          </cell>
          <cell r="N339">
            <v>0</v>
          </cell>
          <cell r="P339">
            <v>0</v>
          </cell>
          <cell r="U339" t="str">
            <v>000000000012912</v>
          </cell>
        </row>
        <row r="340">
          <cell r="H340" t="str">
            <v/>
          </cell>
          <cell r="K340">
            <v>0</v>
          </cell>
          <cell r="L340" t="str">
            <v/>
          </cell>
          <cell r="M340" t="str">
            <v>作業者</v>
          </cell>
          <cell r="U340" t="str">
            <v>000000000012912</v>
          </cell>
        </row>
        <row r="341">
          <cell r="C341">
            <v>0</v>
          </cell>
          <cell r="H341" t="str">
            <v/>
          </cell>
          <cell r="K341">
            <v>0</v>
          </cell>
          <cell r="L341" t="str">
            <v/>
          </cell>
          <cell r="U341" t="str">
            <v>000000000012912</v>
          </cell>
        </row>
        <row r="342">
          <cell r="K342">
            <v>0</v>
          </cell>
          <cell r="L342" t="str">
            <v/>
          </cell>
          <cell r="R342">
            <v>0</v>
          </cell>
          <cell r="U342" t="str">
            <v>000000000012912</v>
          </cell>
        </row>
        <row r="343">
          <cell r="D343" t="str">
            <v>不良補填</v>
          </cell>
          <cell r="F343">
            <v>0</v>
          </cell>
          <cell r="U343" t="str">
            <v>000000000012912</v>
          </cell>
        </row>
        <row r="344">
          <cell r="C344" t="str">
            <v>採光ルーバーパネルB　L=1996</v>
          </cell>
          <cell r="J344">
            <v>0</v>
          </cell>
          <cell r="K344">
            <v>0</v>
          </cell>
          <cell r="L344" t="str">
            <v/>
          </cell>
          <cell r="P344">
            <v>0</v>
          </cell>
          <cell r="U344" t="str">
            <v>000000000012939</v>
          </cell>
        </row>
        <row r="345">
          <cell r="H345" t="str">
            <v/>
          </cell>
          <cell r="J345" t="str">
            <v/>
          </cell>
          <cell r="K345">
            <v>0</v>
          </cell>
          <cell r="L345" t="str">
            <v/>
          </cell>
          <cell r="P345">
            <v>0</v>
          </cell>
          <cell r="U345" t="str">
            <v>000000000012939</v>
          </cell>
        </row>
        <row r="346">
          <cell r="H346" t="str">
            <v/>
          </cell>
          <cell r="K346">
            <v>0</v>
          </cell>
          <cell r="L346" t="str">
            <v/>
          </cell>
          <cell r="P346">
            <v>0</v>
          </cell>
          <cell r="U346" t="str">
            <v>000000000012939</v>
          </cell>
        </row>
        <row r="347">
          <cell r="C347">
            <v>252</v>
          </cell>
          <cell r="H347" t="str">
            <v/>
          </cell>
          <cell r="K347">
            <v>0</v>
          </cell>
          <cell r="L347" t="str">
            <v/>
          </cell>
          <cell r="P347">
            <v>0</v>
          </cell>
          <cell r="U347" t="str">
            <v>000000000012939</v>
          </cell>
        </row>
        <row r="348">
          <cell r="C348">
            <v>1</v>
          </cell>
          <cell r="H348" t="str">
            <v/>
          </cell>
          <cell r="K348">
            <v>0</v>
          </cell>
          <cell r="L348" t="str">
            <v/>
          </cell>
          <cell r="P348">
            <v>0</v>
          </cell>
          <cell r="U348" t="str">
            <v>000000000012939</v>
          </cell>
        </row>
        <row r="349">
          <cell r="C349">
            <v>42</v>
          </cell>
          <cell r="H349" t="str">
            <v/>
          </cell>
          <cell r="K349">
            <v>0</v>
          </cell>
          <cell r="L349" t="str">
            <v/>
          </cell>
          <cell r="M349" t="str">
            <v>合計</v>
          </cell>
          <cell r="N349">
            <v>0</v>
          </cell>
          <cell r="P349">
            <v>0</v>
          </cell>
          <cell r="U349" t="str">
            <v>000000000012939</v>
          </cell>
        </row>
        <row r="350">
          <cell r="C350" t="str">
            <v>上-1</v>
          </cell>
          <cell r="H350" t="str">
            <v/>
          </cell>
          <cell r="K350">
            <v>0</v>
          </cell>
          <cell r="L350" t="str">
            <v/>
          </cell>
          <cell r="M350" t="str">
            <v>入数</v>
          </cell>
          <cell r="N350">
            <v>0</v>
          </cell>
          <cell r="P350">
            <v>0</v>
          </cell>
          <cell r="U350" t="str">
            <v>000000000012939</v>
          </cell>
        </row>
        <row r="351">
          <cell r="H351" t="str">
            <v/>
          </cell>
          <cell r="K351">
            <v>0</v>
          </cell>
          <cell r="L351" t="str">
            <v/>
          </cell>
          <cell r="M351" t="str">
            <v>作業者</v>
          </cell>
          <cell r="U351" t="str">
            <v>000000000012939</v>
          </cell>
        </row>
        <row r="352">
          <cell r="C352">
            <v>0</v>
          </cell>
          <cell r="H352" t="str">
            <v/>
          </cell>
          <cell r="K352">
            <v>0</v>
          </cell>
          <cell r="L352" t="str">
            <v/>
          </cell>
          <cell r="U352" t="str">
            <v>000000000012939</v>
          </cell>
        </row>
        <row r="353">
          <cell r="K353">
            <v>0</v>
          </cell>
          <cell r="L353" t="str">
            <v/>
          </cell>
          <cell r="R353">
            <v>0</v>
          </cell>
          <cell r="U353" t="str">
            <v>000000000012939</v>
          </cell>
        </row>
        <row r="354">
          <cell r="D354" t="str">
            <v>不良補填</v>
          </cell>
          <cell r="F354" t="str">
            <v/>
          </cell>
          <cell r="U354" t="str">
            <v>000000000012939</v>
          </cell>
        </row>
        <row r="355">
          <cell r="C355" t="str">
            <v>採光ルーバーパネルB　L=1996</v>
          </cell>
          <cell r="U355" t="str">
            <v>000000000012940</v>
          </cell>
        </row>
        <row r="356">
          <cell r="U356" t="str">
            <v>000000000012940</v>
          </cell>
        </row>
        <row r="357">
          <cell r="U357" t="str">
            <v>000000000012940</v>
          </cell>
        </row>
        <row r="358">
          <cell r="C358">
            <v>924</v>
          </cell>
          <cell r="U358" t="str">
            <v>000000000012940</v>
          </cell>
        </row>
        <row r="359">
          <cell r="C359">
            <v>1</v>
          </cell>
          <cell r="U359" t="str">
            <v>000000000012940</v>
          </cell>
        </row>
        <row r="360">
          <cell r="C360">
            <v>42</v>
          </cell>
          <cell r="U360" t="str">
            <v>000000000012940</v>
          </cell>
        </row>
        <row r="361">
          <cell r="C361" t="str">
            <v>上-1</v>
          </cell>
          <cell r="U361" t="str">
            <v>000000000012940</v>
          </cell>
        </row>
        <row r="362">
          <cell r="U362" t="str">
            <v>000000000012940</v>
          </cell>
        </row>
        <row r="363">
          <cell r="U363" t="str">
            <v>000000000012940</v>
          </cell>
        </row>
        <row r="364">
          <cell r="U364" t="str">
            <v>000000000012940</v>
          </cell>
        </row>
        <row r="365">
          <cell r="U365" t="str">
            <v>000000000012940</v>
          </cell>
        </row>
        <row r="366">
          <cell r="C366" t="str">
            <v>灯具カバーPC IN 2070　L=1966</v>
          </cell>
          <cell r="U366" t="str">
            <v>000000000012950</v>
          </cell>
        </row>
        <row r="367">
          <cell r="U367" t="str">
            <v>000000000012950</v>
          </cell>
        </row>
        <row r="368">
          <cell r="U368" t="str">
            <v>000000000012950</v>
          </cell>
        </row>
        <row r="369">
          <cell r="C369">
            <v>48</v>
          </cell>
          <cell r="U369" t="str">
            <v>000000000012950</v>
          </cell>
        </row>
        <row r="370">
          <cell r="C370">
            <v>1</v>
          </cell>
          <cell r="U370" t="str">
            <v>000000000012950</v>
          </cell>
        </row>
        <row r="371">
          <cell r="C371">
            <v>16</v>
          </cell>
          <cell r="U371" t="str">
            <v>000000000012950</v>
          </cell>
        </row>
        <row r="372">
          <cell r="C372" t="str">
            <v>灯具-2　L＝1996</v>
          </cell>
          <cell r="U372" t="str">
            <v>000000000012950</v>
          </cell>
        </row>
        <row r="373">
          <cell r="U373" t="str">
            <v>000000000012950</v>
          </cell>
        </row>
        <row r="374">
          <cell r="U374" t="str">
            <v>000000000012950</v>
          </cell>
        </row>
        <row r="375">
          <cell r="U375" t="str">
            <v>000000000012950</v>
          </cell>
        </row>
        <row r="376">
          <cell r="U376" t="str">
            <v>000000000012950</v>
          </cell>
        </row>
        <row r="377">
          <cell r="C377" t="str">
            <v>灯具カバーPC IN 2070　L=1966</v>
          </cell>
          <cell r="U377" t="str">
            <v>000000000012949</v>
          </cell>
        </row>
        <row r="378">
          <cell r="U378" t="str">
            <v>000000000012949</v>
          </cell>
        </row>
        <row r="379">
          <cell r="U379" t="str">
            <v>000000000012949</v>
          </cell>
        </row>
        <row r="380">
          <cell r="C380">
            <v>48</v>
          </cell>
          <cell r="U380" t="str">
            <v>000000000012949</v>
          </cell>
        </row>
        <row r="381">
          <cell r="C381">
            <v>1</v>
          </cell>
          <cell r="U381" t="str">
            <v>000000000012949</v>
          </cell>
        </row>
        <row r="382">
          <cell r="C382">
            <v>16</v>
          </cell>
          <cell r="U382" t="str">
            <v>000000000012949</v>
          </cell>
        </row>
        <row r="383">
          <cell r="C383" t="str">
            <v>灯具-2　L＝1996</v>
          </cell>
          <cell r="U383" t="str">
            <v>000000000012949</v>
          </cell>
        </row>
        <row r="384">
          <cell r="U384" t="str">
            <v>000000000012949</v>
          </cell>
        </row>
        <row r="385">
          <cell r="U385" t="str">
            <v>000000000012949</v>
          </cell>
        </row>
        <row r="386">
          <cell r="U386" t="str">
            <v>000000000012949</v>
          </cell>
        </row>
        <row r="387">
          <cell r="U387" t="str">
            <v>000000000012949</v>
          </cell>
        </row>
        <row r="388">
          <cell r="C388" t="str">
            <v>灯具カバーPC IN 2070　L=1966</v>
          </cell>
          <cell r="U388" t="str">
            <v>000000000012951</v>
          </cell>
        </row>
        <row r="389">
          <cell r="U389" t="str">
            <v>000000000012951</v>
          </cell>
        </row>
        <row r="390">
          <cell r="U390" t="str">
            <v>000000000012951</v>
          </cell>
        </row>
        <row r="391">
          <cell r="C391">
            <v>96</v>
          </cell>
          <cell r="U391" t="str">
            <v>000000000012951</v>
          </cell>
        </row>
        <row r="392">
          <cell r="C392">
            <v>1</v>
          </cell>
          <cell r="U392" t="str">
            <v>000000000012951</v>
          </cell>
        </row>
        <row r="393">
          <cell r="C393">
            <v>16</v>
          </cell>
          <cell r="U393" t="str">
            <v>000000000012951</v>
          </cell>
        </row>
        <row r="394">
          <cell r="C394" t="str">
            <v>灯具-2　L＝1996</v>
          </cell>
          <cell r="U394" t="str">
            <v>000000000012951</v>
          </cell>
        </row>
        <row r="395">
          <cell r="U395" t="str">
            <v>000000000012951</v>
          </cell>
        </row>
        <row r="396">
          <cell r="U396" t="str">
            <v>000000000012951</v>
          </cell>
        </row>
        <row r="397">
          <cell r="U397" t="str">
            <v>000000000012951</v>
          </cell>
        </row>
        <row r="398">
          <cell r="U398" t="str">
            <v>000000000012951</v>
          </cell>
        </row>
        <row r="399">
          <cell r="C399" t="str">
            <v>灯具カバーPC IN 2110　L=1815</v>
          </cell>
          <cell r="U399" t="str">
            <v>000000000012946</v>
          </cell>
        </row>
        <row r="400">
          <cell r="U400" t="str">
            <v>000000000012946</v>
          </cell>
        </row>
        <row r="401">
          <cell r="U401" t="str">
            <v>000000000012946</v>
          </cell>
        </row>
        <row r="402">
          <cell r="C402">
            <v>48</v>
          </cell>
          <cell r="U402" t="str">
            <v>000000000012946</v>
          </cell>
        </row>
        <row r="403">
          <cell r="C403">
            <v>1</v>
          </cell>
          <cell r="U403" t="str">
            <v>000000000012946</v>
          </cell>
        </row>
        <row r="404">
          <cell r="C404">
            <v>16</v>
          </cell>
          <cell r="U404" t="str">
            <v>000000000012946</v>
          </cell>
        </row>
        <row r="405">
          <cell r="C405" t="str">
            <v>灯具-2　L＝1996</v>
          </cell>
          <cell r="U405" t="str">
            <v>000000000012946</v>
          </cell>
        </row>
        <row r="406">
          <cell r="U406" t="str">
            <v>000000000012946</v>
          </cell>
        </row>
        <row r="407">
          <cell r="U407" t="str">
            <v>000000000012946</v>
          </cell>
        </row>
        <row r="408">
          <cell r="U408" t="str">
            <v>000000000012946</v>
          </cell>
        </row>
        <row r="409">
          <cell r="U409" t="str">
            <v>000000000012946</v>
          </cell>
        </row>
        <row r="410">
          <cell r="C410" t="str">
            <v>灯具カバーPC IN 2110　L=1815</v>
          </cell>
          <cell r="U410" t="str">
            <v>000000000012947</v>
          </cell>
        </row>
        <row r="411">
          <cell r="U411" t="str">
            <v>000000000012947</v>
          </cell>
        </row>
        <row r="412">
          <cell r="U412" t="str">
            <v>000000000012947</v>
          </cell>
        </row>
        <row r="413">
          <cell r="C413">
            <v>144</v>
          </cell>
          <cell r="U413" t="str">
            <v>000000000012947</v>
          </cell>
        </row>
        <row r="414">
          <cell r="C414">
            <v>1</v>
          </cell>
          <cell r="U414" t="str">
            <v>000000000012947</v>
          </cell>
        </row>
        <row r="415">
          <cell r="C415">
            <v>16</v>
          </cell>
          <cell r="U415" t="str">
            <v>000000000012947</v>
          </cell>
        </row>
        <row r="416">
          <cell r="C416" t="str">
            <v>灯具-2　L＝1996</v>
          </cell>
          <cell r="U416" t="str">
            <v>000000000012947</v>
          </cell>
        </row>
        <row r="417">
          <cell r="U417" t="str">
            <v>000000000012947</v>
          </cell>
        </row>
        <row r="418">
          <cell r="U418" t="str">
            <v>000000000012947</v>
          </cell>
        </row>
        <row r="419">
          <cell r="U419" t="str">
            <v>000000000012947</v>
          </cell>
        </row>
        <row r="420">
          <cell r="U420" t="str">
            <v>000000000012947</v>
          </cell>
        </row>
        <row r="421">
          <cell r="C421" t="str">
            <v>灯具カバーPC IN 2130　L=908</v>
          </cell>
          <cell r="U421" t="str">
            <v>000000000012943</v>
          </cell>
        </row>
        <row r="422">
          <cell r="U422" t="str">
            <v>000000000012943</v>
          </cell>
        </row>
        <row r="423">
          <cell r="U423" t="str">
            <v>000000000012943</v>
          </cell>
        </row>
        <row r="424">
          <cell r="C424">
            <v>192</v>
          </cell>
          <cell r="U424" t="str">
            <v>000000000012943</v>
          </cell>
        </row>
        <row r="425">
          <cell r="C425">
            <v>1</v>
          </cell>
          <cell r="U425" t="str">
            <v>000000000012943</v>
          </cell>
        </row>
        <row r="426">
          <cell r="C426">
            <v>16</v>
          </cell>
          <cell r="U426" t="str">
            <v>000000000012943</v>
          </cell>
        </row>
        <row r="427">
          <cell r="C427" t="str">
            <v>灯具-3　L=970</v>
          </cell>
          <cell r="U427" t="str">
            <v>000000000012943</v>
          </cell>
        </row>
        <row r="428">
          <cell r="U428" t="str">
            <v>000000000012943</v>
          </cell>
        </row>
        <row r="429">
          <cell r="U429" t="str">
            <v>000000000012943</v>
          </cell>
        </row>
        <row r="430">
          <cell r="U430" t="str">
            <v>000000000012943</v>
          </cell>
        </row>
        <row r="431">
          <cell r="U431" t="str">
            <v>000000000012943</v>
          </cell>
        </row>
        <row r="432">
          <cell r="C432" t="str">
            <v>灯具カバーPC IN 2140　L=547</v>
          </cell>
          <cell r="U432" t="str">
            <v>000000000012941</v>
          </cell>
        </row>
        <row r="433">
          <cell r="U433" t="str">
            <v>000000000012941</v>
          </cell>
        </row>
        <row r="434">
          <cell r="U434" t="str">
            <v>000000000012941</v>
          </cell>
        </row>
        <row r="435">
          <cell r="C435">
            <v>96</v>
          </cell>
          <cell r="U435" t="str">
            <v>000000000012941</v>
          </cell>
        </row>
        <row r="436">
          <cell r="C436">
            <v>1</v>
          </cell>
          <cell r="U436" t="str">
            <v>000000000012941</v>
          </cell>
        </row>
        <row r="437">
          <cell r="C437">
            <v>16</v>
          </cell>
          <cell r="U437" t="str">
            <v>000000000012941</v>
          </cell>
        </row>
        <row r="438">
          <cell r="C438" t="str">
            <v>灯具-1　L=1370</v>
          </cell>
          <cell r="U438" t="str">
            <v>000000000012941</v>
          </cell>
        </row>
        <row r="439">
          <cell r="U439" t="str">
            <v>000000000012941</v>
          </cell>
        </row>
        <row r="440">
          <cell r="U440" t="str">
            <v>000000000012941</v>
          </cell>
        </row>
        <row r="441">
          <cell r="U441" t="str">
            <v>000000000012941</v>
          </cell>
        </row>
        <row r="442">
          <cell r="U442" t="str">
            <v>000000000012941</v>
          </cell>
        </row>
        <row r="443">
          <cell r="C443" t="str">
            <v>灯具カバーPC IN 2070　L=1966</v>
          </cell>
          <cell r="U443" t="str">
            <v>000000000012952</v>
          </cell>
        </row>
        <row r="444">
          <cell r="U444" t="str">
            <v>000000000012952</v>
          </cell>
        </row>
        <row r="445">
          <cell r="U445" t="str">
            <v>000000000012952</v>
          </cell>
        </row>
        <row r="446">
          <cell r="C446">
            <v>192</v>
          </cell>
          <cell r="U446" t="str">
            <v>000000000012952</v>
          </cell>
        </row>
        <row r="447">
          <cell r="C447">
            <v>1</v>
          </cell>
          <cell r="U447" t="str">
            <v>000000000012952</v>
          </cell>
        </row>
        <row r="448">
          <cell r="C448">
            <v>16</v>
          </cell>
          <cell r="U448" t="str">
            <v>000000000012952</v>
          </cell>
        </row>
        <row r="449">
          <cell r="C449" t="str">
            <v>灯具-2　L＝1996</v>
          </cell>
          <cell r="U449" t="str">
            <v>000000000012952</v>
          </cell>
        </row>
        <row r="450">
          <cell r="U450" t="str">
            <v>000000000012952</v>
          </cell>
        </row>
        <row r="451">
          <cell r="U451" t="str">
            <v>000000000012952</v>
          </cell>
        </row>
        <row r="452">
          <cell r="U452" t="str">
            <v>000000000012952</v>
          </cell>
        </row>
        <row r="453">
          <cell r="U453" t="str">
            <v>000000000012952</v>
          </cell>
        </row>
        <row r="454">
          <cell r="C454" t="str">
            <v>灯具カバーPC IN 2090　L=840</v>
          </cell>
          <cell r="U454" t="str">
            <v>000000000012942</v>
          </cell>
        </row>
        <row r="455">
          <cell r="U455" t="str">
            <v>000000000012942</v>
          </cell>
        </row>
        <row r="456">
          <cell r="U456" t="str">
            <v>000000000012942</v>
          </cell>
        </row>
        <row r="457">
          <cell r="C457">
            <v>192</v>
          </cell>
          <cell r="U457" t="str">
            <v>000000000012942</v>
          </cell>
        </row>
        <row r="458">
          <cell r="C458">
            <v>1</v>
          </cell>
          <cell r="U458" t="str">
            <v>000000000012942</v>
          </cell>
        </row>
        <row r="459">
          <cell r="C459">
            <v>16</v>
          </cell>
          <cell r="U459" t="str">
            <v>000000000012942</v>
          </cell>
        </row>
        <row r="460">
          <cell r="C460" t="str">
            <v>灯具-3　L=970</v>
          </cell>
          <cell r="U460" t="str">
            <v>000000000012942</v>
          </cell>
        </row>
        <row r="461">
          <cell r="U461" t="str">
            <v>000000000012942</v>
          </cell>
        </row>
        <row r="462">
          <cell r="U462" t="str">
            <v>000000000012942</v>
          </cell>
        </row>
        <row r="463">
          <cell r="U463" t="str">
            <v>000000000012942</v>
          </cell>
        </row>
        <row r="464">
          <cell r="U464" t="str">
            <v>000000000012942</v>
          </cell>
        </row>
        <row r="465">
          <cell r="C465" t="str">
            <v>灯具カバーPC IN 2130　L=908</v>
          </cell>
          <cell r="U465" t="str">
            <v>000000000012944</v>
          </cell>
        </row>
        <row r="466">
          <cell r="U466" t="str">
            <v>000000000012944</v>
          </cell>
        </row>
        <row r="467">
          <cell r="U467" t="str">
            <v>000000000012944</v>
          </cell>
        </row>
        <row r="468">
          <cell r="C468">
            <v>192</v>
          </cell>
          <cell r="U468" t="str">
            <v>000000000012944</v>
          </cell>
        </row>
        <row r="469">
          <cell r="C469">
            <v>1</v>
          </cell>
          <cell r="U469" t="str">
            <v>000000000012944</v>
          </cell>
        </row>
        <row r="470">
          <cell r="C470">
            <v>16</v>
          </cell>
          <cell r="U470" t="str">
            <v>000000000012944</v>
          </cell>
        </row>
        <row r="471">
          <cell r="C471" t="str">
            <v>灯具-3　L=970</v>
          </cell>
          <cell r="U471" t="str">
            <v>000000000012944</v>
          </cell>
        </row>
        <row r="472">
          <cell r="U472" t="str">
            <v>000000000012944</v>
          </cell>
        </row>
        <row r="473">
          <cell r="U473" t="str">
            <v>000000000012944</v>
          </cell>
        </row>
        <row r="474">
          <cell r="U474" t="str">
            <v>000000000012944</v>
          </cell>
        </row>
        <row r="475">
          <cell r="U475" t="str">
            <v>000000000012944</v>
          </cell>
        </row>
        <row r="476">
          <cell r="C476" t="str">
            <v>灯具カバーPC IN 2110　L=1815</v>
          </cell>
          <cell r="U476" t="str">
            <v>000000000012948</v>
          </cell>
        </row>
        <row r="477">
          <cell r="U477" t="str">
            <v>000000000012948</v>
          </cell>
        </row>
        <row r="478">
          <cell r="U478" t="str">
            <v>000000000012948</v>
          </cell>
        </row>
        <row r="479">
          <cell r="C479">
            <v>192</v>
          </cell>
          <cell r="U479" t="str">
            <v>000000000012948</v>
          </cell>
        </row>
        <row r="480">
          <cell r="C480">
            <v>1</v>
          </cell>
          <cell r="U480" t="str">
            <v>000000000012948</v>
          </cell>
        </row>
        <row r="481">
          <cell r="C481">
            <v>16</v>
          </cell>
          <cell r="U481" t="str">
            <v>000000000012948</v>
          </cell>
        </row>
        <row r="482">
          <cell r="C482" t="str">
            <v>灯具-2　L＝1996</v>
          </cell>
          <cell r="U482" t="str">
            <v>000000000012948</v>
          </cell>
        </row>
        <row r="483">
          <cell r="U483" t="str">
            <v>000000000012948</v>
          </cell>
        </row>
        <row r="484">
          <cell r="U484" t="str">
            <v>000000000012948</v>
          </cell>
        </row>
        <row r="485">
          <cell r="U485" t="str">
            <v>000000000012948</v>
          </cell>
        </row>
        <row r="486">
          <cell r="U486" t="str">
            <v>000000000012948</v>
          </cell>
        </row>
        <row r="487">
          <cell r="C487" t="str">
            <v>灯具カバーPC IN 2050　L=1183.5</v>
          </cell>
          <cell r="U487" t="str">
            <v>000000000012945</v>
          </cell>
        </row>
        <row r="488">
          <cell r="U488" t="str">
            <v>000000000012945</v>
          </cell>
        </row>
        <row r="489">
          <cell r="U489" t="str">
            <v>000000000012945</v>
          </cell>
        </row>
        <row r="490">
          <cell r="C490">
            <v>192</v>
          </cell>
          <cell r="U490" t="str">
            <v>000000000012945</v>
          </cell>
        </row>
        <row r="491">
          <cell r="C491">
            <v>1</v>
          </cell>
          <cell r="U491" t="str">
            <v>000000000012945</v>
          </cell>
        </row>
        <row r="492">
          <cell r="C492">
            <v>16</v>
          </cell>
          <cell r="U492" t="str">
            <v>000000000012945</v>
          </cell>
        </row>
        <row r="493">
          <cell r="C493" t="str">
            <v>灯具-1　L=1370</v>
          </cell>
          <cell r="U493" t="str">
            <v>000000000012945</v>
          </cell>
        </row>
        <row r="494">
          <cell r="U494" t="str">
            <v>000000000012945</v>
          </cell>
        </row>
        <row r="495">
          <cell r="U495" t="str">
            <v>000000000012945</v>
          </cell>
        </row>
        <row r="496">
          <cell r="U496" t="str">
            <v>000000000012945</v>
          </cell>
        </row>
        <row r="497">
          <cell r="U497" t="str">
            <v>000000000012945</v>
          </cell>
        </row>
        <row r="498">
          <cell r="C498" t="str">
            <v>灯具カバーPC IN 2060　L=1258.5</v>
          </cell>
          <cell r="U498" t="str">
            <v>000000000012987</v>
          </cell>
        </row>
        <row r="499">
          <cell r="U499" t="str">
            <v>000000000012987</v>
          </cell>
        </row>
        <row r="500">
          <cell r="U500" t="str">
            <v>000000000012987</v>
          </cell>
        </row>
        <row r="501">
          <cell r="C501">
            <v>96</v>
          </cell>
          <cell r="U501" t="str">
            <v>000000000012987</v>
          </cell>
        </row>
        <row r="502">
          <cell r="C502">
            <v>1</v>
          </cell>
          <cell r="U502" t="str">
            <v>000000000012987</v>
          </cell>
        </row>
        <row r="503">
          <cell r="C503">
            <v>16</v>
          </cell>
          <cell r="U503" t="str">
            <v>000000000012987</v>
          </cell>
        </row>
        <row r="504">
          <cell r="C504" t="str">
            <v>灯具-1　L=1370</v>
          </cell>
          <cell r="U504" t="str">
            <v>000000000012987</v>
          </cell>
        </row>
        <row r="505">
          <cell r="U505" t="str">
            <v>000000000012987</v>
          </cell>
        </row>
        <row r="506">
          <cell r="U506" t="str">
            <v>000000000012987</v>
          </cell>
        </row>
        <row r="507">
          <cell r="U507" t="str">
            <v>000000000012987</v>
          </cell>
        </row>
        <row r="508">
          <cell r="U508" t="str">
            <v>000000000012987</v>
          </cell>
        </row>
        <row r="509">
          <cell r="C509" t="str">
            <v>灯具カバーPC IN 2140　L=547(切断)</v>
          </cell>
          <cell r="U509" t="str">
            <v>000000000012369</v>
          </cell>
        </row>
        <row r="510">
          <cell r="U510" t="str">
            <v>000000000012369</v>
          </cell>
        </row>
        <row r="511">
          <cell r="C511">
            <v>112</v>
          </cell>
          <cell r="U511" t="str">
            <v>000000000012369</v>
          </cell>
        </row>
        <row r="512">
          <cell r="C512">
            <v>400</v>
          </cell>
          <cell r="U512" t="str">
            <v>000000000012369</v>
          </cell>
        </row>
        <row r="513">
          <cell r="C513">
            <v>2</v>
          </cell>
          <cell r="U513" t="str">
            <v>000000000012369</v>
          </cell>
        </row>
        <row r="514">
          <cell r="C514">
            <v>16</v>
          </cell>
          <cell r="U514" t="str">
            <v>000000000012369</v>
          </cell>
        </row>
        <row r="515">
          <cell r="C515" t="str">
            <v>灯具-1　L=1370</v>
          </cell>
          <cell r="U515" t="str">
            <v>000000000012369</v>
          </cell>
        </row>
        <row r="516">
          <cell r="U516" t="str">
            <v>000000000012369</v>
          </cell>
        </row>
        <row r="517">
          <cell r="U517" t="str">
            <v>000000000012369</v>
          </cell>
        </row>
        <row r="518">
          <cell r="U518" t="str">
            <v>000000000012369</v>
          </cell>
        </row>
        <row r="519">
          <cell r="U519" t="str">
            <v>000000000012369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114"/>
  <sheetViews>
    <sheetView tabSelected="1" topLeftCell="A24" workbookViewId="0">
      <selection activeCell="A38" sqref="A38:XFD56"/>
    </sheetView>
  </sheetViews>
  <sheetFormatPr defaultColWidth="1.625" defaultRowHeight="13.5"/>
  <cols>
    <col min="1" max="1" width="9.75" style="1" customWidth="1"/>
    <col min="2" max="2" width="19.25" style="1" customWidth="1"/>
    <col min="3" max="3" width="5.875" style="1" customWidth="1"/>
    <col min="4" max="4" width="12.5" style="1" customWidth="1"/>
    <col min="5" max="5" width="9.25" style="1" customWidth="1"/>
    <col min="6" max="6" width="23.75" style="1" customWidth="1"/>
    <col min="7" max="7" width="10.25" style="1" customWidth="1"/>
    <col min="8" max="10" width="10.625" style="1" customWidth="1"/>
    <col min="11" max="11" width="1.625" style="1" customWidth="1"/>
    <col min="12" max="16384" width="1.625" style="1"/>
  </cols>
  <sheetData>
    <row r="1" spans="1:10" ht="14.25" customHeight="1" thickBot="1">
      <c r="A1" s="11"/>
      <c r="B1" s="128" t="s">
        <v>0</v>
      </c>
      <c r="C1" s="108"/>
      <c r="D1" s="108"/>
      <c r="E1" s="11"/>
      <c r="F1" s="11"/>
      <c r="G1" s="11"/>
      <c r="H1" s="11"/>
      <c r="I1" s="11"/>
      <c r="J1" s="11"/>
    </row>
    <row r="2" spans="1:10" ht="14.25" customHeight="1" thickTop="1">
      <c r="A2" s="12"/>
      <c r="B2" s="108"/>
      <c r="C2" s="108"/>
      <c r="D2" s="108"/>
      <c r="E2" s="12"/>
      <c r="F2" s="12"/>
      <c r="G2" s="12"/>
      <c r="H2" s="12"/>
      <c r="I2" s="12"/>
      <c r="J2" s="12"/>
    </row>
    <row r="3" spans="1:10" ht="14.25" customHeight="1">
      <c r="A3" s="133" t="s">
        <v>1</v>
      </c>
      <c r="B3" s="133" t="s">
        <v>2</v>
      </c>
      <c r="C3" s="133" t="s">
        <v>3</v>
      </c>
      <c r="D3" s="147">
        <v>888</v>
      </c>
      <c r="E3" s="133" t="s">
        <v>4</v>
      </c>
      <c r="F3" s="127" t="s">
        <v>5</v>
      </c>
      <c r="G3" s="108"/>
      <c r="H3" s="108"/>
      <c r="I3" s="24" t="s">
        <v>6</v>
      </c>
      <c r="J3" s="24" t="s">
        <v>7</v>
      </c>
    </row>
    <row r="4" spans="1:10" ht="14.25" customHeight="1">
      <c r="A4" s="108"/>
      <c r="B4" s="108"/>
      <c r="C4" s="108"/>
      <c r="D4" s="108"/>
      <c r="E4" s="108"/>
      <c r="F4" s="108"/>
      <c r="G4" s="108"/>
      <c r="H4" s="108"/>
      <c r="I4" s="141"/>
      <c r="J4" s="141"/>
    </row>
    <row r="5" spans="1:10" ht="17.45" customHeight="1">
      <c r="A5" s="126" t="s">
        <v>8</v>
      </c>
      <c r="B5" s="126" t="s">
        <v>9</v>
      </c>
      <c r="E5" s="126" t="s">
        <v>10</v>
      </c>
      <c r="F5" s="154" t="s">
        <v>11</v>
      </c>
      <c r="G5" s="108"/>
      <c r="H5" s="108"/>
      <c r="I5" s="142"/>
      <c r="J5" s="142"/>
    </row>
    <row r="6" spans="1:10" ht="17.45" customHeight="1">
      <c r="A6" s="108"/>
      <c r="B6" s="108"/>
      <c r="E6" s="108"/>
      <c r="F6" s="108"/>
      <c r="G6" s="108"/>
      <c r="H6" s="108"/>
      <c r="I6" s="13"/>
      <c r="J6" s="13"/>
    </row>
    <row r="7" spans="1:10" ht="17.45" customHeight="1">
      <c r="A7" s="126" t="s">
        <v>12</v>
      </c>
      <c r="B7" s="126" t="s">
        <v>13</v>
      </c>
      <c r="E7" s="2" t="s">
        <v>14</v>
      </c>
      <c r="F7" s="154" t="s">
        <v>15</v>
      </c>
      <c r="G7" s="108"/>
      <c r="H7" s="21"/>
      <c r="I7" s="13"/>
      <c r="J7" s="13"/>
    </row>
    <row r="8" spans="1:10" ht="17.45" customHeight="1">
      <c r="A8" s="108"/>
      <c r="B8" s="108"/>
      <c r="E8" s="2" t="s">
        <v>16</v>
      </c>
      <c r="F8" s="21" t="s">
        <v>17</v>
      </c>
      <c r="G8" s="21"/>
      <c r="H8" s="21"/>
      <c r="I8" s="14"/>
      <c r="J8" s="14"/>
    </row>
    <row r="9" spans="1:10" ht="17.45" customHeight="1">
      <c r="A9" s="2" t="s">
        <v>18</v>
      </c>
      <c r="B9" s="4">
        <v>46063</v>
      </c>
      <c r="E9" s="2" t="s">
        <v>19</v>
      </c>
      <c r="F9" s="150">
        <v>100</v>
      </c>
      <c r="G9" s="108"/>
      <c r="H9" s="21"/>
    </row>
    <row r="10" spans="1:10" ht="17.45" customHeight="1">
      <c r="A10" s="2" t="s">
        <v>20</v>
      </c>
      <c r="B10" s="4">
        <v>46063</v>
      </c>
      <c r="E10" s="2" t="s">
        <v>21</v>
      </c>
      <c r="F10" s="21">
        <v>11</v>
      </c>
      <c r="G10" s="134" t="s">
        <v>22</v>
      </c>
      <c r="H10" s="143">
        <v>1100</v>
      </c>
      <c r="I10" s="144"/>
      <c r="J10" s="145"/>
    </row>
    <row r="11" spans="1:10" ht="17.45" customHeight="1">
      <c r="A11" s="19"/>
      <c r="B11" s="20"/>
      <c r="C11" s="20"/>
      <c r="D11" s="20"/>
      <c r="E11" s="2" t="s">
        <v>23</v>
      </c>
      <c r="F11" s="21" t="s">
        <v>24</v>
      </c>
      <c r="G11" s="135"/>
      <c r="H11" s="135"/>
      <c r="I11" s="116"/>
      <c r="J11" s="138"/>
    </row>
    <row r="12" spans="1:10" ht="13.5" customHeight="1">
      <c r="A12" s="155" t="s">
        <v>25</v>
      </c>
      <c r="B12" s="108"/>
      <c r="C12" s="108"/>
      <c r="D12" s="20"/>
      <c r="F12" s="3"/>
      <c r="G12" s="130" t="s">
        <v>26</v>
      </c>
      <c r="H12" s="146" t="s">
        <v>27</v>
      </c>
      <c r="I12" s="136" t="s">
        <v>28</v>
      </c>
      <c r="J12" s="137"/>
    </row>
    <row r="13" spans="1:10" ht="13.5" customHeight="1">
      <c r="A13" s="108"/>
      <c r="B13" s="108"/>
      <c r="C13" s="108"/>
      <c r="D13" s="20"/>
      <c r="F13" s="3"/>
      <c r="G13" s="131"/>
      <c r="H13" s="131"/>
      <c r="I13" s="116"/>
      <c r="J13" s="138"/>
    </row>
    <row r="14" spans="1:10" ht="13.5" customHeight="1">
      <c r="A14" s="1" t="s">
        <v>29</v>
      </c>
    </row>
    <row r="15" spans="1:10" ht="63" customHeight="1" thickBot="1">
      <c r="A15" s="148"/>
      <c r="B15" s="149"/>
      <c r="C15" s="149"/>
      <c r="D15" s="149"/>
      <c r="E15" s="149"/>
      <c r="F15" s="149"/>
      <c r="G15" s="149"/>
      <c r="H15" s="149"/>
      <c r="I15" s="149"/>
      <c r="J15" s="149"/>
    </row>
    <row r="16" spans="1:10" ht="18.75">
      <c r="A16" s="23" t="s">
        <v>30</v>
      </c>
      <c r="B16" s="16" t="s">
        <v>31</v>
      </c>
      <c r="C16" s="153" t="s">
        <v>32</v>
      </c>
      <c r="D16" s="152"/>
      <c r="E16" s="16" t="s">
        <v>33</v>
      </c>
      <c r="F16" s="153" t="s">
        <v>34</v>
      </c>
      <c r="G16" s="152"/>
      <c r="H16" s="152"/>
      <c r="I16" s="151" t="s">
        <v>35</v>
      </c>
      <c r="J16" s="152"/>
    </row>
    <row r="17" spans="1:10" s="6" customFormat="1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s="7" customFormat="1" ht="16.5" customHeight="1">
      <c r="A18" s="22">
        <v>1</v>
      </c>
      <c r="B18" s="25" t="s">
        <v>36</v>
      </c>
      <c r="C18" s="109" t="s">
        <v>37</v>
      </c>
      <c r="D18" s="129"/>
      <c r="E18" s="25" t="s">
        <v>38</v>
      </c>
      <c r="F18" s="109" t="s">
        <v>39</v>
      </c>
      <c r="G18" s="129"/>
      <c r="H18" s="129"/>
      <c r="I18" s="125"/>
      <c r="J18" s="129"/>
    </row>
    <row r="19" spans="1:10" s="7" customFormat="1" ht="16.5" customHeight="1">
      <c r="A19" s="22">
        <v>1</v>
      </c>
      <c r="B19" s="26" t="s">
        <v>36</v>
      </c>
      <c r="C19" s="109" t="s">
        <v>37</v>
      </c>
      <c r="D19" s="129"/>
      <c r="E19" s="25" t="s">
        <v>40</v>
      </c>
      <c r="F19" s="109" t="s">
        <v>41</v>
      </c>
      <c r="G19" s="129"/>
      <c r="H19" s="129"/>
      <c r="I19" s="125"/>
      <c r="J19" s="129"/>
    </row>
    <row r="20" spans="1:10" s="7" customFormat="1" ht="16.5" customHeight="1">
      <c r="A20" s="22"/>
      <c r="B20" s="26"/>
      <c r="C20" s="109"/>
      <c r="D20" s="129"/>
      <c r="E20" s="25"/>
      <c r="F20" s="109"/>
      <c r="G20" s="129"/>
      <c r="H20" s="129"/>
      <c r="I20" s="125"/>
      <c r="J20" s="129"/>
    </row>
    <row r="21" spans="1:10" s="7" customFormat="1" ht="16.5" customHeight="1">
      <c r="A21" s="22"/>
      <c r="B21" s="26"/>
      <c r="C21" s="109"/>
      <c r="D21" s="129"/>
      <c r="E21" s="25"/>
      <c r="F21" s="109"/>
      <c r="G21" s="129"/>
      <c r="H21" s="129"/>
      <c r="I21" s="125"/>
      <c r="J21" s="129"/>
    </row>
    <row r="22" spans="1:10" s="7" customFormat="1" ht="16.5" customHeight="1">
      <c r="A22" s="22"/>
      <c r="B22" s="26"/>
      <c r="C22" s="109"/>
      <c r="D22" s="129"/>
      <c r="E22" s="25"/>
      <c r="F22" s="109"/>
      <c r="G22" s="129"/>
      <c r="H22" s="129"/>
      <c r="I22" s="125"/>
      <c r="J22" s="129"/>
    </row>
    <row r="23" spans="1:10" s="7" customFormat="1" ht="16.5" customHeight="1">
      <c r="A23" s="22"/>
      <c r="B23" s="26"/>
      <c r="C23" s="109"/>
      <c r="D23" s="129"/>
      <c r="E23" s="25"/>
      <c r="F23" s="109"/>
      <c r="G23" s="129"/>
      <c r="H23" s="129"/>
      <c r="I23" s="125"/>
      <c r="J23" s="129"/>
    </row>
    <row r="24" spans="1:10" ht="16.5" customHeight="1" thickBot="1">
      <c r="A24" s="15"/>
      <c r="B24" s="15"/>
      <c r="C24" s="15"/>
      <c r="D24" s="15"/>
      <c r="E24" s="15"/>
      <c r="F24" s="15"/>
      <c r="G24" s="15"/>
      <c r="H24" s="15"/>
      <c r="I24" s="15"/>
      <c r="J24" s="15"/>
    </row>
    <row r="25" spans="1:10" ht="18.75">
      <c r="A25" s="139" t="s">
        <v>42</v>
      </c>
      <c r="B25" s="140"/>
      <c r="C25" s="139" t="s">
        <v>43</v>
      </c>
      <c r="D25" s="140"/>
      <c r="E25" s="140"/>
      <c r="F25" s="17" t="s">
        <v>44</v>
      </c>
      <c r="G25" s="139" t="s">
        <v>45</v>
      </c>
      <c r="H25" s="140"/>
      <c r="I25" s="139" t="s">
        <v>46</v>
      </c>
      <c r="J25" s="140"/>
    </row>
    <row r="26" spans="1:10" ht="14.25" customHeight="1">
      <c r="A26" s="8"/>
      <c r="B26" s="18"/>
      <c r="C26" s="115" t="s">
        <v>47</v>
      </c>
      <c r="D26" s="116"/>
      <c r="E26" s="18"/>
      <c r="F26" s="115" t="s">
        <v>29</v>
      </c>
      <c r="G26" s="116"/>
      <c r="H26" s="116"/>
      <c r="I26" s="116"/>
      <c r="J26" s="116"/>
    </row>
    <row r="27" spans="1:10">
      <c r="A27" s="9"/>
      <c r="C27" s="7"/>
      <c r="D27" s="7"/>
      <c r="E27" s="7"/>
    </row>
    <row r="28" spans="1:10" s="5" customFormat="1" ht="14.25" customHeight="1">
      <c r="A28" s="109" t="s">
        <v>48</v>
      </c>
      <c r="B28" s="132"/>
      <c r="C28" s="109" t="s">
        <v>49</v>
      </c>
      <c r="D28" s="132"/>
      <c r="E28" s="132"/>
      <c r="F28" s="27" t="s">
        <v>27</v>
      </c>
      <c r="G28" s="114">
        <v>550</v>
      </c>
      <c r="H28" s="132"/>
      <c r="I28" s="114">
        <v>5.5</v>
      </c>
      <c r="J28" s="132"/>
    </row>
    <row r="29" spans="1:10" s="7" customFormat="1" ht="24.95" customHeight="1">
      <c r="A29" s="107" t="s">
        <v>50</v>
      </c>
      <c r="B29" s="129"/>
      <c r="C29" s="109"/>
      <c r="D29" s="129"/>
      <c r="E29" s="129"/>
      <c r="F29" s="109"/>
      <c r="G29" s="129"/>
      <c r="H29" s="129"/>
      <c r="I29" s="129"/>
      <c r="J29" s="129"/>
    </row>
    <row r="30" spans="1:10" s="5" customFormat="1" ht="14.25" customHeight="1">
      <c r="A30" s="109" t="s">
        <v>51</v>
      </c>
      <c r="B30" s="132"/>
      <c r="C30" s="109" t="s">
        <v>52</v>
      </c>
      <c r="D30" s="132"/>
      <c r="E30" s="132"/>
      <c r="F30" s="27" t="s">
        <v>36</v>
      </c>
      <c r="G30" s="114">
        <v>11</v>
      </c>
      <c r="H30" s="132"/>
      <c r="I30" s="114">
        <v>0.11</v>
      </c>
      <c r="J30" s="132"/>
    </row>
    <row r="31" spans="1:10" s="7" customFormat="1" ht="24.95" customHeight="1">
      <c r="A31" s="107" t="s">
        <v>53</v>
      </c>
      <c r="B31" s="129"/>
      <c r="C31" s="109" t="s">
        <v>54</v>
      </c>
      <c r="D31" s="129"/>
      <c r="E31" s="129"/>
      <c r="F31" s="109"/>
      <c r="G31" s="129"/>
      <c r="H31" s="129"/>
      <c r="I31" s="129"/>
      <c r="J31" s="129"/>
    </row>
    <row r="32" spans="1:10" s="5" customFormat="1" ht="14.25" customHeight="1">
      <c r="A32" s="109" t="s">
        <v>55</v>
      </c>
      <c r="B32" s="132"/>
      <c r="C32" s="109" t="s">
        <v>56</v>
      </c>
      <c r="D32" s="132"/>
      <c r="E32" s="132"/>
      <c r="F32" s="27"/>
      <c r="G32" s="114">
        <v>121</v>
      </c>
      <c r="H32" s="132"/>
      <c r="I32" s="114">
        <v>1.21</v>
      </c>
      <c r="J32" s="132"/>
    </row>
    <row r="33" spans="1:14" s="7" customFormat="1" ht="24.95" customHeight="1">
      <c r="A33" s="107" t="s">
        <v>57</v>
      </c>
      <c r="B33" s="129"/>
      <c r="C33" s="109" t="s">
        <v>58</v>
      </c>
      <c r="D33" s="129"/>
      <c r="E33" s="129"/>
      <c r="F33" s="109"/>
      <c r="G33" s="129"/>
      <c r="H33" s="129"/>
      <c r="I33" s="129"/>
      <c r="J33" s="129"/>
    </row>
    <row r="34" spans="1:14" s="5" customFormat="1" ht="14.25" customHeight="1">
      <c r="A34" s="109" t="s">
        <v>59</v>
      </c>
      <c r="B34" s="132"/>
      <c r="C34" s="109" t="s">
        <v>60</v>
      </c>
      <c r="D34" s="132"/>
      <c r="E34" s="132"/>
      <c r="F34" s="27"/>
      <c r="G34" s="114">
        <v>1.1000000000000001</v>
      </c>
      <c r="H34" s="132"/>
      <c r="I34" s="114">
        <v>1.0999999999999999E-2</v>
      </c>
      <c r="J34" s="132"/>
    </row>
    <row r="35" spans="1:14" s="7" customFormat="1" ht="24.95" customHeight="1">
      <c r="A35" s="107" t="s">
        <v>61</v>
      </c>
      <c r="B35" s="129"/>
      <c r="C35" s="109" t="s">
        <v>62</v>
      </c>
      <c r="D35" s="129"/>
      <c r="E35" s="129"/>
      <c r="F35" s="109"/>
      <c r="G35" s="129"/>
      <c r="H35" s="129"/>
      <c r="I35" s="129"/>
      <c r="J35" s="129"/>
    </row>
    <row r="36" spans="1:14" s="5" customFormat="1" ht="14.25" customHeight="1">
      <c r="A36" s="109"/>
      <c r="B36" s="132"/>
      <c r="C36" s="109"/>
      <c r="D36" s="132"/>
      <c r="E36" s="132"/>
      <c r="F36" s="27"/>
      <c r="G36" s="114"/>
      <c r="H36" s="132"/>
      <c r="I36" s="114"/>
      <c r="J36" s="132"/>
    </row>
    <row r="37" spans="1:14" s="7" customFormat="1" ht="24.95" customHeight="1" thickBot="1">
      <c r="A37" s="107"/>
      <c r="B37" s="129"/>
      <c r="C37" s="109"/>
      <c r="D37" s="129"/>
      <c r="E37" s="129"/>
      <c r="F37" s="109"/>
      <c r="G37" s="129"/>
      <c r="H37" s="129"/>
      <c r="I37" s="129"/>
      <c r="J37" s="129"/>
    </row>
    <row r="38" spans="1:14" s="5" customFormat="1" ht="18" customHeight="1">
      <c r="A38" s="51" t="s">
        <v>89</v>
      </c>
      <c r="B38" s="73" t="s">
        <v>91</v>
      </c>
      <c r="C38" s="112" t="s">
        <v>98</v>
      </c>
      <c r="D38" s="113"/>
      <c r="E38" s="72" t="s">
        <v>85</v>
      </c>
      <c r="F38" s="74" t="s">
        <v>120</v>
      </c>
      <c r="G38" s="70" t="s">
        <v>97</v>
      </c>
      <c r="H38" s="71" t="s">
        <v>99</v>
      </c>
      <c r="I38" s="110" t="s">
        <v>100</v>
      </c>
      <c r="J38" s="111"/>
    </row>
    <row r="39" spans="1:14" s="7" customFormat="1" ht="18" customHeight="1">
      <c r="A39" s="84" t="str">
        <f>_xlfn.XLOOKUP(B3,[1]VFDB2!$A:$A,[1]VFDB2!$J:$J)</f>
        <v>〇</v>
      </c>
      <c r="B39" s="75">
        <f>D3</f>
        <v>888</v>
      </c>
      <c r="C39" s="122" t="str">
        <f>_xlfn.XLOOKUP(B3,[1]VFDB2!$A:$A,[1]VFDB2!$Z:$Z)</f>
        <v>LED-A888</v>
      </c>
      <c r="D39" s="123"/>
      <c r="E39" s="124" t="str" cm="1">
        <f t="array" ref="E39">IFERROR(INDEX(_xlfn._xlws.FILTER([2]加工記録２!C:C,[2]加工記録２!U:U=B5),9),"")</f>
        <v/>
      </c>
      <c r="F39" s="76" t="str" cm="1">
        <f t="array" ref="F39">IFERROR("切断加工：" &amp;_xlfn.TEXTJOIN(" / ",TRUE,INDEX(_xlfn._xlws.FILTER([2]加工記録２!M:M,[2]加工記録２!U:U=B5),9),INDEX(_xlfn._xlws.FILTER([2]加工記録２!N:N,[2]加工記録２!U:U=B5),9)),"")</f>
        <v/>
      </c>
      <c r="G39" s="85" t="str" cm="1">
        <f t="array" ref="G39">IFERROR(IF(_xlfn.TAKE(_xlfn._xlws.FILTER([2]加工記録２!$M:$N,[2]加工記録２!$U:$U=B5),5)=0,"",_xlfn.TAKE(_xlfn._xlws.FILTER([2]加工記録２!$M:$N,[2]加工記録２!$U:$U=B5),5)),"")</f>
        <v/>
      </c>
      <c r="H39" s="86"/>
      <c r="I39" s="53" t="s">
        <v>87</v>
      </c>
      <c r="J39" s="67" t="str" cm="1">
        <f t="array" ref="J39:J44">IFERROR(INDEX(_xlfn._xlws.FILTER([2]加工記録２!P:P, [2]加工記録２!U:U=B5),_xlfn.SEQUENCE(6)),"")</f>
        <v/>
      </c>
    </row>
    <row r="40" spans="1:14" s="5" customFormat="1" ht="18" customHeight="1">
      <c r="A40" s="54" t="s">
        <v>92</v>
      </c>
      <c r="B40" s="77" t="s">
        <v>94</v>
      </c>
      <c r="C40" s="122"/>
      <c r="D40" s="123"/>
      <c r="E40" s="124"/>
      <c r="F40" s="78" t="str" cm="1">
        <f t="array" ref="F40">IFERROR("外観検査：" &amp;_xlfn.TEXTJOIN(" / ",TRUE,INDEX(_xlfn._xlws.FILTER([2]加工記録２!M:M,[2]加工記録２!U:U=B5),10),INDEX(_xlfn._xlws.FILTER([2]加工記録２!N:N,[2]加工記録２!U:U=B5),10)),"")</f>
        <v/>
      </c>
      <c r="G40" s="85"/>
      <c r="H40" s="86"/>
      <c r="I40" s="53" t="s">
        <v>88</v>
      </c>
      <c r="J40" s="89" t="str">
        <v/>
      </c>
      <c r="K40" s="28"/>
    </row>
    <row r="41" spans="1:14" s="7" customFormat="1" ht="18" customHeight="1">
      <c r="A41" s="52" t="str">
        <f>_xlfn.XLOOKUP(B3,[1]VFDB2!$A:$A,[1]VFDB2!$L:$L)</f>
        <v>+0.5</v>
      </c>
      <c r="B41" s="79" t="str">
        <f>_xlfn.XLOOKUP(B3,[1]VFDB2!$A:$A,[1]VFDB2!$AC:$AC)</f>
        <v>換算表確認</v>
      </c>
      <c r="C41" s="121" t="s">
        <v>101</v>
      </c>
      <c r="D41" s="117" t="str">
        <f>_xlfn.XLOOKUP(B3,[1]VFDB2!$A:$A,[1]VFDB2!$W:$W)</f>
        <v>L=888用　クラフト紙</v>
      </c>
      <c r="E41" s="117"/>
      <c r="F41" s="118"/>
      <c r="G41" s="85"/>
      <c r="H41" s="86"/>
      <c r="I41" s="53" t="s">
        <v>102</v>
      </c>
      <c r="J41" s="89" t="str">
        <v/>
      </c>
      <c r="K41" s="29"/>
    </row>
    <row r="42" spans="1:14" s="5" customFormat="1" ht="18" customHeight="1">
      <c r="A42" s="55" t="s">
        <v>95</v>
      </c>
      <c r="B42" s="80" t="s">
        <v>90</v>
      </c>
      <c r="C42" s="121"/>
      <c r="D42" s="117" t="str">
        <f>_xlfn.XLOOKUP(B3,[1]VFDB2!$A:$A,[1]VFDB2!$R:$R)</f>
        <v>ラベル１枚　長手無　鉢巻１回</v>
      </c>
      <c r="E42" s="117"/>
      <c r="F42" s="118"/>
      <c r="G42" s="85"/>
      <c r="H42" s="86"/>
      <c r="I42" s="53" t="s">
        <v>116</v>
      </c>
      <c r="J42" s="89" t="str">
        <v/>
      </c>
      <c r="K42" s="28"/>
    </row>
    <row r="43" spans="1:14" s="7" customFormat="1" ht="18" customHeight="1" thickBot="1">
      <c r="A43" s="56" t="str">
        <f>_xlfn.XLOOKUP(B3,[1]VFDB2!$A:$A,[1]VFDB2!$K:$K)</f>
        <v>－0.5</v>
      </c>
      <c r="B43" s="81">
        <f>_xlfn.XLOOKUP(B3,[1]VFDB2!$A:$A,[1]VFDB2!$P:$P)</f>
        <v>2</v>
      </c>
      <c r="C43" s="36" t="s">
        <v>103</v>
      </c>
      <c r="D43" s="119" t="str">
        <f>_xlfn.XLOOKUP(B3,[1]VFDB2!$A:$A,[1]VFDB2!$V:$V)</f>
        <v>1箱目の梱包数 目視確認　以降、重量測定</v>
      </c>
      <c r="E43" s="119"/>
      <c r="F43" s="120"/>
      <c r="G43" s="87"/>
      <c r="H43" s="88"/>
      <c r="I43" s="53" t="s">
        <v>117</v>
      </c>
      <c r="J43" s="90" t="str">
        <v/>
      </c>
      <c r="K43" s="29"/>
    </row>
    <row r="44" spans="1:14" s="5" customFormat="1" ht="18" customHeight="1" thickBot="1">
      <c r="A44" s="57" t="s">
        <v>96</v>
      </c>
      <c r="B44" s="37" t="str" cm="1">
        <f t="array" ref="B44">IF(SUM(--(ISTEXT(B45:B55)*(B45:B55&lt;&gt;"")))=0,"計測Lot","計測Lot・加工数")</f>
        <v>計測Lot</v>
      </c>
      <c r="C44" s="82" t="s">
        <v>104</v>
      </c>
      <c r="D44" s="83" t="s">
        <v>105</v>
      </c>
      <c r="E44" s="97" t="s">
        <v>106</v>
      </c>
      <c r="F44" s="98" t="str" cm="1">
        <f t="array" ref="F44">IF(SUM(--(ISTEXT(B45:B55)*(B45:B55&lt;&gt;"")))=0,"記入不要","使用Lot")</f>
        <v>記入不要</v>
      </c>
      <c r="G44" s="38" t="s">
        <v>121</v>
      </c>
      <c r="H44" s="39" t="s">
        <v>107</v>
      </c>
      <c r="I44" s="58" t="s">
        <v>93</v>
      </c>
      <c r="J44" s="91" t="str">
        <v/>
      </c>
      <c r="K44" s="28"/>
    </row>
    <row r="45" spans="1:14" s="7" customFormat="1" ht="18" customHeight="1">
      <c r="A45" s="92" t="str" cm="1">
        <f t="array" ref="A45:A55">IFERROR(INDEX(_xlfn._xlws.FILTER([2]加工記録２!$D:$D,[2]加工記録２!$U:$U=B5),_xlfn.SEQUENCE(11),0),"")</f>
        <v/>
      </c>
      <c r="B45" s="60" t="str" cm="1">
        <f t="array" ref="B45:B55">IFERROR(IF(INDEX(_xlfn._xlws.FILTER([2]加工記録２!$E:$E,[2]加工記録２!$U:$U=B5),_xlfn.SEQUENCE(11))="","",INDEX(_xlfn._xlws.FILTER([2]加工記録２!$E:$E,[2]加工記録２!$U:$U=B5),_xlfn.SEQUENCE(11)) &amp; IF(INDEX(_xlfn._xlws.FILTER([2]加工記録２!$F:$F,[2]加工記録２!$U:$U=B5),_xlfn.SEQUENCE(11))="","", " × " &amp; INDEX(_xlfn._xlws.FILTER([2]加工記録２!$F:$F,[2]加工記録２!$U:$U=B5),_xlfn.SEQUENCE(11)))),"")</f>
        <v/>
      </c>
      <c r="C45" s="69" t="str" cm="1">
        <f t="array" ref="C45">IFERROR(IF(_xlfn.TAKE(_xlfn._xlws.FILTER([2]加工記録２!$G:$L,[2]加工記録２!$U:$U=B5),11)=0,"",_xlfn.TAKE(_xlfn._xlws.FILTER([2]加工記録２!$G:$L,[2]加工記録２!$U:$U=B5),11)),"")</f>
        <v/>
      </c>
      <c r="D45" s="62"/>
      <c r="E45" s="99"/>
      <c r="F45" s="100"/>
      <c r="G45" s="32"/>
      <c r="H45" s="33"/>
      <c r="I45" s="105" t="s">
        <v>86</v>
      </c>
      <c r="J45" s="106"/>
      <c r="K45" s="45"/>
    </row>
    <row r="46" spans="1:14" s="5" customFormat="1" ht="18" customHeight="1">
      <c r="A46" s="93" t="str">
        <v/>
      </c>
      <c r="B46" s="61" t="str">
        <v/>
      </c>
      <c r="C46" s="40"/>
      <c r="D46" s="63"/>
      <c r="E46" s="101"/>
      <c r="F46" s="102"/>
      <c r="G46" s="40"/>
      <c r="H46" s="41"/>
      <c r="I46" s="44" t="s">
        <v>108</v>
      </c>
      <c r="J46" s="41" t="str" cm="1">
        <f t="array" ref="J46:J55">IFERROR(INDEX(_xlfn._xlws.FILTER([2]加工記録２!R:R, [2]加工記録２!U:U=B5),_xlfn.SEQUENCE(10)),"")</f>
        <v/>
      </c>
      <c r="K46" s="45"/>
    </row>
    <row r="47" spans="1:14" s="31" customFormat="1" ht="18.95" customHeight="1">
      <c r="A47" s="59" t="str">
        <v/>
      </c>
      <c r="B47" s="61" t="str">
        <v/>
      </c>
      <c r="C47" s="40"/>
      <c r="D47" s="63"/>
      <c r="E47" s="101"/>
      <c r="F47" s="102"/>
      <c r="G47" s="40"/>
      <c r="H47" s="41"/>
      <c r="I47" s="44" t="s">
        <v>109</v>
      </c>
      <c r="J47" s="41" t="str">
        <v/>
      </c>
      <c r="K47" s="46"/>
      <c r="L47" s="30"/>
      <c r="M47" s="30"/>
      <c r="N47" s="30"/>
    </row>
    <row r="48" spans="1:14" s="35" customFormat="1" ht="18.95" customHeight="1">
      <c r="A48" s="59" t="str">
        <v/>
      </c>
      <c r="B48" s="61" t="str">
        <v/>
      </c>
      <c r="C48" s="40"/>
      <c r="D48" s="63"/>
      <c r="E48" s="101"/>
      <c r="F48" s="102"/>
      <c r="G48" s="40"/>
      <c r="H48" s="41"/>
      <c r="I48" s="44" t="s">
        <v>110</v>
      </c>
      <c r="J48" s="41" t="str">
        <v/>
      </c>
      <c r="K48" s="47"/>
      <c r="L48" s="34"/>
      <c r="M48" s="34"/>
      <c r="N48" s="34"/>
    </row>
    <row r="49" spans="1:14" s="35" customFormat="1" ht="18.95" customHeight="1">
      <c r="A49" s="59" t="str">
        <v/>
      </c>
      <c r="B49" s="61" t="str">
        <v/>
      </c>
      <c r="C49" s="40"/>
      <c r="D49" s="63"/>
      <c r="E49" s="101"/>
      <c r="F49" s="102"/>
      <c r="G49" s="40"/>
      <c r="H49" s="41"/>
      <c r="I49" s="44" t="s">
        <v>111</v>
      </c>
      <c r="J49" s="41" t="str">
        <v/>
      </c>
      <c r="K49" s="47"/>
      <c r="L49" s="34"/>
      <c r="M49" s="34"/>
      <c r="N49" s="34"/>
    </row>
    <row r="50" spans="1:14" s="35" customFormat="1" ht="18.95" customHeight="1">
      <c r="A50" s="59" t="str">
        <v/>
      </c>
      <c r="B50" s="61" t="str">
        <v/>
      </c>
      <c r="C50" s="40"/>
      <c r="D50" s="63"/>
      <c r="E50" s="101"/>
      <c r="F50" s="102"/>
      <c r="G50" s="40"/>
      <c r="H50" s="41"/>
      <c r="I50" s="44" t="s">
        <v>112</v>
      </c>
      <c r="J50" s="41" t="str">
        <v/>
      </c>
      <c r="K50" s="47"/>
      <c r="L50" s="34"/>
      <c r="M50" s="34"/>
      <c r="N50" s="34"/>
    </row>
    <row r="51" spans="1:14" s="35" customFormat="1" ht="18.95" customHeight="1">
      <c r="A51" s="59" t="str">
        <v/>
      </c>
      <c r="B51" s="61" t="str">
        <v/>
      </c>
      <c r="C51" s="40"/>
      <c r="D51" s="63"/>
      <c r="E51" s="101"/>
      <c r="F51" s="102"/>
      <c r="G51" s="40"/>
      <c r="H51" s="41"/>
      <c r="I51" s="44" t="s">
        <v>113</v>
      </c>
      <c r="J51" s="41" t="str">
        <v/>
      </c>
      <c r="K51" s="47"/>
      <c r="L51" s="34"/>
      <c r="M51" s="34"/>
      <c r="N51" s="34"/>
    </row>
    <row r="52" spans="1:14" s="35" customFormat="1" ht="18.95" customHeight="1">
      <c r="A52" s="59" t="str">
        <v/>
      </c>
      <c r="B52" s="61" t="str">
        <v/>
      </c>
      <c r="C52" s="40"/>
      <c r="D52" s="63"/>
      <c r="E52" s="101"/>
      <c r="F52" s="102"/>
      <c r="G52" s="40"/>
      <c r="H52" s="41"/>
      <c r="I52" s="66" t="s">
        <v>118</v>
      </c>
      <c r="J52" s="41" t="str">
        <v/>
      </c>
      <c r="K52" s="47"/>
      <c r="L52" s="34"/>
      <c r="M52" s="34"/>
      <c r="N52" s="34"/>
    </row>
    <row r="53" spans="1:14" s="35" customFormat="1" ht="18.95" customHeight="1">
      <c r="A53" s="59" t="str">
        <v/>
      </c>
      <c r="B53" s="61" t="str">
        <v/>
      </c>
      <c r="C53" s="40"/>
      <c r="D53" s="63"/>
      <c r="E53" s="101"/>
      <c r="F53" s="102"/>
      <c r="G53" s="40"/>
      <c r="H53" s="41"/>
      <c r="I53" s="66" t="s">
        <v>119</v>
      </c>
      <c r="J53" s="41" t="str">
        <v/>
      </c>
      <c r="K53" s="47"/>
      <c r="L53" s="34"/>
      <c r="M53" s="34"/>
      <c r="N53" s="34"/>
    </row>
    <row r="54" spans="1:14" s="35" customFormat="1" ht="18.95" customHeight="1">
      <c r="A54" s="59" t="str">
        <v/>
      </c>
      <c r="B54" s="61" t="str">
        <v/>
      </c>
      <c r="C54" s="40"/>
      <c r="D54" s="63"/>
      <c r="E54" s="101"/>
      <c r="F54" s="102"/>
      <c r="G54" s="40"/>
      <c r="H54" s="41"/>
      <c r="I54" s="44" t="s">
        <v>114</v>
      </c>
      <c r="J54" s="95" t="str">
        <v/>
      </c>
      <c r="K54" s="47"/>
      <c r="L54" s="34"/>
      <c r="M54" s="34"/>
      <c r="N54" s="34"/>
    </row>
    <row r="55" spans="1:14" s="35" customFormat="1" ht="18.95" customHeight="1" thickBot="1">
      <c r="A55" s="94" t="str">
        <v/>
      </c>
      <c r="B55" s="68" t="str">
        <v/>
      </c>
      <c r="C55" s="64"/>
      <c r="D55" s="65"/>
      <c r="E55" s="103"/>
      <c r="F55" s="104"/>
      <c r="G55" s="42"/>
      <c r="H55" s="43"/>
      <c r="I55" s="48" t="s">
        <v>115</v>
      </c>
      <c r="J55" s="96" t="str">
        <v/>
      </c>
      <c r="K55" s="47"/>
      <c r="L55" s="34"/>
      <c r="M55" s="34"/>
      <c r="N55" s="34"/>
    </row>
    <row r="56" spans="1:14" ht="6" customHeight="1" thickBot="1">
      <c r="A56" s="49"/>
      <c r="B56" s="50"/>
      <c r="C56" s="50"/>
      <c r="D56" s="49"/>
      <c r="E56" s="50"/>
      <c r="F56" s="50"/>
      <c r="G56" s="50"/>
      <c r="H56" s="50"/>
    </row>
    <row r="57" spans="1:14" ht="6" customHeight="1" thickTop="1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4" ht="14.25" customHeight="1">
      <c r="A58" s="11"/>
      <c r="B58" s="128" t="s">
        <v>0</v>
      </c>
      <c r="C58" s="108"/>
      <c r="D58" s="108"/>
      <c r="E58" s="11"/>
      <c r="F58" s="11"/>
      <c r="G58" s="11"/>
      <c r="H58" s="11"/>
      <c r="I58" s="11"/>
      <c r="J58" s="11"/>
    </row>
    <row r="59" spans="1:14" ht="14.25" customHeight="1">
      <c r="A59" s="12"/>
      <c r="B59" s="108"/>
      <c r="C59" s="108"/>
      <c r="D59" s="108"/>
      <c r="E59" s="12"/>
      <c r="F59" s="12"/>
      <c r="G59" s="12"/>
      <c r="H59" s="12"/>
      <c r="I59" s="12"/>
      <c r="J59" s="12"/>
    </row>
    <row r="60" spans="1:14" ht="14.25" customHeight="1">
      <c r="A60" s="133" t="s">
        <v>1</v>
      </c>
      <c r="B60" s="133" t="s">
        <v>63</v>
      </c>
      <c r="C60" s="133" t="s">
        <v>3</v>
      </c>
      <c r="D60" s="147">
        <v>1183</v>
      </c>
      <c r="E60" s="133" t="s">
        <v>4</v>
      </c>
      <c r="F60" s="127" t="s">
        <v>64</v>
      </c>
      <c r="G60" s="108"/>
      <c r="H60" s="108"/>
      <c r="I60" s="24" t="s">
        <v>6</v>
      </c>
      <c r="J60" s="24" t="s">
        <v>7</v>
      </c>
    </row>
    <row r="61" spans="1:14" ht="14.25" customHeight="1">
      <c r="A61" s="108"/>
      <c r="B61" s="108"/>
      <c r="C61" s="108"/>
      <c r="D61" s="108"/>
      <c r="E61" s="108"/>
      <c r="F61" s="108"/>
      <c r="G61" s="108"/>
      <c r="H61" s="108"/>
      <c r="I61" s="141"/>
      <c r="J61" s="141"/>
    </row>
    <row r="62" spans="1:14" ht="17.45" customHeight="1">
      <c r="A62" s="126" t="s">
        <v>8</v>
      </c>
      <c r="B62" s="126" t="s">
        <v>65</v>
      </c>
      <c r="E62" s="126" t="s">
        <v>10</v>
      </c>
      <c r="F62" s="154" t="s">
        <v>66</v>
      </c>
      <c r="G62" s="108"/>
      <c r="H62" s="108"/>
      <c r="I62" s="142"/>
      <c r="J62" s="142"/>
    </row>
    <row r="63" spans="1:14" ht="17.45" customHeight="1">
      <c r="A63" s="108"/>
      <c r="B63" s="108"/>
      <c r="E63" s="108"/>
      <c r="F63" s="108"/>
      <c r="G63" s="108"/>
      <c r="H63" s="108"/>
      <c r="I63" s="13"/>
      <c r="J63" s="13"/>
    </row>
    <row r="64" spans="1:14" ht="17.45" customHeight="1">
      <c r="A64" s="126" t="s">
        <v>12</v>
      </c>
      <c r="B64" s="126" t="s">
        <v>67</v>
      </c>
      <c r="E64" s="2" t="s">
        <v>14</v>
      </c>
      <c r="F64" s="154" t="s">
        <v>68</v>
      </c>
      <c r="G64" s="108"/>
      <c r="H64" s="21"/>
      <c r="I64" s="13"/>
      <c r="J64" s="13"/>
    </row>
    <row r="65" spans="1:10" ht="17.45" customHeight="1">
      <c r="A65" s="108"/>
      <c r="B65" s="108"/>
      <c r="E65" s="2" t="s">
        <v>16</v>
      </c>
      <c r="F65" s="21" t="s">
        <v>69</v>
      </c>
      <c r="G65" s="21"/>
      <c r="H65" s="21"/>
      <c r="I65" s="14"/>
      <c r="J65" s="14"/>
    </row>
    <row r="66" spans="1:10" ht="17.45" customHeight="1">
      <c r="A66" s="2" t="s">
        <v>18</v>
      </c>
      <c r="B66" s="4">
        <v>46069</v>
      </c>
      <c r="E66" s="2" t="s">
        <v>19</v>
      </c>
      <c r="F66" s="150">
        <v>16</v>
      </c>
      <c r="G66" s="108"/>
      <c r="H66" s="21"/>
    </row>
    <row r="67" spans="1:10" ht="17.45" customHeight="1">
      <c r="A67" s="2" t="s">
        <v>20</v>
      </c>
      <c r="B67" s="4">
        <v>46069</v>
      </c>
      <c r="E67" s="2" t="s">
        <v>21</v>
      </c>
      <c r="F67" s="21">
        <v>12</v>
      </c>
      <c r="G67" s="134" t="s">
        <v>22</v>
      </c>
      <c r="H67" s="143">
        <v>192</v>
      </c>
      <c r="I67" s="144"/>
      <c r="J67" s="145"/>
    </row>
    <row r="68" spans="1:10" ht="17.45" customHeight="1">
      <c r="A68" s="19"/>
      <c r="B68" s="20"/>
      <c r="C68" s="20"/>
      <c r="D68" s="20"/>
      <c r="E68" s="2" t="s">
        <v>23</v>
      </c>
      <c r="F68" s="21" t="s">
        <v>70</v>
      </c>
      <c r="G68" s="135"/>
      <c r="H68" s="135"/>
      <c r="I68" s="116"/>
      <c r="J68" s="138"/>
    </row>
    <row r="69" spans="1:10" ht="13.5" customHeight="1">
      <c r="A69" s="155" t="s">
        <v>71</v>
      </c>
      <c r="B69" s="108"/>
      <c r="C69" s="108"/>
      <c r="D69" s="20"/>
      <c r="F69" s="3"/>
      <c r="G69" s="130" t="s">
        <v>26</v>
      </c>
      <c r="H69" s="146" t="s">
        <v>72</v>
      </c>
      <c r="I69" s="136" t="s">
        <v>73</v>
      </c>
      <c r="J69" s="137"/>
    </row>
    <row r="70" spans="1:10" ht="13.5" customHeight="1">
      <c r="A70" s="108"/>
      <c r="B70" s="108"/>
      <c r="C70" s="108"/>
      <c r="D70" s="20"/>
      <c r="F70" s="3"/>
      <c r="G70" s="131"/>
      <c r="H70" s="131"/>
      <c r="I70" s="116"/>
      <c r="J70" s="138"/>
    </row>
    <row r="71" spans="1:10" ht="13.5" customHeight="1">
      <c r="A71" s="1" t="s">
        <v>29</v>
      </c>
    </row>
    <row r="72" spans="1:10" ht="63" customHeight="1">
      <c r="A72" s="148"/>
      <c r="B72" s="149"/>
      <c r="C72" s="149"/>
      <c r="D72" s="149"/>
      <c r="E72" s="149"/>
      <c r="F72" s="149"/>
      <c r="G72" s="149"/>
      <c r="H72" s="149"/>
      <c r="I72" s="149"/>
      <c r="J72" s="149"/>
    </row>
    <row r="73" spans="1:10" ht="18.75">
      <c r="A73" s="23" t="s">
        <v>30</v>
      </c>
      <c r="B73" s="16" t="s">
        <v>31</v>
      </c>
      <c r="C73" s="153" t="s">
        <v>32</v>
      </c>
      <c r="D73" s="152"/>
      <c r="E73" s="16" t="s">
        <v>33</v>
      </c>
      <c r="F73" s="153" t="s">
        <v>34</v>
      </c>
      <c r="G73" s="152"/>
      <c r="H73" s="152"/>
      <c r="I73" s="151" t="s">
        <v>35</v>
      </c>
      <c r="J73" s="152"/>
    </row>
    <row r="74" spans="1:10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16.5" customHeight="1">
      <c r="A75" s="22">
        <v>1</v>
      </c>
      <c r="B75" s="25" t="s">
        <v>36</v>
      </c>
      <c r="C75" s="109" t="s">
        <v>37</v>
      </c>
      <c r="D75" s="108"/>
      <c r="E75" s="25" t="s">
        <v>74</v>
      </c>
      <c r="F75" s="109" t="s">
        <v>75</v>
      </c>
      <c r="G75" s="108"/>
      <c r="H75" s="108"/>
      <c r="I75" s="125"/>
      <c r="J75" s="108"/>
    </row>
    <row r="76" spans="1:10" ht="16.5" customHeight="1">
      <c r="A76" s="22">
        <v>1</v>
      </c>
      <c r="B76" s="26" t="s">
        <v>36</v>
      </c>
      <c r="C76" s="109" t="s">
        <v>37</v>
      </c>
      <c r="D76" s="108"/>
      <c r="E76" s="25" t="s">
        <v>40</v>
      </c>
      <c r="F76" s="109" t="s">
        <v>41</v>
      </c>
      <c r="G76" s="108"/>
      <c r="H76" s="108"/>
      <c r="I76" s="125"/>
      <c r="J76" s="108"/>
    </row>
    <row r="77" spans="1:10" ht="16.5" customHeight="1">
      <c r="A77" s="22"/>
      <c r="B77" s="26"/>
      <c r="C77" s="109"/>
      <c r="D77" s="108"/>
      <c r="E77" s="25"/>
      <c r="F77" s="109"/>
      <c r="G77" s="108"/>
      <c r="H77" s="108"/>
      <c r="I77" s="125"/>
      <c r="J77" s="108"/>
    </row>
    <row r="78" spans="1:10" ht="16.5" customHeight="1">
      <c r="A78" s="22"/>
      <c r="B78" s="26"/>
      <c r="C78" s="109"/>
      <c r="D78" s="108"/>
      <c r="E78" s="25"/>
      <c r="F78" s="109"/>
      <c r="G78" s="108"/>
      <c r="H78" s="108"/>
      <c r="I78" s="125"/>
      <c r="J78" s="108"/>
    </row>
    <row r="79" spans="1:10" ht="16.5" customHeight="1">
      <c r="A79" s="22"/>
      <c r="B79" s="26"/>
      <c r="C79" s="109"/>
      <c r="D79" s="108"/>
      <c r="E79" s="25"/>
      <c r="F79" s="109"/>
      <c r="G79" s="108"/>
      <c r="H79" s="108"/>
      <c r="I79" s="125"/>
      <c r="J79" s="108"/>
    </row>
    <row r="80" spans="1:10" ht="16.5" customHeight="1">
      <c r="A80" s="22"/>
      <c r="B80" s="26"/>
      <c r="C80" s="109"/>
      <c r="D80" s="108"/>
      <c r="E80" s="25"/>
      <c r="F80" s="109"/>
      <c r="G80" s="108"/>
      <c r="H80" s="108"/>
      <c r="I80" s="125"/>
      <c r="J80" s="108"/>
    </row>
    <row r="81" spans="1:10" ht="16.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</row>
    <row r="82" spans="1:10" ht="18.75">
      <c r="A82" s="139" t="s">
        <v>42</v>
      </c>
      <c r="B82" s="140"/>
      <c r="C82" s="139" t="s">
        <v>43</v>
      </c>
      <c r="D82" s="140"/>
      <c r="E82" s="140"/>
      <c r="F82" s="17" t="s">
        <v>44</v>
      </c>
      <c r="G82" s="139" t="s">
        <v>45</v>
      </c>
      <c r="H82" s="140"/>
      <c r="I82" s="139" t="s">
        <v>46</v>
      </c>
      <c r="J82" s="140"/>
    </row>
    <row r="83" spans="1:10" ht="14.25" customHeight="1">
      <c r="A83" s="8"/>
      <c r="B83" s="18"/>
      <c r="C83" s="115" t="s">
        <v>47</v>
      </c>
      <c r="D83" s="116"/>
      <c r="E83" s="18"/>
      <c r="F83" s="115" t="s">
        <v>29</v>
      </c>
      <c r="G83" s="116"/>
      <c r="H83" s="116"/>
      <c r="I83" s="116"/>
      <c r="J83" s="116"/>
    </row>
    <row r="84" spans="1:10">
      <c r="A84" s="9"/>
      <c r="C84" s="7"/>
      <c r="D84" s="7"/>
      <c r="E84" s="7"/>
    </row>
    <row r="85" spans="1:10" ht="14.25" customHeight="1">
      <c r="A85" s="109" t="s">
        <v>76</v>
      </c>
      <c r="B85" s="108"/>
      <c r="C85" s="109" t="s">
        <v>77</v>
      </c>
      <c r="D85" s="108"/>
      <c r="E85" s="108"/>
      <c r="F85" s="27" t="s">
        <v>27</v>
      </c>
      <c r="G85" s="114">
        <v>192</v>
      </c>
      <c r="H85" s="108"/>
      <c r="I85" s="114">
        <v>12</v>
      </c>
      <c r="J85" s="108"/>
    </row>
    <row r="86" spans="1:10" ht="24.95" customHeight="1">
      <c r="A86" s="107" t="s">
        <v>78</v>
      </c>
      <c r="B86" s="108"/>
      <c r="C86" s="109" t="s">
        <v>66</v>
      </c>
      <c r="D86" s="108"/>
      <c r="E86" s="108"/>
      <c r="F86" s="109"/>
      <c r="G86" s="108"/>
      <c r="H86" s="108"/>
      <c r="I86" s="108"/>
      <c r="J86" s="108"/>
    </row>
    <row r="87" spans="1:10" ht="14.25" customHeight="1">
      <c r="A87" s="109" t="s">
        <v>79</v>
      </c>
      <c r="B87" s="108"/>
      <c r="C87" s="109" t="s">
        <v>80</v>
      </c>
      <c r="D87" s="108"/>
      <c r="E87" s="108"/>
      <c r="F87" s="27" t="s">
        <v>72</v>
      </c>
      <c r="G87" s="114">
        <v>12.096</v>
      </c>
      <c r="H87" s="108"/>
      <c r="I87" s="114">
        <v>0.75600000000000001</v>
      </c>
      <c r="J87" s="108"/>
    </row>
    <row r="88" spans="1:10" ht="24.95" customHeight="1">
      <c r="A88" s="107" t="s">
        <v>81</v>
      </c>
      <c r="B88" s="108"/>
      <c r="C88" s="109"/>
      <c r="D88" s="108"/>
      <c r="E88" s="108"/>
      <c r="F88" s="109"/>
      <c r="G88" s="108"/>
      <c r="H88" s="108"/>
      <c r="I88" s="108"/>
      <c r="J88" s="108"/>
    </row>
    <row r="89" spans="1:10" ht="14.25" customHeight="1">
      <c r="A89" s="109" t="s">
        <v>82</v>
      </c>
      <c r="B89" s="108"/>
      <c r="C89" s="109" t="s">
        <v>56</v>
      </c>
      <c r="D89" s="108"/>
      <c r="E89" s="108"/>
      <c r="F89" s="27"/>
      <c r="G89" s="114">
        <v>0.76800000000000002</v>
      </c>
      <c r="H89" s="108"/>
      <c r="I89" s="114">
        <v>4.8000000000000001E-2</v>
      </c>
      <c r="J89" s="108"/>
    </row>
    <row r="90" spans="1:10" ht="24.95" customHeight="1">
      <c r="A90" s="107" t="s">
        <v>83</v>
      </c>
      <c r="B90" s="108"/>
      <c r="C90" s="109" t="s">
        <v>84</v>
      </c>
      <c r="D90" s="108"/>
      <c r="E90" s="108"/>
      <c r="F90" s="109"/>
      <c r="G90" s="108"/>
      <c r="H90" s="108"/>
      <c r="I90" s="108"/>
      <c r="J90" s="108"/>
    </row>
    <row r="91" spans="1:10" ht="14.25" customHeight="1">
      <c r="A91" s="109"/>
      <c r="B91" s="108"/>
      <c r="C91" s="109"/>
      <c r="D91" s="108"/>
      <c r="E91" s="108"/>
      <c r="F91" s="27"/>
      <c r="G91" s="114"/>
      <c r="H91" s="108"/>
      <c r="I91" s="114"/>
      <c r="J91" s="108"/>
    </row>
    <row r="92" spans="1:10" ht="24.95" customHeight="1">
      <c r="A92" s="107"/>
      <c r="B92" s="108"/>
      <c r="C92" s="109"/>
      <c r="D92" s="108"/>
      <c r="E92" s="108"/>
      <c r="F92" s="109"/>
      <c r="G92" s="108"/>
      <c r="H92" s="108"/>
      <c r="I92" s="108"/>
      <c r="J92" s="108"/>
    </row>
    <row r="93" spans="1:10" ht="14.25" customHeight="1">
      <c r="A93" s="109"/>
      <c r="B93" s="108"/>
      <c r="C93" s="109"/>
      <c r="D93" s="108"/>
      <c r="E93" s="108"/>
      <c r="F93" s="27"/>
      <c r="G93" s="114"/>
      <c r="H93" s="108"/>
      <c r="I93" s="114"/>
      <c r="J93" s="108"/>
    </row>
    <row r="94" spans="1:10" ht="24.95" customHeight="1" thickBot="1">
      <c r="A94" s="107"/>
      <c r="B94" s="108"/>
      <c r="C94" s="109"/>
      <c r="D94" s="108"/>
      <c r="E94" s="108"/>
      <c r="F94" s="109"/>
      <c r="G94" s="108"/>
      <c r="H94" s="108"/>
      <c r="I94" s="108"/>
      <c r="J94" s="108"/>
    </row>
    <row r="95" spans="1:10" s="5" customFormat="1" ht="18" customHeight="1">
      <c r="A95" s="51" t="s">
        <v>89</v>
      </c>
      <c r="B95" s="73" t="s">
        <v>91</v>
      </c>
      <c r="C95" s="112" t="s">
        <v>98</v>
      </c>
      <c r="D95" s="113"/>
      <c r="E95" s="72" t="s">
        <v>85</v>
      </c>
      <c r="F95" s="74" t="s">
        <v>120</v>
      </c>
      <c r="G95" s="70" t="s">
        <v>97</v>
      </c>
      <c r="H95" s="71" t="s">
        <v>99</v>
      </c>
      <c r="I95" s="110" t="s">
        <v>100</v>
      </c>
      <c r="J95" s="111"/>
    </row>
    <row r="96" spans="1:10" s="7" customFormat="1" ht="18" customHeight="1">
      <c r="A96" s="84" t="str">
        <f>_xlfn.XLOOKUP(B60,[1]VFDB2!$A:$A,[1]VFDB2!$J:$J)</f>
        <v>-</v>
      </c>
      <c r="B96" s="75">
        <f>D60</f>
        <v>1183</v>
      </c>
      <c r="C96" s="122" t="str">
        <f>_xlfn.XLOOKUP(B60,[1]VFDB2!$A:$A,[1]VFDB2!$Z:$Z)</f>
        <v>灯具-1　L=1370</v>
      </c>
      <c r="D96" s="123"/>
      <c r="E96" s="124" t="str" cm="1">
        <f t="array" ref="E96">IFERROR(INDEX(_xlfn._xlws.FILTER([2]加工記録２!C:C,[2]加工記録２!U:U=B62),9),"")</f>
        <v/>
      </c>
      <c r="F96" s="76" t="str" cm="1">
        <f t="array" ref="F96">IFERROR("切断加工：" &amp;_xlfn.TEXTJOIN(" / ",TRUE,INDEX(_xlfn._xlws.FILTER([2]加工記録２!M:M,[2]加工記録２!U:U=B62),9),INDEX(_xlfn._xlws.FILTER([2]加工記録２!N:N,[2]加工記録２!U:U=B62),9)),"")</f>
        <v/>
      </c>
      <c r="G96" s="85" t="str" cm="1">
        <f t="array" ref="G96">IFERROR(IF(_xlfn.TAKE(_xlfn._xlws.FILTER([2]加工記録２!$M:$N,[2]加工記録２!$U:$U=B62),5)=0,"",_xlfn.TAKE(_xlfn._xlws.FILTER([2]加工記録２!$M:$N,[2]加工記録２!$U:$U=B62),5)),"")</f>
        <v/>
      </c>
      <c r="H96" s="86"/>
      <c r="I96" s="53" t="s">
        <v>87</v>
      </c>
      <c r="J96" s="67" t="str" cm="1">
        <f t="array" ref="J96:J101">IFERROR(INDEX(_xlfn._xlws.FILTER([2]加工記録２!P:P, [2]加工記録２!U:U=B62),_xlfn.SEQUENCE(6)),"")</f>
        <v/>
      </c>
    </row>
    <row r="97" spans="1:14" s="5" customFormat="1" ht="18" customHeight="1">
      <c r="A97" s="54" t="s">
        <v>92</v>
      </c>
      <c r="B97" s="77" t="s">
        <v>94</v>
      </c>
      <c r="C97" s="122"/>
      <c r="D97" s="123"/>
      <c r="E97" s="124"/>
      <c r="F97" s="78" t="str" cm="1">
        <f t="array" ref="F97">IFERROR("外観検査：" &amp;_xlfn.TEXTJOIN(" / ",TRUE,INDEX(_xlfn._xlws.FILTER([2]加工記録２!M:M,[2]加工記録２!U:U=B62),10),INDEX(_xlfn._xlws.FILTER([2]加工記録２!N:N,[2]加工記録２!U:U=B62),10)),"")</f>
        <v/>
      </c>
      <c r="G97" s="85"/>
      <c r="H97" s="86"/>
      <c r="I97" s="53" t="s">
        <v>88</v>
      </c>
      <c r="J97" s="89" t="str">
        <v/>
      </c>
      <c r="K97" s="28"/>
    </row>
    <row r="98" spans="1:14" s="7" customFormat="1" ht="18" customHeight="1">
      <c r="A98" s="52" t="str">
        <f>_xlfn.XLOOKUP(B60,[1]VFDB2!$A:$A,[1]VFDB2!$L:$L)</f>
        <v>+2</v>
      </c>
      <c r="B98" s="79" t="str">
        <f>_xlfn.XLOOKUP(B60,[1]VFDB2!$A:$A,[1]VFDB2!$AC:$AC)</f>
        <v>換算表確認</v>
      </c>
      <c r="C98" s="121" t="s">
        <v>101</v>
      </c>
      <c r="D98" s="117" t="str">
        <f>_xlfn.XLOOKUP(B60,[1]VFDB2!$A:$A,[1]VFDB2!$W:$W)</f>
        <v>クラフト紙：1370型</v>
      </c>
      <c r="E98" s="117"/>
      <c r="F98" s="118"/>
      <c r="G98" s="85"/>
      <c r="H98" s="86"/>
      <c r="I98" s="53" t="s">
        <v>102</v>
      </c>
      <c r="J98" s="89" t="str">
        <v/>
      </c>
      <c r="K98" s="29"/>
    </row>
    <row r="99" spans="1:14" s="5" customFormat="1" ht="18" customHeight="1">
      <c r="A99" s="55" t="s">
        <v>95</v>
      </c>
      <c r="B99" s="80" t="s">
        <v>90</v>
      </c>
      <c r="C99" s="121"/>
      <c r="D99" s="117" t="str">
        <f>_xlfn.XLOOKUP(B60,[1]VFDB2!$A:$A,[1]VFDB2!$R:$R)</f>
        <v>ラベル2枚　長手有　鉢巻１</v>
      </c>
      <c r="E99" s="117"/>
      <c r="F99" s="118"/>
      <c r="G99" s="85"/>
      <c r="H99" s="86"/>
      <c r="I99" s="53" t="s">
        <v>116</v>
      </c>
      <c r="J99" s="89" t="str">
        <v/>
      </c>
      <c r="K99" s="28"/>
    </row>
    <row r="100" spans="1:14" s="7" customFormat="1" ht="18" customHeight="1" thickBot="1">
      <c r="A100" s="56">
        <f>_xlfn.XLOOKUP(B60,[1]VFDB2!$A:$A,[1]VFDB2!$K:$K)</f>
        <v>-2</v>
      </c>
      <c r="B100" s="81">
        <f>_xlfn.XLOOKUP(B60,[1]VFDB2!$A:$A,[1]VFDB2!$P:$P)</f>
        <v>1</v>
      </c>
      <c r="C100" s="36" t="s">
        <v>103</v>
      </c>
      <c r="D100" s="119" t="str">
        <f>_xlfn.XLOOKUP(B60,[1]VFDB2!$A:$A,[1]VFDB2!$V:$V)</f>
        <v>梱包箱:灯具-1　L1370(隙間埋め)</v>
      </c>
      <c r="E100" s="119"/>
      <c r="F100" s="120"/>
      <c r="G100" s="87"/>
      <c r="H100" s="88"/>
      <c r="I100" s="53" t="s">
        <v>117</v>
      </c>
      <c r="J100" s="90" t="str">
        <v/>
      </c>
      <c r="K100" s="29"/>
    </row>
    <row r="101" spans="1:14" s="5" customFormat="1" ht="18" customHeight="1" thickBot="1">
      <c r="A101" s="57" t="s">
        <v>96</v>
      </c>
      <c r="B101" s="37" t="str" cm="1">
        <f t="array" ref="B101">IF(SUM(--(ISTEXT(B102:B112)*(B102:B112&lt;&gt;"")))=0,"計測Lot","計測Lot・加工数")</f>
        <v>計測Lot</v>
      </c>
      <c r="C101" s="82" t="s">
        <v>104</v>
      </c>
      <c r="D101" s="83" t="s">
        <v>105</v>
      </c>
      <c r="E101" s="97" t="s">
        <v>106</v>
      </c>
      <c r="F101" s="98" t="str" cm="1">
        <f t="array" ref="F101">IF(SUM(--(ISTEXT(B102:B112)*(B102:B112&lt;&gt;"")))=0,"記入不要","使用Lot")</f>
        <v>記入不要</v>
      </c>
      <c r="G101" s="38" t="s">
        <v>121</v>
      </c>
      <c r="H101" s="39" t="s">
        <v>107</v>
      </c>
      <c r="I101" s="58" t="s">
        <v>93</v>
      </c>
      <c r="J101" s="91" t="str">
        <v/>
      </c>
      <c r="K101" s="28"/>
    </row>
    <row r="102" spans="1:14" s="7" customFormat="1" ht="18" customHeight="1">
      <c r="A102" s="92" t="str" cm="1">
        <f t="array" ref="A102:A112">IFERROR(INDEX(_xlfn._xlws.FILTER([2]加工記録２!$D:$D,[2]加工記録２!$U:$U=B62),_xlfn.SEQUENCE(11),0),"")</f>
        <v/>
      </c>
      <c r="B102" s="60" t="str" cm="1">
        <f t="array" ref="B102:B112">IFERROR(IF(INDEX(_xlfn._xlws.FILTER([2]加工記録２!$E:$E,[2]加工記録２!$U:$U=B62),_xlfn.SEQUENCE(11))="","",INDEX(_xlfn._xlws.FILTER([2]加工記録２!$E:$E,[2]加工記録２!$U:$U=B62),_xlfn.SEQUENCE(11)) &amp; IF(INDEX(_xlfn._xlws.FILTER([2]加工記録２!$F:$F,[2]加工記録２!$U:$U=B62),_xlfn.SEQUENCE(11))="","", " × " &amp; INDEX(_xlfn._xlws.FILTER([2]加工記録２!$F:$F,[2]加工記録２!$U:$U=B62),_xlfn.SEQUENCE(11)))),"")</f>
        <v/>
      </c>
      <c r="C102" s="69" t="str" cm="1">
        <f t="array" ref="C102">IFERROR(IF(_xlfn.TAKE(_xlfn._xlws.FILTER([2]加工記録２!$G:$L,[2]加工記録２!$U:$U=B62),11)=0,"",_xlfn.TAKE(_xlfn._xlws.FILTER([2]加工記録２!$G:$L,[2]加工記録２!$U:$U=B62),11)),"")</f>
        <v/>
      </c>
      <c r="D102" s="62"/>
      <c r="E102" s="99"/>
      <c r="F102" s="100"/>
      <c r="G102" s="32"/>
      <c r="H102" s="33"/>
      <c r="I102" s="105" t="s">
        <v>86</v>
      </c>
      <c r="J102" s="106"/>
      <c r="K102" s="45"/>
    </row>
    <row r="103" spans="1:14" s="5" customFormat="1" ht="18" customHeight="1">
      <c r="A103" s="93" t="str">
        <v/>
      </c>
      <c r="B103" s="61" t="str">
        <v/>
      </c>
      <c r="C103" s="40"/>
      <c r="D103" s="63"/>
      <c r="E103" s="101"/>
      <c r="F103" s="102"/>
      <c r="G103" s="40"/>
      <c r="H103" s="41"/>
      <c r="I103" s="44" t="s">
        <v>108</v>
      </c>
      <c r="J103" s="41" t="str" cm="1">
        <f t="array" ref="J103:J112">IFERROR(INDEX(_xlfn._xlws.FILTER([2]加工記録２!R:R, [2]加工記録２!U:U=B62),_xlfn.SEQUENCE(10)),"")</f>
        <v/>
      </c>
      <c r="K103" s="45"/>
    </row>
    <row r="104" spans="1:14" s="31" customFormat="1" ht="18.95" customHeight="1">
      <c r="A104" s="59" t="str">
        <v/>
      </c>
      <c r="B104" s="61" t="str">
        <v/>
      </c>
      <c r="C104" s="40"/>
      <c r="D104" s="63"/>
      <c r="E104" s="101"/>
      <c r="F104" s="102"/>
      <c r="G104" s="40"/>
      <c r="H104" s="41"/>
      <c r="I104" s="44" t="s">
        <v>109</v>
      </c>
      <c r="J104" s="41" t="str">
        <v/>
      </c>
      <c r="K104" s="46"/>
      <c r="L104" s="30"/>
      <c r="M104" s="30"/>
      <c r="N104" s="30"/>
    </row>
    <row r="105" spans="1:14" s="35" customFormat="1" ht="18.95" customHeight="1">
      <c r="A105" s="59" t="str">
        <v/>
      </c>
      <c r="B105" s="61" t="str">
        <v/>
      </c>
      <c r="C105" s="40"/>
      <c r="D105" s="63"/>
      <c r="E105" s="101"/>
      <c r="F105" s="102"/>
      <c r="G105" s="40"/>
      <c r="H105" s="41"/>
      <c r="I105" s="44" t="s">
        <v>110</v>
      </c>
      <c r="J105" s="41" t="str">
        <v/>
      </c>
      <c r="K105" s="47"/>
      <c r="L105" s="34"/>
      <c r="M105" s="34"/>
      <c r="N105" s="34"/>
    </row>
    <row r="106" spans="1:14" s="35" customFormat="1" ht="18.95" customHeight="1">
      <c r="A106" s="59" t="str">
        <v/>
      </c>
      <c r="B106" s="61" t="str">
        <v/>
      </c>
      <c r="C106" s="40"/>
      <c r="D106" s="63"/>
      <c r="E106" s="101"/>
      <c r="F106" s="102"/>
      <c r="G106" s="40"/>
      <c r="H106" s="41"/>
      <c r="I106" s="44" t="s">
        <v>111</v>
      </c>
      <c r="J106" s="41" t="str">
        <v/>
      </c>
      <c r="K106" s="47"/>
      <c r="L106" s="34"/>
      <c r="M106" s="34"/>
      <c r="N106" s="34"/>
    </row>
    <row r="107" spans="1:14" s="35" customFormat="1" ht="18.95" customHeight="1">
      <c r="A107" s="59" t="str">
        <v/>
      </c>
      <c r="B107" s="61" t="str">
        <v/>
      </c>
      <c r="C107" s="40"/>
      <c r="D107" s="63"/>
      <c r="E107" s="101"/>
      <c r="F107" s="102"/>
      <c r="G107" s="40"/>
      <c r="H107" s="41"/>
      <c r="I107" s="44" t="s">
        <v>112</v>
      </c>
      <c r="J107" s="41" t="str">
        <v/>
      </c>
      <c r="K107" s="47"/>
      <c r="L107" s="34"/>
      <c r="M107" s="34"/>
      <c r="N107" s="34"/>
    </row>
    <row r="108" spans="1:14" s="35" customFormat="1" ht="18.95" customHeight="1">
      <c r="A108" s="59" t="str">
        <v/>
      </c>
      <c r="B108" s="61" t="str">
        <v/>
      </c>
      <c r="C108" s="40"/>
      <c r="D108" s="63"/>
      <c r="E108" s="101"/>
      <c r="F108" s="102"/>
      <c r="G108" s="40"/>
      <c r="H108" s="41"/>
      <c r="I108" s="44" t="s">
        <v>113</v>
      </c>
      <c r="J108" s="41" t="str">
        <v/>
      </c>
      <c r="K108" s="47"/>
      <c r="L108" s="34"/>
      <c r="M108" s="34"/>
      <c r="N108" s="34"/>
    </row>
    <row r="109" spans="1:14" s="35" customFormat="1" ht="18.95" customHeight="1">
      <c r="A109" s="59" t="str">
        <v/>
      </c>
      <c r="B109" s="61" t="str">
        <v/>
      </c>
      <c r="C109" s="40"/>
      <c r="D109" s="63"/>
      <c r="E109" s="101"/>
      <c r="F109" s="102"/>
      <c r="G109" s="40"/>
      <c r="H109" s="41"/>
      <c r="I109" s="66" t="s">
        <v>118</v>
      </c>
      <c r="J109" s="41" t="str">
        <v/>
      </c>
      <c r="K109" s="47"/>
      <c r="L109" s="34"/>
      <c r="M109" s="34"/>
      <c r="N109" s="34"/>
    </row>
    <row r="110" spans="1:14" s="35" customFormat="1" ht="18.95" customHeight="1">
      <c r="A110" s="59" t="str">
        <v/>
      </c>
      <c r="B110" s="61" t="str">
        <v/>
      </c>
      <c r="C110" s="40"/>
      <c r="D110" s="63"/>
      <c r="E110" s="101"/>
      <c r="F110" s="102"/>
      <c r="G110" s="40"/>
      <c r="H110" s="41"/>
      <c r="I110" s="66" t="s">
        <v>119</v>
      </c>
      <c r="J110" s="41" t="str">
        <v/>
      </c>
      <c r="K110" s="47"/>
      <c r="L110" s="34"/>
      <c r="M110" s="34"/>
      <c r="N110" s="34"/>
    </row>
    <row r="111" spans="1:14" s="35" customFormat="1" ht="18.95" customHeight="1">
      <c r="A111" s="59" t="str">
        <v/>
      </c>
      <c r="B111" s="61" t="str">
        <v/>
      </c>
      <c r="C111" s="40"/>
      <c r="D111" s="63"/>
      <c r="E111" s="101"/>
      <c r="F111" s="102"/>
      <c r="G111" s="40"/>
      <c r="H111" s="41"/>
      <c r="I111" s="44" t="s">
        <v>114</v>
      </c>
      <c r="J111" s="95" t="str">
        <v/>
      </c>
      <c r="K111" s="47"/>
      <c r="L111" s="34"/>
      <c r="M111" s="34"/>
      <c r="N111" s="34"/>
    </row>
    <row r="112" spans="1:14" s="35" customFormat="1" ht="18.95" customHeight="1" thickBot="1">
      <c r="A112" s="94" t="str">
        <v/>
      </c>
      <c r="B112" s="68" t="str">
        <v/>
      </c>
      <c r="C112" s="64"/>
      <c r="D112" s="65"/>
      <c r="E112" s="103"/>
      <c r="F112" s="104"/>
      <c r="G112" s="42"/>
      <c r="H112" s="43"/>
      <c r="I112" s="48" t="s">
        <v>115</v>
      </c>
      <c r="J112" s="96" t="str">
        <v/>
      </c>
      <c r="K112" s="47"/>
      <c r="L112" s="34"/>
      <c r="M112" s="34"/>
      <c r="N112" s="34"/>
    </row>
    <row r="113" spans="1:10" ht="6" customHeight="1" thickBot="1">
      <c r="A113" s="49"/>
      <c r="B113" s="50"/>
      <c r="C113" s="50"/>
      <c r="D113" s="49"/>
      <c r="E113" s="50"/>
      <c r="F113" s="50"/>
      <c r="G113" s="50"/>
      <c r="H113" s="50"/>
    </row>
    <row r="114" spans="1:10" ht="6" customHeight="1" thickTop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</row>
  </sheetData>
  <mergeCells count="190">
    <mergeCell ref="F7:G7"/>
    <mergeCell ref="C37:E37"/>
    <mergeCell ref="H67:J68"/>
    <mergeCell ref="F75:H75"/>
    <mergeCell ref="G36:H36"/>
    <mergeCell ref="C26:D26"/>
    <mergeCell ref="G10:G11"/>
    <mergeCell ref="C41:C42"/>
    <mergeCell ref="I38:J38"/>
    <mergeCell ref="D41:F41"/>
    <mergeCell ref="D42:F42"/>
    <mergeCell ref="D43:F43"/>
    <mergeCell ref="C20:D20"/>
    <mergeCell ref="C38:D38"/>
    <mergeCell ref="C39:D40"/>
    <mergeCell ref="E39:E40"/>
    <mergeCell ref="I45:J45"/>
    <mergeCell ref="A12:C13"/>
    <mergeCell ref="A35:B35"/>
    <mergeCell ref="A30:B30"/>
    <mergeCell ref="I18:J18"/>
    <mergeCell ref="G34:H34"/>
    <mergeCell ref="F18:H18"/>
    <mergeCell ref="C18:D18"/>
    <mergeCell ref="A3:A4"/>
    <mergeCell ref="F86:J86"/>
    <mergeCell ref="G28:H28"/>
    <mergeCell ref="I75:J75"/>
    <mergeCell ref="I22:J22"/>
    <mergeCell ref="I28:J28"/>
    <mergeCell ref="C82:E82"/>
    <mergeCell ref="G93:H93"/>
    <mergeCell ref="A69:C70"/>
    <mergeCell ref="I93:J93"/>
    <mergeCell ref="A5:A6"/>
    <mergeCell ref="A86:B86"/>
    <mergeCell ref="G30:H30"/>
    <mergeCell ref="I4:I5"/>
    <mergeCell ref="I36:J36"/>
    <mergeCell ref="C90:E90"/>
    <mergeCell ref="F5:H6"/>
    <mergeCell ref="F90:J90"/>
    <mergeCell ref="B5:B6"/>
    <mergeCell ref="A62:A63"/>
    <mergeCell ref="F19:H19"/>
    <mergeCell ref="A29:B29"/>
    <mergeCell ref="I78:J78"/>
    <mergeCell ref="D60:D61"/>
    <mergeCell ref="E62:E63"/>
    <mergeCell ref="F16:H16"/>
    <mergeCell ref="I73:J73"/>
    <mergeCell ref="F37:J37"/>
    <mergeCell ref="J61:J62"/>
    <mergeCell ref="F20:H20"/>
    <mergeCell ref="I34:J34"/>
    <mergeCell ref="F23:H23"/>
    <mergeCell ref="F79:H79"/>
    <mergeCell ref="C29:E29"/>
    <mergeCell ref="F73:H73"/>
    <mergeCell ref="I23:J23"/>
    <mergeCell ref="C30:E30"/>
    <mergeCell ref="C23:D23"/>
    <mergeCell ref="C78:D78"/>
    <mergeCell ref="C36:E36"/>
    <mergeCell ref="I69:J70"/>
    <mergeCell ref="C75:D75"/>
    <mergeCell ref="C22:D22"/>
    <mergeCell ref="F26:J26"/>
    <mergeCell ref="C21:D21"/>
    <mergeCell ref="C16:D16"/>
    <mergeCell ref="F31:J31"/>
    <mergeCell ref="F76:H76"/>
    <mergeCell ref="C31:E31"/>
    <mergeCell ref="A25:B25"/>
    <mergeCell ref="A64:A65"/>
    <mergeCell ref="A31:B31"/>
    <mergeCell ref="A32:B32"/>
    <mergeCell ref="B62:B63"/>
    <mergeCell ref="I85:J85"/>
    <mergeCell ref="A93:B93"/>
    <mergeCell ref="C35:E35"/>
    <mergeCell ref="F64:G64"/>
    <mergeCell ref="E60:E61"/>
    <mergeCell ref="A36:B36"/>
    <mergeCell ref="A91:B91"/>
    <mergeCell ref="C89:E89"/>
    <mergeCell ref="G25:H25"/>
    <mergeCell ref="C88:E88"/>
    <mergeCell ref="F62:H63"/>
    <mergeCell ref="G69:G70"/>
    <mergeCell ref="A72:J72"/>
    <mergeCell ref="A82:B82"/>
    <mergeCell ref="A60:A61"/>
    <mergeCell ref="A90:B90"/>
    <mergeCell ref="C91:E91"/>
    <mergeCell ref="G91:H91"/>
    <mergeCell ref="F22:H22"/>
    <mergeCell ref="I16:J16"/>
    <mergeCell ref="I25:J25"/>
    <mergeCell ref="C34:E34"/>
    <mergeCell ref="F35:J35"/>
    <mergeCell ref="I21:J21"/>
    <mergeCell ref="C28:E28"/>
    <mergeCell ref="G32:H32"/>
    <mergeCell ref="A89:B89"/>
    <mergeCell ref="G89:H89"/>
    <mergeCell ref="C73:D73"/>
    <mergeCell ref="F83:J83"/>
    <mergeCell ref="I76:J76"/>
    <mergeCell ref="F78:H78"/>
    <mergeCell ref="I61:I62"/>
    <mergeCell ref="F77:H77"/>
    <mergeCell ref="I89:J89"/>
    <mergeCell ref="I19:J19"/>
    <mergeCell ref="F66:G66"/>
    <mergeCell ref="C32:E32"/>
    <mergeCell ref="B58:D59"/>
    <mergeCell ref="C60:C61"/>
    <mergeCell ref="I77:J77"/>
    <mergeCell ref="C33:E33"/>
    <mergeCell ref="B3:B4"/>
    <mergeCell ref="I80:J80"/>
    <mergeCell ref="A87:B87"/>
    <mergeCell ref="H10:J11"/>
    <mergeCell ref="I32:J32"/>
    <mergeCell ref="H69:H70"/>
    <mergeCell ref="B60:B61"/>
    <mergeCell ref="A37:B37"/>
    <mergeCell ref="D3:D4"/>
    <mergeCell ref="A15:J15"/>
    <mergeCell ref="H12:H13"/>
    <mergeCell ref="C87:E87"/>
    <mergeCell ref="F9:G9"/>
    <mergeCell ref="I82:J82"/>
    <mergeCell ref="A33:B33"/>
    <mergeCell ref="C76:D76"/>
    <mergeCell ref="A85:B85"/>
    <mergeCell ref="B64:B65"/>
    <mergeCell ref="G87:H87"/>
    <mergeCell ref="I87:J87"/>
    <mergeCell ref="G82:H82"/>
    <mergeCell ref="F80:H80"/>
    <mergeCell ref="C80:D80"/>
    <mergeCell ref="C86:E86"/>
    <mergeCell ref="A7:A8"/>
    <mergeCell ref="F60:H61"/>
    <mergeCell ref="B1:D2"/>
    <mergeCell ref="I20:J20"/>
    <mergeCell ref="G85:H85"/>
    <mergeCell ref="G12:G13"/>
    <mergeCell ref="C19:D19"/>
    <mergeCell ref="A28:B28"/>
    <mergeCell ref="C3:C4"/>
    <mergeCell ref="E3:E4"/>
    <mergeCell ref="B7:B8"/>
    <mergeCell ref="A34:B34"/>
    <mergeCell ref="C77:D77"/>
    <mergeCell ref="E5:E6"/>
    <mergeCell ref="G67:G68"/>
    <mergeCell ref="F29:J29"/>
    <mergeCell ref="I12:J13"/>
    <mergeCell ref="F21:H21"/>
    <mergeCell ref="C25:E25"/>
    <mergeCell ref="C85:E85"/>
    <mergeCell ref="I30:J30"/>
    <mergeCell ref="J4:J5"/>
    <mergeCell ref="F33:J33"/>
    <mergeCell ref="F3:H4"/>
    <mergeCell ref="A88:B88"/>
    <mergeCell ref="C79:D79"/>
    <mergeCell ref="F88:J88"/>
    <mergeCell ref="I91:J91"/>
    <mergeCell ref="C83:D83"/>
    <mergeCell ref="D98:F98"/>
    <mergeCell ref="D99:F99"/>
    <mergeCell ref="D100:F100"/>
    <mergeCell ref="C98:C99"/>
    <mergeCell ref="C96:D97"/>
    <mergeCell ref="E96:E97"/>
    <mergeCell ref="I79:J79"/>
    <mergeCell ref="I102:J102"/>
    <mergeCell ref="A92:B92"/>
    <mergeCell ref="C94:E94"/>
    <mergeCell ref="A94:B94"/>
    <mergeCell ref="I95:J95"/>
    <mergeCell ref="C95:D95"/>
    <mergeCell ref="C92:E92"/>
    <mergeCell ref="C93:E93"/>
    <mergeCell ref="F94:J94"/>
    <mergeCell ref="F92:J92"/>
  </mergeCells>
  <phoneticPr fontId="2"/>
  <conditionalFormatting sqref="A102:B112 C103:E112 D102:E102">
    <cfRule type="cellIs" dxfId="4" priority="4" operator="between">
      <formula>0</formula>
      <formula>0</formula>
    </cfRule>
  </conditionalFormatting>
  <conditionalFormatting sqref="A112:H112">
    <cfRule type="expression" dxfId="2" priority="3">
      <formula>ISNUMBER(SEARCH("灯具",$F60))</formula>
    </cfRule>
  </conditionalFormatting>
  <conditionalFormatting sqref="A45:B55 D45:E45 C46:E55">
    <cfRule type="cellIs" dxfId="1" priority="2" operator="between">
      <formula>0</formula>
      <formula>0</formula>
    </cfRule>
  </conditionalFormatting>
  <conditionalFormatting sqref="A55:H55">
    <cfRule type="expression" dxfId="0" priority="1">
      <formula>ISNUMBER(SEARCH("灯具",$F3))</formula>
    </cfRule>
  </conditionalFormatting>
  <pageMargins left="0" right="0" top="0" bottom="0" header="0.51181102362204722" footer="0.51181102362204722"/>
  <pageSetup paperSize="9" scale="75" orientation="portrait" r:id="rId1"/>
  <headerFooter>
    <oddFooter>&amp;R&amp;P/&amp;N</oddFooter>
  </headerFooter>
  <rowBreaks count="1" manualBreakCount="1">
    <brk id="57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帳票レイアウト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V094010 井上 享也</dc:creator>
  <cp:lastModifiedBy>k3358</cp:lastModifiedBy>
  <cp:lastPrinted>2026-01-29T02:06:59Z</cp:lastPrinted>
  <dcterms:created xsi:type="dcterms:W3CDTF">2024-07-11T02:08:33Z</dcterms:created>
  <dcterms:modified xsi:type="dcterms:W3CDTF">2026-03-13T05:57:10Z</dcterms:modified>
</cp:coreProperties>
</file>