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" documentId="8_{1B9C1159-A9FF-4CF7-91D5-EB54B91E2EB9}" xr6:coauthVersionLast="47" xr6:coauthVersionMax="47" xr10:uidLastSave="{F89A7F91-3665-45E6-B430-E79CAAE1F4A2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<sst xmlns="http://schemas.openxmlformats.org/spreadsheetml/2006/main" count="101" uniqueCount="94">
  <si>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</si>
  <si>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</si>
  <si>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</si>
  <si>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</si>
  <si>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</si>
  <si>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</si>
  <si>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</si>
  <si>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</si>
  <si>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</si>
  <si>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000000000014999</t>
  </si>
  <si>
    <t>原料名</t>
  </si>
  <si>
    <t>J6VZ041</t>
  </si>
  <si>
    <t>発注明細№</t>
  </si>
  <si>
    <t>000000000859793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</si>
  <si>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</si>
  <si>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</si>
  <si>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</si>
  <si>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</si>
  <si>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</si>
  <si>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</si>
  <si>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</si>
  <si>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</si>
  <si>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</si>
  <si>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</si>
  <si>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</si>
  <si>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</si>
  <si>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</si>
  <si>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</si>
  <si>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</si>
  <si>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</si>
  <si>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</si>
  <si>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</si>
  <si>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</si>
  <si>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</si>
  <si>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</si>
  <si>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</si>
  <si>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</si>
  <si>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</si>
  <si>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</si>
  <si>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</si>
  <si>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</si>
  <si>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</si>
  <si>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V3P13</t>
  </si>
  <si>
    <t>捺印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</si>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</sst>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9929CCC-4188-4E44-ABD0-0A688FEA26CE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</xdr:row>
      <xdr:rowOff>28575</xdr:rowOff>
    </xdr:from>
    <xdr:to>
      <xdr:col>8</xdr:col>
      <xdr:colOff>762000</xdr:colOff>
      <xdr:row>7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F0E9F1D-4628-49F9-AE5A-E176B8EED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75247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</xdr:row>
      <xdr:rowOff>38100</xdr:rowOff>
    </xdr:from>
    <xdr:to>
      <xdr:col>9</xdr:col>
      <xdr:colOff>762000</xdr:colOff>
      <xdr:row>7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3F0045-8810-490F-8008-0A169FE6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762000"/>
          <a:ext cx="71437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D15" sqref="AD1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221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46188</v>
      </c>
      <c r="E9" s="2" t="s">
        <v>19</v>
      </c>
      <c r="F9" s="153">
        <v>2</v>
      </c>
      <c r="G9" s="116"/>
      <c r="H9" s="21"/>
    </row>
    <row r="10" spans="1:10" ht="17.45" customHeight="1">
      <c r="A10" s="2" t="s">
        <v>20</v>
      </c>
      <c r="B10" s="4">
        <v>46188</v>
      </c>
      <c r="E10" s="2" t="s">
        <v>21</v>
      </c>
      <c r="F10" s="21">
        <v>5</v>
      </c>
      <c r="G10" s="143" t="s">
        <v>22</v>
      </c>
      <c r="H10" s="136">
        <v>10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4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4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2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2"/>
      <c r="J19" s="108"/>
    </row>
    <row r="20" spans="1:10" s="7" customFormat="1" ht="16.5" customHeight="1">
      <c r="A20" s="22">
        <v>1</v>
      </c>
      <c r="B20" s="26" t="s">
        <v>36</v>
      </c>
      <c r="C20" s="107" t="s">
        <v>37</v>
      </c>
      <c r="D20" s="108"/>
      <c r="E20" s="25" t="s">
        <v>42</v>
      </c>
      <c r="F20" s="107" t="s">
        <v>43</v>
      </c>
      <c r="G20" s="108"/>
      <c r="H20" s="108"/>
      <c r="I20" s="112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2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2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2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44</v>
      </c>
      <c r="B25" s="132"/>
      <c r="C25" s="131" t="s">
        <v>45</v>
      </c>
      <c r="D25" s="132"/>
      <c r="E25" s="132"/>
      <c r="F25" s="17" t="s">
        <v>46</v>
      </c>
      <c r="G25" s="131" t="s">
        <v>47</v>
      </c>
      <c r="H25" s="132"/>
      <c r="I25" s="131" t="s">
        <v>48</v>
      </c>
      <c r="J25" s="132"/>
    </row>
    <row r="26" spans="1:10" ht="14.25" customHeight="1">
      <c r="A26" s="8"/>
      <c r="B26" s="18"/>
      <c r="C26" s="113" t="s">
        <v>49</v>
      </c>
      <c r="D26" s="114"/>
      <c r="E26" s="18"/>
      <c r="F26" s="113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50</v>
      </c>
      <c r="B28" s="110"/>
      <c r="C28" s="107" t="s">
        <v>51</v>
      </c>
      <c r="D28" s="110"/>
      <c r="E28" s="110"/>
      <c r="F28" s="27" t="s">
        <v>52</v>
      </c>
      <c r="G28" s="111">
        <v>2</v>
      </c>
      <c r="H28" s="110"/>
      <c r="I28" s="111">
        <v>1</v>
      </c>
      <c r="J28" s="110"/>
    </row>
    <row r="29" spans="1:10" s="7" customFormat="1" ht="24.95" customHeight="1">
      <c r="A29" s="109" t="s">
        <v>53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54</v>
      </c>
      <c r="B30" s="110"/>
      <c r="C30" s="107" t="s">
        <v>55</v>
      </c>
      <c r="D30" s="110"/>
      <c r="E30" s="110"/>
      <c r="F30" s="27" t="s">
        <v>27</v>
      </c>
      <c r="G30" s="111">
        <v>5</v>
      </c>
      <c r="H30" s="110"/>
      <c r="I30" s="111">
        <v>2.5</v>
      </c>
      <c r="J30" s="110"/>
    </row>
    <row r="31" spans="1:10" s="7" customFormat="1" ht="24.95" customHeight="1">
      <c r="A31" s="109" t="s">
        <v>56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/>
      <c r="B32" s="110"/>
      <c r="C32" s="107"/>
      <c r="D32" s="110"/>
      <c r="E32" s="110"/>
      <c r="F32" s="27"/>
      <c r="G32" s="111"/>
      <c r="H32" s="110"/>
      <c r="I32" s="111"/>
      <c r="J32" s="110"/>
    </row>
    <row r="33" spans="1:14" s="7" customFormat="1" ht="24.95" customHeight="1">
      <c r="A33" s="109"/>
      <c r="B33" s="108"/>
      <c r="C33" s="107"/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57</v>
      </c>
      <c r="B38" s="29" t="s">
        <v>58</v>
      </c>
      <c r="C38" s="144" t="s">
        <v>59</v>
      </c>
      <c r="D38" s="145"/>
      <c r="E38" s="30" t="s">
        <v>60</v>
      </c>
      <c r="F38" s="31" t="s">
        <v>61</v>
      </c>
      <c r="G38" s="32" t="s">
        <v>62</v>
      </c>
      <c r="H38" s="33" t="s">
        <v>63</v>
      </c>
      <c r="I38" s="105" t="s">
        <v>64</v>
      </c>
      <c r="J38" s="106"/>
    </row>
    <row r="39" spans="1:14" s="7" customFormat="1" ht="18" customHeight="1">
      <c r="A39" s="34" t="str">
        <f>_xlfn.XLOOKUP(B3,[1]VFDB2!$A:$A,[1]VFDB2!$J:$J)</f>
        <v>〇</v>
      </c>
      <c r="B39" s="35">
        <f>D3</f>
        <v>221</v>
      </c>
      <c r="C39" s="146" t="str">
        <f>_xlfn.XLOOKUP(B3,[1]VFDB2!$A:$A,[1]VFDB2!$Z:$Z)</f>
        <v>H型ジョイナー端材</v>
      </c>
      <c r="D39" s="147"/>
      <c r="E39" s="148" cm="1">
        <f t="array" ref="E39">IFERROR(INDEX(_xlfn._xlws.FILTER([2]加工記録２!C:C,[2]加工記録２!U:U=B5),9),"")</f>
        <v>0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</v>
      </c>
      <c r="G39" s="37" t="str" cm="1">
        <f t="array" ref="G39:H43">IFERROR(IF(_xlfn.TAKE(_xlfn._xlws.FILTER([2]加工記録２!$M:$N,[2]加工記録２!$U:$U=B5),5)=0,"",_xlfn.TAKE(_xlfn._xlws.FILTER([2]加工記録２!$M:$N,[2]加工記録２!$U:$U=B5),5)),"")</f>
        <v/>
      </c>
      <c r="H39" s="38" t="str">
        <v/>
      </c>
      <c r="I39" s="39" t="s">
        <v>65</v>
      </c>
      <c r="J39" s="40" cm="1">
        <f t="array" ref="J39:J44">IFERROR(INDEX(_xlfn._xlws.FILTER([2]加工記録２!P:P, [2]加工記録２!U:U=B5),_xlfn.SEQUENCE(6)),"")</f>
        <v>0</v>
      </c>
    </row>
    <row r="40" spans="1:14" s="5" customFormat="1" ht="18" customHeight="1">
      <c r="A40" s="44" t="s">
        <v>66</v>
      </c>
      <c r="B40" s="45" t="s">
        <v>67</v>
      </c>
      <c r="C40" s="146"/>
      <c r="D40" s="147"/>
      <c r="E40" s="148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37" t="str">
        <v/>
      </c>
      <c r="H40" s="38" t="str">
        <v/>
      </c>
      <c r="I40" s="39" t="s">
        <v>68</v>
      </c>
      <c r="J40" s="41">
        <v>0</v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49" t="s">
        <v>69</v>
      </c>
      <c r="D41" s="150" t="str">
        <f>_xlfn.XLOOKUP(B3,[1]VFDB2!$A:$A,[1]VFDB2!$W:$W)</f>
        <v>クラフト紙：1996型　1/8</v>
      </c>
      <c r="E41" s="150"/>
      <c r="F41" s="151"/>
      <c r="G41" s="37" t="str">
        <v/>
      </c>
      <c r="H41" s="38" t="str">
        <v/>
      </c>
      <c r="I41" s="39" t="s">
        <v>70</v>
      </c>
      <c r="J41" s="41">
        <v>0</v>
      </c>
      <c r="K41" s="50"/>
    </row>
    <row r="42" spans="1:14" s="5" customFormat="1" ht="18" customHeight="1">
      <c r="A42" s="51" t="s">
        <v>71</v>
      </c>
      <c r="B42" s="52" t="s">
        <v>72</v>
      </c>
      <c r="C42" s="149"/>
      <c r="D42" s="150" t="str">
        <f>_xlfn.XLOOKUP(B3,[1]VFDB2!$A:$A,[1]VFDB2!$R:$R)</f>
        <v>ラベル２枚　長手有　鉢巻無</v>
      </c>
      <c r="E42" s="150"/>
      <c r="F42" s="151"/>
      <c r="G42" s="37" t="str">
        <v/>
      </c>
      <c r="H42" s="38" t="str">
        <v/>
      </c>
      <c r="I42" s="39" t="s">
        <v>73</v>
      </c>
      <c r="J42" s="41">
        <v>0</v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2</v>
      </c>
      <c r="C43" s="55" t="s">
        <v>74</v>
      </c>
      <c r="D43" s="154" t="str">
        <f>_xlfn.XLOOKUP(B3,[1]VFDB2!$A:$A,[1]VFDB2!$V:$V)</f>
        <v>梱包箱:薄型1334　1/4</v>
      </c>
      <c r="E43" s="154"/>
      <c r="F43" s="155"/>
      <c r="G43" s="56" t="str">
        <v/>
      </c>
      <c r="H43" s="57" t="str">
        <v/>
      </c>
      <c r="I43" s="39" t="s">
        <v>75</v>
      </c>
      <c r="J43" s="42">
        <v>0</v>
      </c>
      <c r="K43" s="50"/>
    </row>
    <row r="44" spans="1:14" s="5" customFormat="1" ht="18" customHeight="1" thickBot="1">
      <c r="A44" s="58" t="s">
        <v>76</v>
      </c>
      <c r="B44" s="59" t="str" cm="1">
        <f t="array" ref="B44">IF(SUM(--(ISTEXT(B45:B55)*(B45:B55&lt;&gt;"")))=0,"計測Lot","計測Lot・加工数")</f>
        <v>計測Lot</v>
      </c>
      <c r="C44" s="60" t="s">
        <v>77</v>
      </c>
      <c r="D44" s="61" t="s">
        <v>78</v>
      </c>
      <c r="E44" s="62" t="s">
        <v>79</v>
      </c>
      <c r="F44" s="63" t="str" cm="1">
        <f t="array" ref="F44">IF(SUM(--(ISTEXT(B45:B55)*(B45:B55&lt;&gt;"")))=0,"記入不要","使用Lot")</f>
        <v>記入不要</v>
      </c>
      <c r="G44" s="64" t="s">
        <v>80</v>
      </c>
      <c r="H44" s="65" t="s">
        <v>81</v>
      </c>
      <c r="I44" s="66" t="s">
        <v>82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1" t="s">
        <v>83</v>
      </c>
      <c r="J45" s="142"/>
      <c r="K45" s="80"/>
    </row>
    <row r="46" spans="1:14" s="5" customFormat="1" ht="18" customHeight="1">
      <c r="A46" s="68">
        <v>0</v>
      </c>
      <c r="B46" s="72" t="str">
        <v/>
      </c>
      <c r="C46" s="81"/>
      <c r="D46" s="82"/>
      <c r="E46" s="83"/>
      <c r="F46" s="84"/>
      <c r="G46" s="81"/>
      <c r="H46" s="85"/>
      <c r="I46" s="86" t="s">
        <v>84</v>
      </c>
      <c r="J46" s="85" cm="1">
        <f t="array" ref="J46:J55">IFERROR(INDEX(_xlfn._xlws.FILTER([2]加工記録２!R:R, [2]加工記録２!U:U=B5),_xlfn.SEQUENCE(10)),"")</f>
        <v>0</v>
      </c>
      <c r="K46" s="80"/>
    </row>
    <row r="47" spans="1:14" s="91" customFormat="1" ht="18.95" customHeight="1">
      <c r="A47" s="69">
        <v>0</v>
      </c>
      <c r="B47" s="72" t="str">
        <v/>
      </c>
      <c r="C47" s="81"/>
      <c r="D47" s="82"/>
      <c r="E47" s="83"/>
      <c r="F47" s="84"/>
      <c r="G47" s="81"/>
      <c r="H47" s="85"/>
      <c r="I47" s="86" t="s">
        <v>85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86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87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88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89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90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91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92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93</v>
      </c>
      <c r="J55" s="88">
        <v>0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22:D22"/>
    <mergeCell ref="F26:J26"/>
    <mergeCell ref="I21:J21"/>
    <mergeCell ref="C28:E28"/>
    <mergeCell ref="C21:D21"/>
    <mergeCell ref="I22:J22"/>
    <mergeCell ref="I28:J28"/>
    <mergeCell ref="G28:H28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2026-06-10T23:03:36Z</dcterms:modified>
</cp:coreProperties>
</file>