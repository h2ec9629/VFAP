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黒部工業－ＰＣ\Desktop\樹脂指示書\"/>
    </mc:Choice>
  </mc:AlternateContent>
  <xr:revisionPtr revIDLastSave="0" documentId="13_ncr:1_{BBA57BE5-85C4-4939-A81F-E330B65B45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5" i="1" l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/>
  <c r="I40" i="1" a="1"/>
  <c r="I39" i="1" a="1"/>
  <c r="I39" i="1" s="1"/>
  <c r="G39" i="1" a="1"/>
  <c r="G39" i="1" s="1"/>
  <c r="E39" i="1" a="1"/>
  <c r="E39" i="1" s="1"/>
  <c r="A3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<sst xmlns="http://schemas.openxmlformats.org/spreadsheetml/2006/main" count="230" uniqueCount="114">
  <si>
    <t>検査梱包指示書</t>
  </si>
  <si>
    <t>品目番号</t>
  </si>
  <si>
    <t>J1AKZYB00205000</t>
  </si>
  <si>
    <t>Ｌ寸</t>
  </si>
  <si>
    <t>名称</t>
  </si>
  <si>
    <t>PK-59827 L=500</t>
  </si>
  <si>
    <t>上長</t>
  </si>
  <si>
    <t>係員</t>
  </si>
  <si>
    <t>製造指図№</t>
  </si>
  <si>
    <t>000000000006874</t>
  </si>
  <si>
    <t>原料名</t>
  </si>
  <si>
    <t>(J6VX820)(J6VX819)</t>
  </si>
  <si>
    <t>発注明細№</t>
  </si>
  <si>
    <t>000000000785887</t>
  </si>
  <si>
    <t>色　名</t>
  </si>
  <si>
    <t>YW</t>
  </si>
  <si>
    <t>製品Grp</t>
  </si>
  <si>
    <t>J1AA</t>
  </si>
  <si>
    <t>開始日</t>
  </si>
  <si>
    <t>入り数</t>
  </si>
  <si>
    <t>終了日</t>
  </si>
  <si>
    <t>梱包数</t>
  </si>
  <si>
    <t>指示数量</t>
  </si>
  <si>
    <t>金　型</t>
  </si>
  <si>
    <t>4383</t>
  </si>
  <si>
    <t>*J1AKZYB00205000*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</si>
  <si>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</si>
  <si>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</si>
  <si>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</si>
  <si>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</si>
  <si>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</si>
  <si>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</si>
  <si>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</si>
  <si>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</si>
  <si>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</si>
  <si>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</si>
  <si>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</si>
  <si>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</si>
  <si>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</si>
  <si>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</si>
  <si>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</si>
  <si>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</si>
  <si>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</si>
  <si>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</si>
  <si>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</si>
  <si>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</si>
  <si>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</si>
  <si>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</si>
  <si>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J1AKZYA00215400</t>
  </si>
  <si>
    <t>@PK-59827 L1540</t>
  </si>
  <si>
    <t>*J1AKZYA00215400*</t>
  </si>
  <si>
    <t>J6DW0099</t>
  </si>
  <si>
    <t>PK-59827 L500用</t>
  </si>
  <si>
    <t>*J6DW0099*</t>
  </si>
  <si>
    <t>J6XX0017</t>
  </si>
  <si>
    <t>(管理外)筋入ｸﾗﾌﾄ紙</t>
  </si>
  <si>
    <t>*J6XX0017*</t>
  </si>
  <si>
    <t>600＊100</t>
  </si>
  <si>
    <t>J1AKZYB00207000</t>
  </si>
  <si>
    <t>PK-59827 L=700</t>
  </si>
  <si>
    <t>000000000006875</t>
  </si>
  <si>
    <t>000000000785888</t>
  </si>
  <si>
    <t>*J1AKZYB00207000*</t>
  </si>
  <si>
    <t>J1AKZYA00214400</t>
  </si>
  <si>
    <t>@PK-59827 L1440</t>
  </si>
  <si>
    <t>*J1AKZYA00214400*</t>
  </si>
  <si>
    <t>J6DW0100</t>
  </si>
  <si>
    <t>PK-59827 L700用</t>
  </si>
  <si>
    <t>*J6DW0100*</t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</si>
  <si>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</si>
  <si>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</si>
  <si>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</si>
  <si>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</si>
  <si>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</si>
  <si>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</si>
  <si>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</si>
  <si>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</si>
  <si>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</si>
  <si>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</si>
  <si>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</si>
  <si>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</si>
  <si>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</si>
  <si>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</si>
  <si>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</si>
  <si>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</si>
  <si>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</si>
  <si>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</si>
  <si>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</si>
  <si>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</si>
  <si>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計測Lot</t>
    <rPh sb="0" eb="2">
      <t>ケイソク</t>
    </rPh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</si>
  <si>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</si>
  <si>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</si>
  <si>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</si>
  <si>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</si>
  <si>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</si>
  <si>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</si>
  <si>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</si>
  <si>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</si>
  <si>
    <t>PK-59827 L=700用</t>
  </si>
  <si>
    <t>〇</t>
  </si>
  <si>
    <t>11×２束+12✕1束＝34本</t>
  </si>
  <si>
    <t/>
  </si>
  <si>
    <t>+1</t>
  </si>
  <si>
    <t>両端5cm以上ラップ</t>
  </si>
  <si>
    <t>換算表確認</t>
  </si>
  <si>
    <t>ラベル2枚　長手 中央部分のみ貼付</t>
  </si>
  <si>
    <t>M/C</t>
  </si>
  <si>
    <t>U/T</t>
  </si>
  <si>
    <t>25H12-02</t>
  </si>
  <si>
    <t>25I04-01</t>
  </si>
  <si>
    <t>25I05-02</t>
  </si>
  <si>
    <t>旧品加工</t>
  </si>
  <si>
    <t>持出端材</t>
  </si>
  <si>
    <t>α端材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</si>
</sst>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/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#"/>
    <numFmt numFmtId="192" formatCode="yy\,mm\,dd"/>
    <numFmt numFmtId="193" formatCode="#&quot;箱&quot;"/>
  </numFmts>
  <fonts count="3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9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5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179" fontId="19" fillId="0" borderId="21" xfId="0" applyNumberFormat="1" applyFont="1" applyBorder="1" applyAlignment="1">
      <alignment horizontal="left" vertical="center"/>
    </xf>
    <xf numFmtId="181" fontId="20" fillId="0" borderId="2" xfId="1" applyNumberFormat="1" applyFont="1" applyBorder="1" applyAlignment="1">
      <alignment horizontal="center" vertical="center" shrinkToFit="1"/>
    </xf>
    <xf numFmtId="182" fontId="19" fillId="5" borderId="22" xfId="0" applyNumberFormat="1" applyFont="1" applyFill="1" applyBorder="1" applyAlignment="1">
      <alignment horizontal="left" vertical="center" shrinkToFit="1"/>
    </xf>
    <xf numFmtId="179" fontId="20" fillId="0" borderId="2" xfId="1" applyNumberFormat="1" applyFont="1" applyBorder="1" applyAlignment="1">
      <alignment horizontal="center" vertical="center" shrinkToFit="1"/>
    </xf>
    <xf numFmtId="183" fontId="19" fillId="5" borderId="22" xfId="0" applyNumberFormat="1" applyFont="1" applyFill="1" applyBorder="1" applyAlignment="1">
      <alignment horizontal="left" vertical="center" shrinkToFit="1"/>
    </xf>
    <xf numFmtId="49" fontId="21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left" vertical="center" wrapText="1"/>
    </xf>
    <xf numFmtId="184" fontId="19" fillId="5" borderId="22" xfId="0" applyNumberFormat="1" applyFont="1" applyFill="1" applyBorder="1" applyAlignment="1">
      <alignment horizontal="left" vertical="center" shrinkToFit="1"/>
    </xf>
    <xf numFmtId="49" fontId="23" fillId="0" borderId="0" xfId="1" applyNumberFormat="1" applyFont="1" applyAlignment="1">
      <alignment horizontal="left" vertical="center" shrinkToFit="1"/>
    </xf>
    <xf numFmtId="185" fontId="19" fillId="5" borderId="22" xfId="0" applyNumberFormat="1" applyFont="1" applyFill="1" applyBorder="1" applyAlignment="1">
      <alignment horizontal="left" vertical="center" shrinkToFit="1"/>
    </xf>
    <xf numFmtId="187" fontId="19" fillId="5" borderId="22" xfId="0" applyNumberFormat="1" applyFont="1" applyFill="1" applyBorder="1" applyAlignment="1">
      <alignment horizontal="left" vertical="center" shrinkToFit="1"/>
    </xf>
    <xf numFmtId="188" fontId="19" fillId="5" borderId="22" xfId="0" applyNumberFormat="1" applyFont="1" applyFill="1" applyBorder="1" applyAlignment="1">
      <alignment horizontal="left" vertical="center" shrinkToFit="1"/>
    </xf>
    <xf numFmtId="190" fontId="19" fillId="5" borderId="22" xfId="0" applyNumberFormat="1" applyFont="1" applyFill="1" applyBorder="1" applyAlignment="1">
      <alignment horizontal="left" vertical="center" shrinkToFit="1"/>
    </xf>
    <xf numFmtId="0" fontId="19" fillId="0" borderId="30" xfId="0" applyFont="1" applyBorder="1" applyAlignment="1">
      <alignment horizontal="left" vertical="center" wrapText="1"/>
    </xf>
    <xf numFmtId="179" fontId="25" fillId="0" borderId="31" xfId="1" applyNumberFormat="1" applyFont="1" applyBorder="1" applyAlignment="1">
      <alignment horizontal="center" vertical="center" shrinkToFit="1"/>
    </xf>
    <xf numFmtId="191" fontId="19" fillId="5" borderId="32" xfId="0" applyNumberFormat="1" applyFont="1" applyFill="1" applyBorder="1" applyAlignment="1">
      <alignment horizontal="center" vertical="center"/>
    </xf>
    <xf numFmtId="0" fontId="26" fillId="6" borderId="17" xfId="0" applyFont="1" applyFill="1" applyBorder="1" applyAlignment="1">
      <alignment horizontal="center" vertical="center"/>
    </xf>
    <xf numFmtId="49" fontId="26" fillId="6" borderId="18" xfId="1" applyNumberFormat="1" applyFont="1" applyFill="1" applyBorder="1" applyAlignment="1">
      <alignment vertical="center" shrinkToFit="1"/>
    </xf>
    <xf numFmtId="49" fontId="26" fillId="6" borderId="18" xfId="1" applyNumberFormat="1" applyFont="1" applyFill="1" applyBorder="1" applyAlignment="1">
      <alignment horizontal="center" vertical="center" shrinkToFit="1"/>
    </xf>
    <xf numFmtId="49" fontId="26" fillId="6" borderId="19" xfId="0" applyNumberFormat="1" applyFont="1" applyFill="1" applyBorder="1" applyAlignment="1">
      <alignment horizontal="center" vertical="center" shrinkToFit="1"/>
    </xf>
    <xf numFmtId="0" fontId="26" fillId="2" borderId="17" xfId="0" applyFont="1" applyFill="1" applyBorder="1">
      <alignment vertical="center"/>
    </xf>
    <xf numFmtId="49" fontId="26" fillId="2" borderId="18" xfId="0" applyNumberFormat="1" applyFont="1" applyFill="1" applyBorder="1" applyAlignment="1">
      <alignment horizontal="center" vertical="center" shrinkToFit="1"/>
    </xf>
    <xf numFmtId="49" fontId="26" fillId="2" borderId="19" xfId="0" applyNumberFormat="1" applyFont="1" applyFill="1" applyBorder="1" applyAlignment="1">
      <alignment horizontal="center" vertical="center" shrinkToFit="1"/>
    </xf>
    <xf numFmtId="0" fontId="27" fillId="3" borderId="33" xfId="0" applyFont="1" applyFill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81" fontId="15" fillId="4" borderId="21" xfId="0" applyNumberFormat="1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5" xfId="0" applyFont="1" applyFill="1" applyBorder="1" applyAlignment="1">
      <alignment horizontal="center" vertical="center"/>
    </xf>
    <xf numFmtId="189" fontId="15" fillId="4" borderId="36" xfId="0" applyNumberFormat="1" applyFont="1" applyFill="1" applyBorder="1" applyAlignment="1">
      <alignment horizontal="center" vertical="center"/>
    </xf>
    <xf numFmtId="179" fontId="15" fillId="4" borderId="21" xfId="0" applyNumberFormat="1" applyFont="1" applyFill="1" applyBorder="1" applyAlignment="1">
      <alignment horizontal="center" vertical="center"/>
    </xf>
    <xf numFmtId="179" fontId="15" fillId="4" borderId="2" xfId="0" applyNumberFormat="1" applyFont="1" applyFill="1" applyBorder="1" applyAlignment="1">
      <alignment horizontal="center" vertical="center"/>
    </xf>
    <xf numFmtId="179" fontId="15" fillId="4" borderId="22" xfId="0" applyNumberFormat="1" applyFont="1" applyFill="1" applyBorder="1" applyAlignment="1">
      <alignment horizontal="center" vertical="center"/>
    </xf>
    <xf numFmtId="192" fontId="15" fillId="0" borderId="21" xfId="0" applyNumberFormat="1" applyFont="1" applyBorder="1" applyAlignment="1">
      <alignment horizontal="center" vertical="center"/>
    </xf>
    <xf numFmtId="193" fontId="15" fillId="0" borderId="22" xfId="0" applyNumberFormat="1" applyFont="1" applyBorder="1" applyAlignment="1">
      <alignment horizontal="center" vertical="center"/>
    </xf>
    <xf numFmtId="0" fontId="30" fillId="0" borderId="0" xfId="0" applyFont="1">
      <alignment vertical="center"/>
    </xf>
    <xf numFmtId="49" fontId="31" fillId="0" borderId="0" xfId="0" applyNumberFormat="1" applyFont="1" applyAlignment="1">
      <alignment vertical="top" shrinkToFit="1"/>
    </xf>
    <xf numFmtId="181" fontId="15" fillId="0" borderId="21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89" fontId="15" fillId="0" borderId="22" xfId="0" applyNumberFormat="1" applyFont="1" applyBorder="1" applyAlignment="1">
      <alignment horizontal="center" vertical="center"/>
    </xf>
    <xf numFmtId="179" fontId="15" fillId="0" borderId="21" xfId="0" applyNumberFormat="1" applyFont="1" applyBorder="1" applyAlignment="1">
      <alignment horizontal="center" vertical="center"/>
    </xf>
    <xf numFmtId="179" fontId="15" fillId="0" borderId="2" xfId="0" applyNumberFormat="1" applyFont="1" applyBorder="1" applyAlignment="1">
      <alignment horizontal="center" vertical="center"/>
    </xf>
    <xf numFmtId="179" fontId="15" fillId="0" borderId="22" xfId="0" applyNumberFormat="1" applyFont="1" applyBorder="1" applyAlignment="1">
      <alignment horizontal="center" vertical="center"/>
    </xf>
    <xf numFmtId="192" fontId="15" fillId="0" borderId="24" xfId="0" applyNumberFormat="1" applyFont="1" applyBorder="1" applyAlignment="1">
      <alignment horizontal="center" vertical="center"/>
    </xf>
    <xf numFmtId="193" fontId="15" fillId="0" borderId="37" xfId="0" applyNumberFormat="1" applyFont="1" applyBorder="1" applyAlignment="1">
      <alignment horizontal="center" vertical="center"/>
    </xf>
    <xf numFmtId="179" fontId="15" fillId="0" borderId="11" xfId="0" applyNumberFormat="1" applyFont="1" applyBorder="1" applyAlignment="1">
      <alignment horizontal="center" vertical="center"/>
    </xf>
    <xf numFmtId="192" fontId="14" fillId="0" borderId="24" xfId="0" applyNumberFormat="1" applyFont="1" applyBorder="1" applyAlignment="1">
      <alignment horizontal="center" vertical="center"/>
    </xf>
    <xf numFmtId="193" fontId="14" fillId="0" borderId="37" xfId="0" applyNumberFormat="1" applyFont="1" applyBorder="1" applyAlignment="1">
      <alignment horizontal="center" vertical="center"/>
    </xf>
    <xf numFmtId="192" fontId="14" fillId="5" borderId="24" xfId="0" applyNumberFormat="1" applyFont="1" applyFill="1" applyBorder="1" applyAlignment="1">
      <alignment horizontal="center" vertical="center"/>
    </xf>
    <xf numFmtId="193" fontId="14" fillId="5" borderId="37" xfId="0" applyNumberFormat="1" applyFont="1" applyFill="1" applyBorder="1" applyAlignment="1">
      <alignment horizontal="center" vertical="center"/>
    </xf>
    <xf numFmtId="181" fontId="15" fillId="0" borderId="30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189" fontId="15" fillId="0" borderId="32" xfId="0" applyNumberFormat="1" applyFont="1" applyBorder="1" applyAlignment="1">
      <alignment horizontal="center" vertical="center"/>
    </xf>
    <xf numFmtId="179" fontId="15" fillId="0" borderId="30" xfId="0" applyNumberFormat="1" applyFont="1" applyBorder="1" applyAlignment="1">
      <alignment horizontal="center" vertical="center"/>
    </xf>
    <xf numFmtId="179" fontId="15" fillId="0" borderId="31" xfId="0" applyNumberFormat="1" applyFont="1" applyBorder="1" applyAlignment="1">
      <alignment horizontal="center" vertical="center"/>
    </xf>
    <xf numFmtId="179" fontId="15" fillId="0" borderId="38" xfId="0" applyNumberFormat="1" applyFont="1" applyBorder="1" applyAlignment="1">
      <alignment horizontal="center" vertical="center"/>
    </xf>
    <xf numFmtId="192" fontId="14" fillId="5" borderId="30" xfId="0" applyNumberFormat="1" applyFont="1" applyFill="1" applyBorder="1" applyAlignment="1">
      <alignment horizontal="center" vertical="center"/>
    </xf>
    <xf numFmtId="193" fontId="14" fillId="5" borderId="32" xfId="0" applyNumberFormat="1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8" xfId="0" applyNumberFormat="1" applyFont="1" applyBorder="1" applyAlignment="1">
      <alignment horizontal="center" vertical="center"/>
    </xf>
    <xf numFmtId="49" fontId="24" fillId="2" borderId="25" xfId="1" applyNumberFormat="1" applyFont="1" applyFill="1" applyBorder="1" applyAlignment="1">
      <alignment horizontal="center" vertical="center" shrinkToFit="1"/>
    </xf>
    <xf numFmtId="49" fontId="24" fillId="2" borderId="29" xfId="1" applyNumberFormat="1" applyFont="1" applyFill="1" applyBorder="1" applyAlignment="1">
      <alignment horizontal="center" vertical="center" shrinkToFit="1"/>
    </xf>
    <xf numFmtId="0" fontId="17" fillId="0" borderId="13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179" fontId="17" fillId="5" borderId="22" xfId="0" applyNumberFormat="1" applyFont="1" applyFill="1" applyBorder="1" applyAlignment="1">
      <alignment horizontal="left" vertical="center" shrinkToFit="1"/>
    </xf>
    <xf numFmtId="179" fontId="17" fillId="5" borderId="30" xfId="0" applyNumberFormat="1" applyFont="1" applyFill="1" applyBorder="1" applyAlignment="1">
      <alignment horizontal="left" vertical="center" shrinkToFit="1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49" fontId="11" fillId="0" borderId="0" xfId="1" applyNumberFormat="1" applyFont="1" applyAlignment="1">
      <alignment vertical="center" shrinkToFit="1"/>
    </xf>
    <xf numFmtId="49" fontId="1" fillId="0" borderId="0" xfId="1" applyNumberFormat="1" applyAlignment="1">
      <alignment vertical="center" shrinkToFit="1"/>
    </xf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0" fontId="14" fillId="2" borderId="1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49" fontId="6" fillId="4" borderId="16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0" fontId="16" fillId="0" borderId="20" xfId="1" applyFont="1" applyBorder="1" applyAlignment="1">
      <alignment horizontal="left" vertical="center" shrinkToFit="1"/>
    </xf>
    <xf numFmtId="0" fontId="16" fillId="0" borderId="13" xfId="1" applyFont="1" applyBorder="1" applyAlignment="1">
      <alignment horizontal="left" vertical="center" shrinkToFit="1"/>
    </xf>
    <xf numFmtId="0" fontId="16" fillId="0" borderId="23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180" fontId="18" fillId="0" borderId="22" xfId="1" applyNumberFormat="1" applyFont="1" applyBorder="1" applyAlignment="1">
      <alignment horizontal="center" vertical="center" shrinkToFit="1"/>
    </xf>
    <xf numFmtId="0" fontId="14" fillId="2" borderId="26" xfId="0" applyFont="1" applyFill="1" applyBorder="1" applyAlignment="1">
      <alignment horizontal="center" vertical="center"/>
    </xf>
    <xf numFmtId="49" fontId="14" fillId="2" borderId="24" xfId="1" applyNumberFormat="1" applyFont="1" applyFill="1" applyBorder="1" applyAlignment="1">
      <alignment horizontal="center" vertical="center" shrinkToFit="1"/>
    </xf>
    <xf numFmtId="49" fontId="14" fillId="2" borderId="26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4" fillId="2" borderId="25" xfId="0" applyNumberFormat="1" applyFont="1" applyFill="1" applyBorder="1" applyAlignment="1">
      <alignment horizontal="center" vertical="center"/>
    </xf>
    <xf numFmtId="49" fontId="24" fillId="2" borderId="15" xfId="0" applyNumberFormat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177" fontId="12" fillId="0" borderId="0" xfId="1" applyNumberFormat="1" applyFont="1" applyAlignment="1">
      <alignment horizontal="left" vertical="center" shrinkToFit="1"/>
    </xf>
    <xf numFmtId="49" fontId="12" fillId="0" borderId="0" xfId="1" applyNumberFormat="1" applyFont="1" applyAlignment="1">
      <alignment horizontal="right" vertical="center" shrinkToFit="1"/>
    </xf>
    <xf numFmtId="177" fontId="10" fillId="0" borderId="0" xfId="1" applyNumberFormat="1" applyFont="1" applyAlignment="1">
      <alignment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15" xfId="1" applyNumberFormat="1" applyFont="1" applyFill="1" applyBorder="1" applyAlignment="1">
      <alignment horizontal="center" vertical="center" shrinkToFit="1"/>
    </xf>
    <xf numFmtId="0" fontId="22" fillId="0" borderId="13" xfId="1" applyFont="1" applyBorder="1" applyAlignment="1">
      <alignment horizontal="center" vertical="center" shrinkToFit="1"/>
    </xf>
    <xf numFmtId="0" fontId="22" fillId="0" borderId="10" xfId="1" applyFont="1" applyBorder="1" applyAlignment="1">
      <alignment horizontal="center" vertical="center" shrinkToFit="1"/>
    </xf>
    <xf numFmtId="49" fontId="10" fillId="0" borderId="0" xfId="1" applyNumberFormat="1" applyFont="1" applyAlignment="1">
      <alignment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7" fillId="0" borderId="0" xfId="1" applyNumberFormat="1" applyFont="1" applyAlignment="1">
      <alignment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12" fillId="0" borderId="10" xfId="1" applyNumberFormat="1" applyFont="1" applyBorder="1" applyAlignment="1">
      <alignment vertical="center" shrinkToFit="1"/>
    </xf>
    <xf numFmtId="0" fontId="0" fillId="0" borderId="10" xfId="0" applyBorder="1" applyAlignment="1"/>
    <xf numFmtId="49" fontId="12" fillId="0" borderId="8" xfId="1" applyNumberFormat="1" applyFont="1" applyBorder="1" applyAlignment="1">
      <alignment horizontal="right" vertical="center" shrinkToFit="1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2" xfId="0" applyBorder="1" applyAlignment="1"/>
    <xf numFmtId="49" fontId="11" fillId="0" borderId="2" xfId="1" applyNumberFormat="1" applyFont="1" applyBorder="1" applyAlignment="1">
      <alignment vertical="center" shrinkToFit="1"/>
    </xf>
    <xf numFmtId="0" fontId="0" fillId="0" borderId="6" xfId="0" applyBorder="1" applyAlignment="1"/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1" fillId="0" borderId="0" xfId="1" applyNumberFormat="1" applyFont="1" applyAlignment="1">
      <alignment horizontal="left" vertical="center" shrinkToFit="1"/>
    </xf>
    <xf numFmtId="49" fontId="11" fillId="0" borderId="12" xfId="1" applyNumberFormat="1" applyFont="1" applyBorder="1" applyAlignment="1">
      <alignment vertical="center" shrinkToFit="1"/>
    </xf>
    <xf numFmtId="0" fontId="0" fillId="0" borderId="4" xfId="0" applyBorder="1" applyAlignment="1"/>
    <xf numFmtId="49" fontId="9" fillId="0" borderId="0" xfId="1" applyNumberFormat="1" applyFont="1" applyAlignment="1">
      <alignment vertical="center" shrinkToFit="1"/>
    </xf>
    <xf numFmtId="49" fontId="11" fillId="0" borderId="4" xfId="1" applyNumberFormat="1" applyFont="1" applyBorder="1" applyAlignment="1">
      <alignment horizontal="left" vertical="center" shrinkToFit="1"/>
    </xf>
    <xf numFmtId="49" fontId="11" fillId="0" borderId="6" xfId="1" applyNumberFormat="1" applyFont="1" applyBorder="1" applyAlignment="1">
      <alignment vertical="center" shrinkToFit="1"/>
    </xf>
    <xf numFmtId="178" fontId="11" fillId="0" borderId="0" xfId="1" applyNumberFormat="1" applyFont="1" applyAlignment="1">
      <alignment horizontal="left" vertical="center" shrinkToFit="1"/>
    </xf>
    <xf numFmtId="49" fontId="11" fillId="0" borderId="11" xfId="1" applyNumberFormat="1" applyFont="1" applyBorder="1" applyAlignment="1">
      <alignment horizontal="center" vertical="center" shrinkToFit="1"/>
    </xf>
    <xf numFmtId="49" fontId="10" fillId="0" borderId="4" xfId="1" applyNumberFormat="1" applyFont="1" applyBorder="1" applyAlignment="1">
      <alignment horizontal="left" vertical="center" shrinkToFit="1"/>
    </xf>
  </cellXfs>
  <cellStyles count="2">
    <cellStyle name="標準" xfId="0" builtinId="0"/>
    <cellStyle name="標準 2" xfId="1" xr:uid="{00000000-0005-0000-0000-000001000000}"/>
  </cellStyles>
  <dxfs count="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123826</xdr:colOff>
      <xdr:row>3</xdr:row>
      <xdr:rowOff>66676</xdr:rowOff>
    </xdr:from>
    <xdr:to>
      <xdr:col>9</xdr:col>
      <xdr:colOff>638176</xdr:colOff>
      <xdr:row>5</xdr:row>
      <xdr:rowOff>180976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DDFAFC8-8B62-17E5-3053-740A7925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1" y="609601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60</xdr:row>
      <xdr:rowOff>76200</xdr:rowOff>
    </xdr:from>
    <xdr:to>
      <xdr:col>9</xdr:col>
      <xdr:colOff>647700</xdr:colOff>
      <xdr:row>62</xdr:row>
      <xdr:rowOff>190500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BA1B961-AC97-4760-95F4-D95757EA9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8225" y="13849350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180975</xdr:colOff>
      <xdr:row>60</xdr:row>
      <xdr:rowOff>76200</xdr:rowOff>
    </xdr:from>
    <xdr:to>
      <xdr:col>8</xdr:col>
      <xdr:colOff>666750</xdr:colOff>
      <xdr:row>62</xdr:row>
      <xdr:rowOff>161925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BD68023-D20A-08FF-B432-F75089AD9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13849350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180975</xdr:colOff>
      <xdr:row>3</xdr:row>
      <xdr:rowOff>95250</xdr:rowOff>
    </xdr:from>
    <xdr:to>
      <xdr:col>8</xdr:col>
      <xdr:colOff>666750</xdr:colOff>
      <xdr:row>5</xdr:row>
      <xdr:rowOff>180975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224A3C4-BAE4-4315-BFE9-3CB745F96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638175"/>
          <a:ext cx="485775" cy="4857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0658;&#37096;&#24037;&#26989;&#65293;&#65328;&#65315;\Desktop\sgt2509.xlsm" TargetMode="External"/><Relationship Id="rId1" Type="http://schemas.openxmlformats.org/officeDocument/2006/relationships/externalLinkPath" Target="/Users/&#40658;&#37096;&#24037;&#26989;&#65293;&#65328;&#65315;/Desktop/sgt250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8FL基材M"/>
      <sheetName val="納品明細書"/>
      <sheetName val="指図書"/>
      <sheetName val="依頼書保管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>
        <row r="3">
          <cell r="C3" t="str">
            <v>8FL281304 5010　L=888</v>
          </cell>
          <cell r="I3">
            <v>0</v>
          </cell>
          <cell r="J3">
            <v>0</v>
          </cell>
          <cell r="K3">
            <v>0</v>
          </cell>
          <cell r="L3">
            <v>45895</v>
          </cell>
          <cell r="M3">
            <v>8</v>
          </cell>
          <cell r="O3">
            <v>45896</v>
          </cell>
          <cell r="P3">
            <v>3</v>
          </cell>
          <cell r="T3" t="str">
            <v>000000000006086</v>
          </cell>
        </row>
        <row r="4">
          <cell r="D4">
            <v>45894</v>
          </cell>
          <cell r="E4" t="str">
            <v>25G30-10</v>
          </cell>
          <cell r="F4">
            <v>32</v>
          </cell>
          <cell r="G4">
            <v>888.69</v>
          </cell>
          <cell r="H4">
            <v>888.9</v>
          </cell>
          <cell r="I4" t="str">
            <v>25G30-10</v>
          </cell>
          <cell r="J4">
            <v>366</v>
          </cell>
          <cell r="K4">
            <v>183</v>
          </cell>
          <cell r="L4">
            <v>45896</v>
          </cell>
          <cell r="M4">
            <v>12</v>
          </cell>
          <cell r="O4">
            <v>2000</v>
          </cell>
          <cell r="T4" t="str">
            <v>000000000006086</v>
          </cell>
        </row>
        <row r="5">
          <cell r="C5">
            <v>2000</v>
          </cell>
          <cell r="D5">
            <v>45894</v>
          </cell>
          <cell r="E5" t="str">
            <v>25G30-10</v>
          </cell>
          <cell r="F5">
            <v>30</v>
          </cell>
          <cell r="G5">
            <v>888.58</v>
          </cell>
          <cell r="H5">
            <v>888.83</v>
          </cell>
          <cell r="I5" t="str">
            <v>25H01-01</v>
          </cell>
          <cell r="J5">
            <v>880</v>
          </cell>
          <cell r="K5">
            <v>440</v>
          </cell>
          <cell r="O5">
            <v>1004</v>
          </cell>
          <cell r="P5">
            <v>4</v>
          </cell>
          <cell r="T5" t="str">
            <v>000000000006086</v>
          </cell>
        </row>
        <row r="6">
          <cell r="D6">
            <v>45895</v>
          </cell>
          <cell r="E6" t="str">
            <v>25G30-10</v>
          </cell>
          <cell r="F6">
            <v>28</v>
          </cell>
          <cell r="G6">
            <v>888.46</v>
          </cell>
          <cell r="H6">
            <v>888.59</v>
          </cell>
          <cell r="I6" t="str">
            <v>25G31-12</v>
          </cell>
          <cell r="J6">
            <v>720</v>
          </cell>
          <cell r="K6">
            <v>360</v>
          </cell>
          <cell r="O6">
            <v>4</v>
          </cell>
          <cell r="T6" t="str">
            <v>000000000006086</v>
          </cell>
        </row>
        <row r="7">
          <cell r="C7">
            <v>2</v>
          </cell>
          <cell r="D7">
            <v>45895</v>
          </cell>
          <cell r="E7" t="str">
            <v>25H01-01</v>
          </cell>
          <cell r="F7">
            <v>30</v>
          </cell>
          <cell r="G7">
            <v>888.58</v>
          </cell>
          <cell r="H7">
            <v>888.61</v>
          </cell>
          <cell r="I7" t="str">
            <v>25G31-11</v>
          </cell>
          <cell r="J7">
            <v>41</v>
          </cell>
          <cell r="K7">
            <v>21</v>
          </cell>
          <cell r="O7">
            <v>7</v>
          </cell>
          <cell r="T7" t="str">
            <v>000000000006086</v>
          </cell>
        </row>
        <row r="8">
          <cell r="C8" t="str">
            <v>LED-A888</v>
          </cell>
          <cell r="D8">
            <v>45895</v>
          </cell>
          <cell r="E8" t="str">
            <v>25H01-01</v>
          </cell>
          <cell r="F8">
            <v>32</v>
          </cell>
          <cell r="G8">
            <v>888.69</v>
          </cell>
          <cell r="H8">
            <v>888.69</v>
          </cell>
          <cell r="K8">
            <v>0</v>
          </cell>
          <cell r="L8" t="str">
            <v>旧品加工</v>
          </cell>
          <cell r="O8">
            <v>0</v>
          </cell>
          <cell r="T8" t="str">
            <v>000000000006086</v>
          </cell>
        </row>
        <row r="9">
          <cell r="C9">
            <v>20</v>
          </cell>
          <cell r="D9">
            <v>45895</v>
          </cell>
          <cell r="E9" t="str">
            <v>25G31-12</v>
          </cell>
          <cell r="F9">
            <v>28</v>
          </cell>
          <cell r="G9">
            <v>888.46</v>
          </cell>
          <cell r="H9">
            <v>888.71</v>
          </cell>
          <cell r="K9">
            <v>0</v>
          </cell>
          <cell r="L9" t="str">
            <v>持出端材</v>
          </cell>
          <cell r="O9" t="str">
            <v>水野</v>
          </cell>
          <cell r="T9" t="str">
            <v>000000000006086</v>
          </cell>
        </row>
        <row r="10">
          <cell r="D10">
            <v>45895</v>
          </cell>
          <cell r="E10" t="str">
            <v>25G31-11</v>
          </cell>
          <cell r="F10">
            <v>28</v>
          </cell>
          <cell r="G10">
            <v>888.46</v>
          </cell>
          <cell r="H10">
            <v>888.62</v>
          </cell>
          <cell r="K10">
            <v>0</v>
          </cell>
          <cell r="L10" t="str">
            <v>α端材</v>
          </cell>
          <cell r="M10">
            <v>0</v>
          </cell>
          <cell r="O10" t="str">
            <v>高森・上野</v>
          </cell>
          <cell r="P10">
            <v>7</v>
          </cell>
          <cell r="T10" t="str">
            <v>000000000006086</v>
          </cell>
        </row>
        <row r="11">
          <cell r="C11" t="str">
            <v>8FL281304 5010　L=888</v>
          </cell>
          <cell r="I11">
            <v>0</v>
          </cell>
          <cell r="J11">
            <v>0</v>
          </cell>
          <cell r="K11">
            <v>0</v>
          </cell>
          <cell r="L11">
            <v>45896</v>
          </cell>
          <cell r="M11">
            <v>3</v>
          </cell>
          <cell r="O11">
            <v>45897</v>
          </cell>
          <cell r="P11">
            <v>4</v>
          </cell>
          <cell r="T11" t="str">
            <v>000000000006671</v>
          </cell>
        </row>
        <row r="12">
          <cell r="D12">
            <v>45896</v>
          </cell>
          <cell r="E12" t="str">
            <v>25G31-11</v>
          </cell>
          <cell r="F12">
            <v>28</v>
          </cell>
          <cell r="G12">
            <v>888.46</v>
          </cell>
          <cell r="H12">
            <v>888.56</v>
          </cell>
          <cell r="I12" t="str">
            <v>25G31-11</v>
          </cell>
          <cell r="J12">
            <v>1558</v>
          </cell>
          <cell r="K12">
            <v>779</v>
          </cell>
          <cell r="L12">
            <v>45897</v>
          </cell>
          <cell r="M12">
            <v>13</v>
          </cell>
          <cell r="O12">
            <v>1600</v>
          </cell>
          <cell r="T12" t="str">
            <v>000000000006671</v>
          </cell>
        </row>
        <row r="13">
          <cell r="C13">
            <v>1600</v>
          </cell>
          <cell r="D13">
            <v>45896</v>
          </cell>
          <cell r="E13" t="str">
            <v>25G31-11</v>
          </cell>
          <cell r="F13">
            <v>26</v>
          </cell>
          <cell r="G13">
            <v>888.35</v>
          </cell>
          <cell r="H13">
            <v>888.65</v>
          </cell>
          <cell r="I13" t="str">
            <v>25H26-02</v>
          </cell>
          <cell r="J13">
            <v>48</v>
          </cell>
          <cell r="K13">
            <v>24</v>
          </cell>
          <cell r="O13">
            <v>803</v>
          </cell>
          <cell r="P13">
            <v>2</v>
          </cell>
          <cell r="T13" t="str">
            <v>000000000006671</v>
          </cell>
        </row>
        <row r="14">
          <cell r="D14">
            <v>45896</v>
          </cell>
          <cell r="E14" t="str">
            <v>25G31-11</v>
          </cell>
          <cell r="F14">
            <v>28</v>
          </cell>
          <cell r="G14">
            <v>888.46</v>
          </cell>
          <cell r="H14">
            <v>888.52</v>
          </cell>
          <cell r="K14">
            <v>0</v>
          </cell>
          <cell r="O14">
            <v>3</v>
          </cell>
          <cell r="T14" t="str">
            <v>000000000006671</v>
          </cell>
        </row>
        <row r="15">
          <cell r="C15">
            <v>2</v>
          </cell>
          <cell r="D15">
            <v>45896</v>
          </cell>
          <cell r="E15" t="str">
            <v>25H26-02</v>
          </cell>
          <cell r="F15">
            <v>28</v>
          </cell>
          <cell r="G15">
            <v>888.46</v>
          </cell>
          <cell r="H15">
            <v>888.58</v>
          </cell>
          <cell r="K15">
            <v>0</v>
          </cell>
          <cell r="O15">
            <v>6</v>
          </cell>
          <cell r="T15" t="str">
            <v>000000000006671</v>
          </cell>
        </row>
        <row r="16">
          <cell r="C16" t="str">
            <v>LED-A888</v>
          </cell>
          <cell r="G16" t="str">
            <v/>
          </cell>
          <cell r="K16">
            <v>0</v>
          </cell>
          <cell r="L16" t="str">
            <v>旧品加工</v>
          </cell>
          <cell r="O16">
            <v>0</v>
          </cell>
          <cell r="T16" t="str">
            <v>000000000006671</v>
          </cell>
        </row>
        <row r="17">
          <cell r="C17">
            <v>16</v>
          </cell>
          <cell r="G17" t="str">
            <v/>
          </cell>
          <cell r="K17">
            <v>0</v>
          </cell>
          <cell r="L17" t="str">
            <v>持出端材</v>
          </cell>
          <cell r="O17" t="str">
            <v>水野</v>
          </cell>
          <cell r="T17" t="str">
            <v>000000000006671</v>
          </cell>
        </row>
        <row r="18">
          <cell r="G18" t="str">
            <v/>
          </cell>
          <cell r="K18">
            <v>0</v>
          </cell>
          <cell r="L18" t="str">
            <v>α端材</v>
          </cell>
          <cell r="M18">
            <v>0</v>
          </cell>
          <cell r="O18" t="str">
            <v>高森・上野</v>
          </cell>
          <cell r="P18">
            <v>6</v>
          </cell>
          <cell r="T18" t="str">
            <v>000000000006671</v>
          </cell>
        </row>
        <row r="19">
          <cell r="C19" t="str">
            <v>8FL281304 8310　L=748</v>
          </cell>
          <cell r="D19">
            <v>45869</v>
          </cell>
          <cell r="E19" t="str">
            <v>25G25-07</v>
          </cell>
          <cell r="I19" t="str">
            <v>25G25-07</v>
          </cell>
          <cell r="J19">
            <v>8</v>
          </cell>
          <cell r="K19">
            <v>4</v>
          </cell>
          <cell r="L19">
            <v>45897</v>
          </cell>
          <cell r="M19">
            <v>2</v>
          </cell>
          <cell r="O19">
            <v>45898</v>
          </cell>
          <cell r="T19" t="str">
            <v>000000000006084</v>
          </cell>
        </row>
        <row r="20">
          <cell r="D20">
            <v>45897</v>
          </cell>
          <cell r="E20" t="str">
            <v>25H26-02</v>
          </cell>
          <cell r="F20">
            <v>28</v>
          </cell>
          <cell r="G20">
            <v>748.39</v>
          </cell>
          <cell r="H20">
            <v>748.27</v>
          </cell>
          <cell r="I20" t="str">
            <v>25H26-02</v>
          </cell>
          <cell r="J20">
            <v>392</v>
          </cell>
          <cell r="K20">
            <v>196</v>
          </cell>
          <cell r="L20">
            <v>45898</v>
          </cell>
          <cell r="M20">
            <v>2</v>
          </cell>
          <cell r="O20">
            <v>400</v>
          </cell>
          <cell r="T20" t="str">
            <v>000000000006084</v>
          </cell>
        </row>
        <row r="21">
          <cell r="C21">
            <v>400</v>
          </cell>
          <cell r="D21">
            <v>45897</v>
          </cell>
          <cell r="E21" t="str">
            <v>25H26-02</v>
          </cell>
          <cell r="F21">
            <v>28</v>
          </cell>
          <cell r="G21">
            <v>748.39</v>
          </cell>
          <cell r="H21">
            <v>748.47</v>
          </cell>
          <cell r="K21">
            <v>0</v>
          </cell>
          <cell r="O21">
            <v>200</v>
          </cell>
          <cell r="T21" t="str">
            <v>000000000006084</v>
          </cell>
        </row>
        <row r="22">
          <cell r="G22" t="str">
            <v/>
          </cell>
          <cell r="K22">
            <v>0</v>
          </cell>
          <cell r="O22">
            <v>0</v>
          </cell>
          <cell r="T22" t="str">
            <v>000000000006084</v>
          </cell>
        </row>
        <row r="23">
          <cell r="C23">
            <v>2</v>
          </cell>
          <cell r="G23" t="str">
            <v/>
          </cell>
          <cell r="K23">
            <v>0</v>
          </cell>
          <cell r="O23">
            <v>0</v>
          </cell>
          <cell r="T23" t="str">
            <v>000000000006084</v>
          </cell>
        </row>
        <row r="24">
          <cell r="C24" t="str">
            <v>LED-A888</v>
          </cell>
          <cell r="G24" t="str">
            <v/>
          </cell>
          <cell r="K24">
            <v>0</v>
          </cell>
          <cell r="L24" t="str">
            <v>旧品加工</v>
          </cell>
          <cell r="M24">
            <v>8</v>
          </cell>
          <cell r="O24">
            <v>0</v>
          </cell>
          <cell r="T24" t="str">
            <v>000000000006084</v>
          </cell>
        </row>
        <row r="25">
          <cell r="C25">
            <v>4</v>
          </cell>
          <cell r="G25" t="str">
            <v/>
          </cell>
          <cell r="K25">
            <v>0</v>
          </cell>
          <cell r="L25" t="str">
            <v>持出端材</v>
          </cell>
          <cell r="O25" t="str">
            <v>水野</v>
          </cell>
          <cell r="T25" t="str">
            <v>000000000006084</v>
          </cell>
        </row>
        <row r="26">
          <cell r="G26" t="str">
            <v/>
          </cell>
          <cell r="K26">
            <v>0</v>
          </cell>
          <cell r="L26" t="str">
            <v>α端材</v>
          </cell>
          <cell r="M26">
            <v>0</v>
          </cell>
          <cell r="O26" t="str">
            <v>上野・高森</v>
          </cell>
          <cell r="P26">
            <v>0</v>
          </cell>
          <cell r="T26" t="str">
            <v>000000000006084</v>
          </cell>
        </row>
        <row r="27">
          <cell r="C27" t="str">
            <v>8FL281304 4910　L=592</v>
          </cell>
          <cell r="D27">
            <v>45867</v>
          </cell>
          <cell r="E27" t="str">
            <v>25G24-06</v>
          </cell>
          <cell r="I27" t="str">
            <v>25G24-06</v>
          </cell>
          <cell r="J27">
            <v>6</v>
          </cell>
          <cell r="K27">
            <v>2</v>
          </cell>
          <cell r="L27">
            <v>45898</v>
          </cell>
          <cell r="M27">
            <v>3</v>
          </cell>
          <cell r="O27">
            <v>45898</v>
          </cell>
          <cell r="P27">
            <v>3</v>
          </cell>
          <cell r="T27" t="str">
            <v>000000000006083</v>
          </cell>
        </row>
        <row r="28">
          <cell r="D28">
            <v>45897</v>
          </cell>
          <cell r="E28" t="str">
            <v>25H26-02</v>
          </cell>
          <cell r="F28">
            <v>28</v>
          </cell>
          <cell r="G28">
            <v>591.80999999999995</v>
          </cell>
          <cell r="H28">
            <v>591.66999999999996</v>
          </cell>
          <cell r="I28" t="str">
            <v>25H26-02</v>
          </cell>
          <cell r="J28">
            <v>300</v>
          </cell>
          <cell r="K28">
            <v>100</v>
          </cell>
          <cell r="O28">
            <v>300</v>
          </cell>
          <cell r="T28" t="str">
            <v>000000000006083</v>
          </cell>
        </row>
        <row r="29">
          <cell r="C29">
            <v>300</v>
          </cell>
          <cell r="D29">
            <v>45897</v>
          </cell>
          <cell r="E29" t="str">
            <v>25H26-02</v>
          </cell>
          <cell r="F29">
            <v>28</v>
          </cell>
          <cell r="G29">
            <v>591.80999999999995</v>
          </cell>
          <cell r="H29">
            <v>591.77</v>
          </cell>
          <cell r="K29">
            <v>0</v>
          </cell>
          <cell r="O29">
            <v>101</v>
          </cell>
          <cell r="T29" t="str">
            <v>000000000006083</v>
          </cell>
        </row>
        <row r="30">
          <cell r="G30" t="str">
            <v/>
          </cell>
          <cell r="K30">
            <v>0</v>
          </cell>
          <cell r="O30">
            <v>3</v>
          </cell>
          <cell r="T30" t="str">
            <v>000000000006083</v>
          </cell>
        </row>
        <row r="31">
          <cell r="C31">
            <v>3</v>
          </cell>
          <cell r="G31" t="str">
            <v/>
          </cell>
          <cell r="K31">
            <v>0</v>
          </cell>
          <cell r="O31">
            <v>7</v>
          </cell>
          <cell r="T31" t="str">
            <v>000000000006083</v>
          </cell>
        </row>
        <row r="32">
          <cell r="C32" t="str">
            <v>LED-A592</v>
          </cell>
          <cell r="G32" t="str">
            <v/>
          </cell>
          <cell r="K32">
            <v>0</v>
          </cell>
          <cell r="L32" t="str">
            <v>旧品加工</v>
          </cell>
          <cell r="M32">
            <v>8</v>
          </cell>
          <cell r="O32">
            <v>2</v>
          </cell>
          <cell r="T32" t="str">
            <v>000000000006083</v>
          </cell>
        </row>
        <row r="33">
          <cell r="C33">
            <v>3</v>
          </cell>
          <cell r="G33" t="str">
            <v/>
          </cell>
          <cell r="K33">
            <v>0</v>
          </cell>
          <cell r="L33" t="str">
            <v>持出端材</v>
          </cell>
          <cell r="O33" t="str">
            <v>水野</v>
          </cell>
          <cell r="P33">
            <v>4</v>
          </cell>
          <cell r="T33" t="str">
            <v>000000000006083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M34">
            <v>2</v>
          </cell>
          <cell r="O34" t="str">
            <v>高森・上野</v>
          </cell>
          <cell r="P34">
            <v>7</v>
          </cell>
          <cell r="T34" t="str">
            <v>000000000006083</v>
          </cell>
        </row>
        <row r="35">
          <cell r="C35" t="str">
            <v>8FL281304 4810　L=297</v>
          </cell>
          <cell r="D35">
            <v>45868</v>
          </cell>
          <cell r="E35" t="str">
            <v>25G24-06</v>
          </cell>
          <cell r="I35" t="str">
            <v>25G24-06</v>
          </cell>
          <cell r="J35">
            <v>3</v>
          </cell>
          <cell r="K35">
            <v>0</v>
          </cell>
          <cell r="L35">
            <v>45898</v>
          </cell>
          <cell r="M35">
            <v>3</v>
          </cell>
          <cell r="O35">
            <v>45898</v>
          </cell>
          <cell r="P35">
            <v>2</v>
          </cell>
          <cell r="T35" t="str">
            <v>000000000006082</v>
          </cell>
        </row>
        <row r="36">
          <cell r="D36">
            <v>45897</v>
          </cell>
          <cell r="E36" t="str">
            <v>25H26-02</v>
          </cell>
          <cell r="F36">
            <v>28</v>
          </cell>
          <cell r="G36">
            <v>297.14999999999998</v>
          </cell>
          <cell r="H36">
            <v>297.22000000000003</v>
          </cell>
          <cell r="I36" t="str">
            <v>25H26-02</v>
          </cell>
          <cell r="J36">
            <v>300</v>
          </cell>
          <cell r="K36">
            <v>50</v>
          </cell>
          <cell r="O36">
            <v>300</v>
          </cell>
          <cell r="T36" t="str">
            <v>000000000006082</v>
          </cell>
        </row>
        <row r="37">
          <cell r="C37">
            <v>300</v>
          </cell>
          <cell r="D37">
            <v>45897</v>
          </cell>
          <cell r="E37" t="str">
            <v>25H26-02</v>
          </cell>
          <cell r="F37">
            <v>28</v>
          </cell>
          <cell r="G37">
            <v>297.14999999999998</v>
          </cell>
          <cell r="H37">
            <v>297.44</v>
          </cell>
          <cell r="K37">
            <v>0</v>
          </cell>
          <cell r="O37">
            <v>50</v>
          </cell>
          <cell r="P37">
            <v>1</v>
          </cell>
          <cell r="T37" t="str">
            <v>000000000006082</v>
          </cell>
        </row>
        <row r="38">
          <cell r="D38">
            <v>45898</v>
          </cell>
          <cell r="E38" t="str">
            <v>25H26-02</v>
          </cell>
          <cell r="F38">
            <v>26</v>
          </cell>
          <cell r="G38">
            <v>297.12</v>
          </cell>
          <cell r="H38">
            <v>297.3</v>
          </cell>
          <cell r="K38">
            <v>0</v>
          </cell>
          <cell r="O38">
            <v>1</v>
          </cell>
          <cell r="T38" t="str">
            <v>000000000006082</v>
          </cell>
        </row>
        <row r="39">
          <cell r="C39">
            <v>6</v>
          </cell>
          <cell r="D39">
            <v>45898</v>
          </cell>
          <cell r="E39" t="str">
            <v>25H26-02</v>
          </cell>
          <cell r="F39">
            <v>26</v>
          </cell>
          <cell r="G39">
            <v>297.12</v>
          </cell>
          <cell r="H39">
            <v>297.31</v>
          </cell>
          <cell r="K39">
            <v>0</v>
          </cell>
          <cell r="O39">
            <v>3</v>
          </cell>
          <cell r="T39" t="str">
            <v>000000000006082</v>
          </cell>
        </row>
        <row r="40">
          <cell r="C40" t="str">
            <v>LED-A300</v>
          </cell>
          <cell r="G40" t="str">
            <v/>
          </cell>
          <cell r="K40">
            <v>0</v>
          </cell>
          <cell r="L40" t="str">
            <v>旧品加工</v>
          </cell>
          <cell r="M40">
            <v>3</v>
          </cell>
          <cell r="O40">
            <v>3</v>
          </cell>
          <cell r="T40" t="str">
            <v>000000000006082</v>
          </cell>
        </row>
        <row r="41">
          <cell r="C41">
            <v>3</v>
          </cell>
          <cell r="G41" t="str">
            <v/>
          </cell>
          <cell r="K41">
            <v>0</v>
          </cell>
          <cell r="L41" t="str">
            <v>持出端材</v>
          </cell>
          <cell r="O41" t="str">
            <v>水野</v>
          </cell>
          <cell r="T41" t="str">
            <v>000000000006082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M42">
            <v>3</v>
          </cell>
          <cell r="O42" t="str">
            <v>高森・上野</v>
          </cell>
          <cell r="P42">
            <v>3</v>
          </cell>
          <cell r="T42" t="str">
            <v>000000000006082</v>
          </cell>
        </row>
        <row r="43">
          <cell r="C43" t="str">
            <v>8FL281304 5010　L=888</v>
          </cell>
          <cell r="D43">
            <v>45897</v>
          </cell>
          <cell r="E43" t="str">
            <v>25H26-02</v>
          </cell>
          <cell r="I43" t="str">
            <v>25H26-02</v>
          </cell>
          <cell r="J43">
            <v>10</v>
          </cell>
          <cell r="K43">
            <v>5</v>
          </cell>
          <cell r="L43">
            <v>45898</v>
          </cell>
          <cell r="M43">
            <v>5</v>
          </cell>
          <cell r="O43">
            <v>45902</v>
          </cell>
          <cell r="P43">
            <v>5</v>
          </cell>
          <cell r="T43" t="str">
            <v>000000000006664</v>
          </cell>
        </row>
        <row r="44">
          <cell r="D44">
            <v>45898</v>
          </cell>
          <cell r="E44" t="str">
            <v>25H26-02</v>
          </cell>
          <cell r="F44">
            <v>26</v>
          </cell>
          <cell r="G44">
            <v>888.35</v>
          </cell>
          <cell r="H44">
            <v>888.53</v>
          </cell>
          <cell r="I44" t="str">
            <v>25H26-02</v>
          </cell>
          <cell r="J44">
            <v>840</v>
          </cell>
          <cell r="K44">
            <v>420</v>
          </cell>
          <cell r="L44">
            <v>45901</v>
          </cell>
          <cell r="M44">
            <v>7</v>
          </cell>
          <cell r="O44">
            <v>1400</v>
          </cell>
          <cell r="T44" t="str">
            <v>000000000006664</v>
          </cell>
        </row>
        <row r="45">
          <cell r="C45">
            <v>1400</v>
          </cell>
          <cell r="D45">
            <v>45898</v>
          </cell>
          <cell r="E45" t="str">
            <v>25H26-02</v>
          </cell>
          <cell r="F45">
            <v>28</v>
          </cell>
          <cell r="G45">
            <v>888.46</v>
          </cell>
          <cell r="H45">
            <v>888.55</v>
          </cell>
          <cell r="I45" t="str">
            <v>25H27-03</v>
          </cell>
          <cell r="J45">
            <v>561</v>
          </cell>
          <cell r="K45">
            <v>281</v>
          </cell>
          <cell r="L45">
            <v>45902</v>
          </cell>
          <cell r="M45">
            <v>2</v>
          </cell>
          <cell r="O45">
            <v>706</v>
          </cell>
          <cell r="P45">
            <v>8</v>
          </cell>
          <cell r="T45" t="str">
            <v>000000000006664</v>
          </cell>
        </row>
        <row r="46">
          <cell r="D46">
            <v>45898</v>
          </cell>
          <cell r="E46" t="str">
            <v>25H27-03</v>
          </cell>
          <cell r="F46">
            <v>30</v>
          </cell>
          <cell r="G46">
            <v>888.58</v>
          </cell>
          <cell r="H46">
            <v>888.46</v>
          </cell>
          <cell r="K46">
            <v>0</v>
          </cell>
          <cell r="O46">
            <v>7</v>
          </cell>
          <cell r="T46" t="str">
            <v>000000000006664</v>
          </cell>
        </row>
        <row r="47">
          <cell r="C47">
            <v>2</v>
          </cell>
          <cell r="D47">
            <v>45898</v>
          </cell>
          <cell r="E47" t="str">
            <v>25H27-03</v>
          </cell>
          <cell r="F47">
            <v>30</v>
          </cell>
          <cell r="G47">
            <v>888.58</v>
          </cell>
          <cell r="H47">
            <v>888.41</v>
          </cell>
          <cell r="K47">
            <v>0</v>
          </cell>
          <cell r="O47">
            <v>13</v>
          </cell>
          <cell r="T47" t="str">
            <v>000000000006664</v>
          </cell>
        </row>
        <row r="48">
          <cell r="C48" t="str">
            <v>LED-A888</v>
          </cell>
          <cell r="D48">
            <v>45901</v>
          </cell>
          <cell r="E48" t="str">
            <v>25H27-03</v>
          </cell>
          <cell r="F48">
            <v>28</v>
          </cell>
          <cell r="G48">
            <v>888.46</v>
          </cell>
          <cell r="H48">
            <v>888.54</v>
          </cell>
          <cell r="K48">
            <v>0</v>
          </cell>
          <cell r="L48" t="str">
            <v>旧品加工</v>
          </cell>
          <cell r="M48">
            <v>11</v>
          </cell>
          <cell r="O48">
            <v>1</v>
          </cell>
          <cell r="T48" t="str">
            <v>000000000006664</v>
          </cell>
        </row>
        <row r="49">
          <cell r="C49">
            <v>14</v>
          </cell>
          <cell r="D49">
            <v>45901</v>
          </cell>
          <cell r="E49" t="str">
            <v>25H27-03</v>
          </cell>
          <cell r="F49">
            <v>32</v>
          </cell>
          <cell r="G49">
            <v>888.69</v>
          </cell>
          <cell r="H49">
            <v>888.58</v>
          </cell>
          <cell r="K49">
            <v>0</v>
          </cell>
          <cell r="L49" t="str">
            <v>持出端材</v>
          </cell>
          <cell r="O49" t="str">
            <v>M</v>
          </cell>
          <cell r="T49" t="str">
            <v>000000000006664</v>
          </cell>
        </row>
        <row r="50">
          <cell r="G50" t="str">
            <v/>
          </cell>
          <cell r="K50">
            <v>0</v>
          </cell>
          <cell r="L50" t="str">
            <v>α端材</v>
          </cell>
          <cell r="M50">
            <v>1</v>
          </cell>
          <cell r="O50" t="str">
            <v>T/U</v>
          </cell>
          <cell r="P50">
            <v>13</v>
          </cell>
          <cell r="T50" t="str">
            <v>000000000006664</v>
          </cell>
        </row>
        <row r="51">
          <cell r="C51" t="str">
            <v>8FL281304 5010　L=888</v>
          </cell>
          <cell r="I51">
            <v>0</v>
          </cell>
          <cell r="J51">
            <v>0</v>
          </cell>
          <cell r="K51">
            <v>0</v>
          </cell>
          <cell r="L51">
            <v>45902</v>
          </cell>
          <cell r="M51">
            <v>8</v>
          </cell>
          <cell r="O51">
            <v>45902</v>
          </cell>
          <cell r="P51">
            <v>1</v>
          </cell>
          <cell r="T51" t="str">
            <v>000000000006663-1</v>
          </cell>
        </row>
        <row r="52">
          <cell r="D52">
            <v>45901</v>
          </cell>
          <cell r="E52" t="str">
            <v>25H27-03</v>
          </cell>
          <cell r="F52">
            <v>30</v>
          </cell>
          <cell r="G52">
            <v>888.58</v>
          </cell>
          <cell r="H52">
            <v>888.56</v>
          </cell>
          <cell r="I52" t="str">
            <v>25H27-03</v>
          </cell>
          <cell r="J52">
            <v>803</v>
          </cell>
          <cell r="K52">
            <v>402</v>
          </cell>
          <cell r="O52">
            <v>800</v>
          </cell>
          <cell r="P52">
            <v>2</v>
          </cell>
          <cell r="T52" t="str">
            <v>000000000006663-1</v>
          </cell>
        </row>
        <row r="53">
          <cell r="C53">
            <v>800</v>
          </cell>
          <cell r="D53">
            <v>45901</v>
          </cell>
          <cell r="E53" t="str">
            <v>25H27-03</v>
          </cell>
          <cell r="F53">
            <v>30</v>
          </cell>
          <cell r="G53">
            <v>888.58</v>
          </cell>
          <cell r="H53">
            <v>888.69</v>
          </cell>
          <cell r="K53">
            <v>0</v>
          </cell>
          <cell r="O53">
            <v>402</v>
          </cell>
          <cell r="T53" t="str">
            <v>000000000006663-1</v>
          </cell>
        </row>
        <row r="54">
          <cell r="D54">
            <v>45901</v>
          </cell>
          <cell r="E54" t="str">
            <v>25H27-03</v>
          </cell>
          <cell r="F54">
            <v>30</v>
          </cell>
          <cell r="G54">
            <v>888.58</v>
          </cell>
          <cell r="H54">
            <v>888.55</v>
          </cell>
          <cell r="K54">
            <v>0</v>
          </cell>
          <cell r="O54">
            <v>2</v>
          </cell>
          <cell r="T54" t="str">
            <v>000000000006663-1</v>
          </cell>
        </row>
        <row r="55">
          <cell r="C55">
            <v>2</v>
          </cell>
          <cell r="G55" t="str">
            <v/>
          </cell>
          <cell r="K55">
            <v>0</v>
          </cell>
          <cell r="O55">
            <v>3</v>
          </cell>
          <cell r="T55" t="str">
            <v>000000000006663-1</v>
          </cell>
        </row>
        <row r="56">
          <cell r="C56" t="str">
            <v>LED-A888</v>
          </cell>
          <cell r="G56" t="str">
            <v/>
          </cell>
          <cell r="K56">
            <v>0</v>
          </cell>
          <cell r="L56" t="str">
            <v>旧品加工</v>
          </cell>
          <cell r="O56">
            <v>0</v>
          </cell>
          <cell r="T56" t="str">
            <v>000000000006663-1</v>
          </cell>
        </row>
        <row r="57">
          <cell r="C57">
            <v>8</v>
          </cell>
          <cell r="G57" t="str">
            <v/>
          </cell>
          <cell r="K57">
            <v>0</v>
          </cell>
          <cell r="L57" t="str">
            <v>持出端材</v>
          </cell>
          <cell r="O57" t="str">
            <v>M</v>
          </cell>
          <cell r="T57" t="str">
            <v>000000000006663-1</v>
          </cell>
        </row>
        <row r="58">
          <cell r="G58" t="str">
            <v/>
          </cell>
          <cell r="K58">
            <v>0</v>
          </cell>
          <cell r="L58" t="str">
            <v>α端材</v>
          </cell>
          <cell r="M58">
            <v>0</v>
          </cell>
          <cell r="O58" t="str">
            <v>T/U</v>
          </cell>
          <cell r="P58">
            <v>3</v>
          </cell>
          <cell r="T58" t="str">
            <v>000000000006663-1</v>
          </cell>
        </row>
        <row r="59">
          <cell r="C59" t="str">
            <v>8FL281304 6110　L=1478</v>
          </cell>
          <cell r="D59">
            <v>45894</v>
          </cell>
          <cell r="E59" t="str">
            <v>25G29-09</v>
          </cell>
          <cell r="I59" t="str">
            <v>25G29-09</v>
          </cell>
          <cell r="J59">
            <v>4</v>
          </cell>
          <cell r="K59">
            <v>4</v>
          </cell>
          <cell r="L59">
            <v>45902</v>
          </cell>
          <cell r="M59">
            <v>2</v>
          </cell>
          <cell r="O59">
            <v>45904</v>
          </cell>
          <cell r="P59">
            <v>5</v>
          </cell>
          <cell r="T59" t="str">
            <v>000000000006667-1</v>
          </cell>
        </row>
        <row r="60">
          <cell r="D60">
            <v>45902</v>
          </cell>
          <cell r="E60" t="str">
            <v>25H27-03</v>
          </cell>
          <cell r="G60" t="str">
            <v/>
          </cell>
          <cell r="I60" t="str">
            <v>25H27-03</v>
          </cell>
          <cell r="J60">
            <v>112</v>
          </cell>
          <cell r="K60">
            <v>112</v>
          </cell>
          <cell r="L60">
            <v>45903</v>
          </cell>
          <cell r="M60">
            <v>11</v>
          </cell>
          <cell r="O60">
            <v>1900</v>
          </cell>
          <cell r="T60" t="str">
            <v>000000000006667-1</v>
          </cell>
        </row>
        <row r="61">
          <cell r="C61">
            <v>1900</v>
          </cell>
          <cell r="D61">
            <v>45902</v>
          </cell>
          <cell r="E61" t="str">
            <v>25H28-04</v>
          </cell>
          <cell r="G61" t="str">
            <v/>
          </cell>
          <cell r="I61" t="str">
            <v>25H28-04</v>
          </cell>
          <cell r="J61">
            <v>800</v>
          </cell>
          <cell r="K61">
            <v>800</v>
          </cell>
          <cell r="L61">
            <v>45904</v>
          </cell>
          <cell r="M61">
            <v>6</v>
          </cell>
          <cell r="O61">
            <v>1906</v>
          </cell>
          <cell r="P61">
            <v>1</v>
          </cell>
          <cell r="T61" t="str">
            <v>000000000006667-1</v>
          </cell>
        </row>
        <row r="62">
          <cell r="D62">
            <v>45902</v>
          </cell>
          <cell r="E62" t="str">
            <v>25H28-04</v>
          </cell>
          <cell r="G62" t="str">
            <v/>
          </cell>
          <cell r="I62" t="str">
            <v>25H29-05</v>
          </cell>
          <cell r="J62">
            <v>800</v>
          </cell>
          <cell r="K62">
            <v>800</v>
          </cell>
          <cell r="O62">
            <v>6</v>
          </cell>
          <cell r="T62" t="str">
            <v>000000000006667-1</v>
          </cell>
        </row>
        <row r="63">
          <cell r="C63">
            <v>1</v>
          </cell>
          <cell r="D63">
            <v>45903</v>
          </cell>
          <cell r="E63" t="str">
            <v>25H28-04</v>
          </cell>
          <cell r="G63" t="str">
            <v/>
          </cell>
          <cell r="I63" t="str">
            <v>25H29-06</v>
          </cell>
          <cell r="J63">
            <v>190</v>
          </cell>
          <cell r="K63">
            <v>190</v>
          </cell>
          <cell r="O63">
            <v>6</v>
          </cell>
          <cell r="T63" t="str">
            <v>000000000006667-1</v>
          </cell>
        </row>
        <row r="64">
          <cell r="C64" t="str">
            <v>LED-A1478</v>
          </cell>
          <cell r="D64">
            <v>45903</v>
          </cell>
          <cell r="E64" t="str">
            <v>25H29-05</v>
          </cell>
          <cell r="G64" t="str">
            <v/>
          </cell>
          <cell r="K64">
            <v>0</v>
          </cell>
          <cell r="L64" t="str">
            <v>旧品加工</v>
          </cell>
          <cell r="M64">
            <v>4</v>
          </cell>
          <cell r="O64">
            <v>0</v>
          </cell>
          <cell r="T64" t="str">
            <v>000000000006667-1</v>
          </cell>
        </row>
        <row r="65">
          <cell r="C65">
            <v>19</v>
          </cell>
          <cell r="D65">
            <v>45903</v>
          </cell>
          <cell r="E65" t="str">
            <v>25H29-06</v>
          </cell>
          <cell r="G65" t="str">
            <v/>
          </cell>
          <cell r="K65">
            <v>0</v>
          </cell>
          <cell r="L65" t="str">
            <v>持出端材</v>
          </cell>
          <cell r="O65" t="str">
            <v>M/C</v>
          </cell>
          <cell r="T65" t="str">
            <v>000000000006667-1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M66">
            <v>0</v>
          </cell>
          <cell r="O66" t="str">
            <v>T/U</v>
          </cell>
          <cell r="P66">
            <v>6</v>
          </cell>
          <cell r="T66" t="str">
            <v>000000000006667-1</v>
          </cell>
        </row>
        <row r="67">
          <cell r="C67" t="str">
            <v>8FL281304 4810　L=297</v>
          </cell>
          <cell r="D67">
            <v>45898</v>
          </cell>
          <cell r="E67" t="str">
            <v>25H26-02</v>
          </cell>
          <cell r="I67" t="str">
            <v>25H26-02</v>
          </cell>
          <cell r="J67">
            <v>6</v>
          </cell>
          <cell r="K67">
            <v>1</v>
          </cell>
          <cell r="L67">
            <v>45904</v>
          </cell>
          <cell r="M67">
            <v>2</v>
          </cell>
          <cell r="O67">
            <v>45904</v>
          </cell>
          <cell r="P67">
            <v>3</v>
          </cell>
          <cell r="T67" t="str">
            <v>000000000006650</v>
          </cell>
        </row>
        <row r="68">
          <cell r="D68">
            <v>45904</v>
          </cell>
          <cell r="E68" t="str">
            <v>25H29-06</v>
          </cell>
          <cell r="F68">
            <v>26</v>
          </cell>
          <cell r="G68">
            <v>297.12</v>
          </cell>
          <cell r="H68">
            <v>297.22000000000003</v>
          </cell>
          <cell r="I68" t="str">
            <v>25H29-06</v>
          </cell>
          <cell r="J68">
            <v>60</v>
          </cell>
          <cell r="K68">
            <v>10</v>
          </cell>
          <cell r="O68">
            <v>200</v>
          </cell>
          <cell r="T68" t="str">
            <v>000000000006650</v>
          </cell>
        </row>
        <row r="69">
          <cell r="C69">
            <v>200</v>
          </cell>
          <cell r="D69">
            <v>45904</v>
          </cell>
          <cell r="E69" t="str">
            <v>25H29-06</v>
          </cell>
          <cell r="F69">
            <v>28</v>
          </cell>
          <cell r="G69">
            <v>297.14999999999998</v>
          </cell>
          <cell r="H69">
            <v>297.24</v>
          </cell>
          <cell r="K69">
            <v>0</v>
          </cell>
          <cell r="O69">
            <v>11</v>
          </cell>
          <cell r="P69">
            <v>5</v>
          </cell>
          <cell r="T69" t="str">
            <v>000000000006650</v>
          </cell>
        </row>
        <row r="70">
          <cell r="G70" t="str">
            <v/>
          </cell>
          <cell r="K70">
            <v>0</v>
          </cell>
          <cell r="O70">
            <v>2</v>
          </cell>
          <cell r="T70" t="str">
            <v>000000000006650</v>
          </cell>
        </row>
        <row r="71">
          <cell r="C71">
            <v>6</v>
          </cell>
          <cell r="G71" t="str">
            <v/>
          </cell>
          <cell r="K71">
            <v>0</v>
          </cell>
          <cell r="O71">
            <v>8</v>
          </cell>
          <cell r="T71" t="str">
            <v>000000000006650</v>
          </cell>
        </row>
        <row r="72">
          <cell r="C72" t="str">
            <v>LED-A300</v>
          </cell>
          <cell r="G72" t="str">
            <v/>
          </cell>
          <cell r="K72">
            <v>0</v>
          </cell>
          <cell r="L72" t="str">
            <v>旧品加工</v>
          </cell>
          <cell r="M72">
            <v>9</v>
          </cell>
          <cell r="O72">
            <v>139</v>
          </cell>
          <cell r="T72" t="str">
            <v>000000000006650</v>
          </cell>
        </row>
        <row r="73">
          <cell r="C73">
            <v>2</v>
          </cell>
          <cell r="G73" t="str">
            <v/>
          </cell>
          <cell r="K73">
            <v>0</v>
          </cell>
          <cell r="L73" t="str">
            <v>持出端材</v>
          </cell>
          <cell r="M73">
            <v>136</v>
          </cell>
          <cell r="O73" t="str">
            <v>C/M</v>
          </cell>
          <cell r="T73" t="str">
            <v>000000000006650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M74">
            <v>3</v>
          </cell>
          <cell r="O74" t="str">
            <v>T</v>
          </cell>
          <cell r="P74">
            <v>8</v>
          </cell>
          <cell r="T74" t="str">
            <v>000000000006650</v>
          </cell>
        </row>
        <row r="75">
          <cell r="C75" t="str">
            <v>8FL281304 4810　L=297</v>
          </cell>
          <cell r="I75">
            <v>0</v>
          </cell>
          <cell r="J75">
            <v>0</v>
          </cell>
          <cell r="K75">
            <v>0</v>
          </cell>
          <cell r="L75">
            <v>45904</v>
          </cell>
          <cell r="M75">
            <v>1</v>
          </cell>
          <cell r="O75">
            <v>45904</v>
          </cell>
          <cell r="T75" t="str">
            <v>000000000006651</v>
          </cell>
        </row>
        <row r="76">
          <cell r="D76">
            <v>45904</v>
          </cell>
          <cell r="E76" t="str">
            <v>25H29-06</v>
          </cell>
          <cell r="F76">
            <v>28</v>
          </cell>
          <cell r="G76">
            <v>297.14999999999998</v>
          </cell>
          <cell r="H76">
            <v>297.24</v>
          </cell>
          <cell r="I76" t="str">
            <v>25H29-06</v>
          </cell>
          <cell r="K76">
            <v>0</v>
          </cell>
          <cell r="O76">
            <v>100</v>
          </cell>
          <cell r="T76" t="str">
            <v>000000000006651</v>
          </cell>
        </row>
        <row r="77">
          <cell r="C77">
            <v>100</v>
          </cell>
          <cell r="D77">
            <v>45904</v>
          </cell>
          <cell r="E77" t="str">
            <v>25H29-06</v>
          </cell>
          <cell r="F77">
            <v>28</v>
          </cell>
          <cell r="G77">
            <v>297.14999999999998</v>
          </cell>
          <cell r="H77">
            <v>297.26</v>
          </cell>
          <cell r="K77">
            <v>0</v>
          </cell>
          <cell r="O77">
            <v>0</v>
          </cell>
          <cell r="T77" t="str">
            <v>000000000006651</v>
          </cell>
        </row>
        <row r="78">
          <cell r="G78" t="str">
            <v/>
          </cell>
          <cell r="K78">
            <v>0</v>
          </cell>
          <cell r="O78">
            <v>0</v>
          </cell>
          <cell r="T78" t="str">
            <v>000000000006651</v>
          </cell>
        </row>
        <row r="79">
          <cell r="C79">
            <v>6</v>
          </cell>
          <cell r="G79" t="str">
            <v/>
          </cell>
          <cell r="K79">
            <v>0</v>
          </cell>
          <cell r="O79">
            <v>0</v>
          </cell>
          <cell r="T79" t="str">
            <v>000000000006651</v>
          </cell>
        </row>
        <row r="80">
          <cell r="C80" t="str">
            <v>LED-A300</v>
          </cell>
          <cell r="G80" t="str">
            <v/>
          </cell>
          <cell r="K80">
            <v>0</v>
          </cell>
          <cell r="L80" t="str">
            <v>旧品加工</v>
          </cell>
          <cell r="O80">
            <v>100</v>
          </cell>
          <cell r="T80" t="str">
            <v>000000000006651</v>
          </cell>
        </row>
        <row r="81">
          <cell r="C81">
            <v>1</v>
          </cell>
          <cell r="G81" t="str">
            <v/>
          </cell>
          <cell r="K81">
            <v>0</v>
          </cell>
          <cell r="L81" t="str">
            <v>持出端材</v>
          </cell>
          <cell r="M81">
            <v>100</v>
          </cell>
          <cell r="O81" t="str">
            <v>C</v>
          </cell>
          <cell r="T81" t="str">
            <v>000000000006651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M82">
            <v>0</v>
          </cell>
          <cell r="O82" t="str">
            <v>T</v>
          </cell>
          <cell r="P82">
            <v>0</v>
          </cell>
          <cell r="T82" t="str">
            <v>000000000006651</v>
          </cell>
        </row>
        <row r="83">
          <cell r="C83" t="str">
            <v>採光ルーバーパネルB　L=1996</v>
          </cell>
          <cell r="D83">
            <v>45869</v>
          </cell>
          <cell r="E83" t="str">
            <v>25G18-03</v>
          </cell>
          <cell r="I83" t="str">
            <v>25G18-03</v>
          </cell>
          <cell r="J83">
            <v>12</v>
          </cell>
          <cell r="K83">
            <v>12</v>
          </cell>
          <cell r="L83">
            <v>45904</v>
          </cell>
          <cell r="M83">
            <v>3</v>
          </cell>
          <cell r="O83">
            <v>45905</v>
          </cell>
          <cell r="P83">
            <v>19</v>
          </cell>
          <cell r="T83" t="str">
            <v>000000000006531</v>
          </cell>
        </row>
        <row r="84">
          <cell r="D84">
            <v>45904</v>
          </cell>
          <cell r="E84" t="str">
            <v>25H29-01</v>
          </cell>
          <cell r="F84">
            <v>30</v>
          </cell>
          <cell r="G84">
            <v>1997.3</v>
          </cell>
          <cell r="H84">
            <v>1998</v>
          </cell>
          <cell r="I84" t="str">
            <v>25H29-01</v>
          </cell>
          <cell r="J84">
            <v>300</v>
          </cell>
          <cell r="K84">
            <v>300</v>
          </cell>
          <cell r="L84">
            <v>45905</v>
          </cell>
          <cell r="M84">
            <v>10</v>
          </cell>
          <cell r="O84">
            <v>546</v>
          </cell>
          <cell r="P84">
            <v>47</v>
          </cell>
          <cell r="T84" t="str">
            <v>000000000006531</v>
          </cell>
        </row>
        <row r="85">
          <cell r="C85">
            <v>546</v>
          </cell>
          <cell r="D85">
            <v>45904</v>
          </cell>
          <cell r="E85" t="str">
            <v>25H29-01</v>
          </cell>
          <cell r="F85">
            <v>28</v>
          </cell>
          <cell r="G85">
            <v>1997.04</v>
          </cell>
          <cell r="H85">
            <v>1997.7</v>
          </cell>
          <cell r="I85" t="str">
            <v>25H29-02</v>
          </cell>
          <cell r="J85">
            <v>300</v>
          </cell>
          <cell r="K85">
            <v>300</v>
          </cell>
          <cell r="O85">
            <v>612</v>
          </cell>
          <cell r="T85" t="str">
            <v>000000000006531</v>
          </cell>
        </row>
        <row r="86">
          <cell r="D86">
            <v>45904</v>
          </cell>
          <cell r="E86" t="str">
            <v>25H29-02</v>
          </cell>
          <cell r="F86">
            <v>28</v>
          </cell>
          <cell r="G86">
            <v>1997.04</v>
          </cell>
          <cell r="H86">
            <v>1997.7</v>
          </cell>
          <cell r="K86">
            <v>0</v>
          </cell>
          <cell r="O86">
            <v>66</v>
          </cell>
          <cell r="T86" t="str">
            <v>000000000006531</v>
          </cell>
        </row>
        <row r="87">
          <cell r="C87">
            <v>1</v>
          </cell>
          <cell r="D87">
            <v>45905</v>
          </cell>
          <cell r="E87" t="str">
            <v>25H29-02</v>
          </cell>
          <cell r="F87">
            <v>26</v>
          </cell>
          <cell r="G87">
            <v>1996.78</v>
          </cell>
          <cell r="H87">
            <v>1997.6</v>
          </cell>
          <cell r="K87">
            <v>0</v>
          </cell>
          <cell r="O87">
            <v>66</v>
          </cell>
          <cell r="T87" t="str">
            <v>000000000006531</v>
          </cell>
        </row>
        <row r="88">
          <cell r="C88" t="str">
            <v>上-1</v>
          </cell>
          <cell r="D88">
            <v>45905</v>
          </cell>
          <cell r="E88" t="str">
            <v>25H29-02</v>
          </cell>
          <cell r="F88">
            <v>26</v>
          </cell>
          <cell r="G88">
            <v>1996.78</v>
          </cell>
          <cell r="H88">
            <v>1997.4</v>
          </cell>
          <cell r="K88">
            <v>0</v>
          </cell>
          <cell r="L88" t="str">
            <v>旧品加工</v>
          </cell>
          <cell r="M88">
            <v>12</v>
          </cell>
          <cell r="O88">
            <v>0</v>
          </cell>
          <cell r="T88" t="str">
            <v>000000000006531</v>
          </cell>
        </row>
        <row r="89">
          <cell r="C89">
            <v>13</v>
          </cell>
          <cell r="G89" t="str">
            <v/>
          </cell>
          <cell r="K89">
            <v>0</v>
          </cell>
          <cell r="L89" t="str">
            <v>持出端材</v>
          </cell>
          <cell r="O89" t="str">
            <v>C/M</v>
          </cell>
          <cell r="T89" t="str">
            <v>000000000006531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M90">
            <v>0</v>
          </cell>
          <cell r="O90" t="str">
            <v>U/T</v>
          </cell>
          <cell r="P90">
            <v>66</v>
          </cell>
          <cell r="T90" t="str">
            <v>000000000006531</v>
          </cell>
        </row>
        <row r="91">
          <cell r="C91" t="str">
            <v>灯具カバーPC IN 2090　L=840</v>
          </cell>
          <cell r="D91">
            <v>45881</v>
          </cell>
          <cell r="E91" t="str">
            <v>25G30-01</v>
          </cell>
          <cell r="I91" t="str">
            <v>25G30-01</v>
          </cell>
          <cell r="J91">
            <v>7</v>
          </cell>
          <cell r="K91">
            <v>7</v>
          </cell>
          <cell r="L91">
            <v>45905</v>
          </cell>
          <cell r="M91">
            <v>1</v>
          </cell>
          <cell r="O91">
            <v>45905</v>
          </cell>
          <cell r="P91">
            <v>5</v>
          </cell>
          <cell r="T91" t="str">
            <v>000000000006735</v>
          </cell>
        </row>
        <row r="92">
          <cell r="D92">
            <v>45905</v>
          </cell>
          <cell r="E92" t="str">
            <v>25I04-01</v>
          </cell>
          <cell r="G92" t="str">
            <v/>
          </cell>
          <cell r="I92" t="str">
            <v>25I04-01</v>
          </cell>
          <cell r="J92">
            <v>14</v>
          </cell>
          <cell r="K92">
            <v>14</v>
          </cell>
          <cell r="O92">
            <v>16</v>
          </cell>
          <cell r="T92" t="str">
            <v>000000000006735</v>
          </cell>
        </row>
        <row r="93">
          <cell r="C93">
            <v>16</v>
          </cell>
          <cell r="G93" t="str">
            <v/>
          </cell>
          <cell r="K93">
            <v>0</v>
          </cell>
          <cell r="O93">
            <v>21</v>
          </cell>
          <cell r="T93" t="str">
            <v>000000000006735</v>
          </cell>
        </row>
        <row r="94">
          <cell r="G94" t="str">
            <v/>
          </cell>
          <cell r="K94">
            <v>0</v>
          </cell>
          <cell r="O94">
            <v>5</v>
          </cell>
          <cell r="T94" t="str">
            <v>000000000006735</v>
          </cell>
        </row>
        <row r="95">
          <cell r="C95">
            <v>1</v>
          </cell>
          <cell r="G95" t="str">
            <v/>
          </cell>
          <cell r="K95">
            <v>0</v>
          </cell>
          <cell r="O95">
            <v>5</v>
          </cell>
          <cell r="T95" t="str">
            <v>000000000006735</v>
          </cell>
        </row>
        <row r="96">
          <cell r="C96" t="str">
            <v>灯具-2　L＝1996</v>
          </cell>
          <cell r="G96" t="str">
            <v/>
          </cell>
          <cell r="K96">
            <v>0</v>
          </cell>
          <cell r="L96" t="str">
            <v>旧品加工</v>
          </cell>
          <cell r="M96">
            <v>7</v>
          </cell>
          <cell r="O96">
            <v>0</v>
          </cell>
          <cell r="T96" t="str">
            <v>000000000006735</v>
          </cell>
        </row>
        <row r="97">
          <cell r="C97">
            <v>0.5</v>
          </cell>
          <cell r="G97" t="str">
            <v/>
          </cell>
          <cell r="K97">
            <v>0</v>
          </cell>
          <cell r="L97" t="str">
            <v>持出端材</v>
          </cell>
          <cell r="O97" t="str">
            <v>-</v>
          </cell>
          <cell r="T97" t="str">
            <v>000000000006735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M98">
            <v>0</v>
          </cell>
          <cell r="O98" t="str">
            <v>M</v>
          </cell>
          <cell r="P98">
            <v>5</v>
          </cell>
          <cell r="T98" t="str">
            <v>000000000006735</v>
          </cell>
        </row>
        <row r="99">
          <cell r="C99" t="str">
            <v>灯具カバーPC IN 2090　L=840</v>
          </cell>
          <cell r="I99">
            <v>0</v>
          </cell>
          <cell r="J99">
            <v>0</v>
          </cell>
          <cell r="K99">
            <v>0</v>
          </cell>
          <cell r="L99">
            <v>45908</v>
          </cell>
          <cell r="M99">
            <v>10</v>
          </cell>
          <cell r="O99">
            <v>45908</v>
          </cell>
          <cell r="P99">
            <v>3</v>
          </cell>
          <cell r="T99" t="str">
            <v>000000000006736</v>
          </cell>
        </row>
        <row r="100">
          <cell r="D100">
            <v>45908</v>
          </cell>
          <cell r="E100" t="str">
            <v>25I04-01</v>
          </cell>
          <cell r="G100" t="str">
            <v/>
          </cell>
          <cell r="I100" t="str">
            <v>25I04-01</v>
          </cell>
          <cell r="J100">
            <v>175</v>
          </cell>
          <cell r="K100">
            <v>175</v>
          </cell>
          <cell r="O100">
            <v>160</v>
          </cell>
          <cell r="P100">
            <v>12</v>
          </cell>
          <cell r="T100" t="str">
            <v>000000000006736</v>
          </cell>
        </row>
        <row r="101">
          <cell r="C101">
            <v>160</v>
          </cell>
          <cell r="G101" t="str">
            <v/>
          </cell>
          <cell r="K101">
            <v>0</v>
          </cell>
          <cell r="O101">
            <v>175</v>
          </cell>
          <cell r="T101" t="str">
            <v>000000000006736</v>
          </cell>
        </row>
        <row r="102">
          <cell r="G102" t="str">
            <v/>
          </cell>
          <cell r="K102">
            <v>0</v>
          </cell>
          <cell r="O102">
            <v>15</v>
          </cell>
          <cell r="T102" t="str">
            <v>000000000006736</v>
          </cell>
        </row>
        <row r="103">
          <cell r="C103">
            <v>1</v>
          </cell>
          <cell r="G103" t="str">
            <v/>
          </cell>
          <cell r="K103">
            <v>0</v>
          </cell>
          <cell r="O103">
            <v>15</v>
          </cell>
          <cell r="T103" t="str">
            <v>000000000006736</v>
          </cell>
        </row>
        <row r="104">
          <cell r="C104" t="str">
            <v>灯具-2　L＝1996</v>
          </cell>
          <cell r="G104" t="str">
            <v/>
          </cell>
          <cell r="K104">
            <v>0</v>
          </cell>
          <cell r="L104" t="str">
            <v>旧品加工</v>
          </cell>
          <cell r="O104">
            <v>0</v>
          </cell>
          <cell r="T104" t="str">
            <v>000000000006736</v>
          </cell>
        </row>
        <row r="105">
          <cell r="C105">
            <v>5</v>
          </cell>
          <cell r="G105" t="str">
            <v/>
          </cell>
          <cell r="K105">
            <v>0</v>
          </cell>
          <cell r="L105" t="str">
            <v>持出端材</v>
          </cell>
          <cell r="O105" t="str">
            <v>-</v>
          </cell>
          <cell r="T105" t="str">
            <v>000000000006736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M106">
            <v>0</v>
          </cell>
          <cell r="O106" t="str">
            <v>M/T</v>
          </cell>
          <cell r="P106">
            <v>15</v>
          </cell>
          <cell r="T106" t="str">
            <v>000000000006736</v>
          </cell>
        </row>
        <row r="107">
          <cell r="C107" t="str">
            <v>灯具カバーPC IN 2070　L=1966</v>
          </cell>
          <cell r="D107">
            <v>45887</v>
          </cell>
          <cell r="E107" t="str">
            <v>25H01-01</v>
          </cell>
          <cell r="I107" t="str">
            <v>25H01-01</v>
          </cell>
          <cell r="J107">
            <v>14</v>
          </cell>
          <cell r="K107">
            <v>14</v>
          </cell>
          <cell r="L107">
            <v>45908</v>
          </cell>
          <cell r="M107">
            <v>4</v>
          </cell>
          <cell r="O107">
            <v>45909</v>
          </cell>
          <cell r="P107">
            <v>5</v>
          </cell>
          <cell r="T107" t="str">
            <v>000000000006734</v>
          </cell>
        </row>
        <row r="108">
          <cell r="D108">
            <v>45908</v>
          </cell>
          <cell r="E108" t="str">
            <v>25I05-01</v>
          </cell>
          <cell r="G108" t="str">
            <v/>
          </cell>
          <cell r="I108" t="str">
            <v>25I05-01</v>
          </cell>
          <cell r="J108">
            <v>185</v>
          </cell>
          <cell r="K108">
            <v>185</v>
          </cell>
          <cell r="L108">
            <v>45909</v>
          </cell>
          <cell r="M108">
            <v>4</v>
          </cell>
          <cell r="O108">
            <v>128</v>
          </cell>
          <cell r="P108">
            <v>64</v>
          </cell>
          <cell r="T108" t="str">
            <v>000000000006734</v>
          </cell>
        </row>
        <row r="109">
          <cell r="C109">
            <v>128</v>
          </cell>
          <cell r="D109">
            <v>45909</v>
          </cell>
          <cell r="E109" t="str">
            <v>25I05-01</v>
          </cell>
          <cell r="G109" t="str">
            <v/>
          </cell>
          <cell r="K109">
            <v>0</v>
          </cell>
          <cell r="O109">
            <v>199</v>
          </cell>
          <cell r="T109" t="str">
            <v>000000000006734</v>
          </cell>
        </row>
        <row r="110">
          <cell r="G110" t="str">
            <v/>
          </cell>
          <cell r="K110">
            <v>0</v>
          </cell>
          <cell r="O110">
            <v>71</v>
          </cell>
          <cell r="T110" t="str">
            <v>000000000006734</v>
          </cell>
        </row>
        <row r="111">
          <cell r="C111">
            <v>1</v>
          </cell>
          <cell r="G111" t="str">
            <v/>
          </cell>
          <cell r="K111">
            <v>0</v>
          </cell>
          <cell r="O111">
            <v>71</v>
          </cell>
          <cell r="T111" t="str">
            <v>000000000006734</v>
          </cell>
        </row>
        <row r="112">
          <cell r="C112" t="str">
            <v>灯具-2　L＝1996</v>
          </cell>
          <cell r="G112" t="str">
            <v/>
          </cell>
          <cell r="K112">
            <v>0</v>
          </cell>
          <cell r="L112" t="str">
            <v>旧品加工</v>
          </cell>
          <cell r="M112">
            <v>14</v>
          </cell>
          <cell r="O112">
            <v>0</v>
          </cell>
          <cell r="P112">
            <v>2</v>
          </cell>
          <cell r="T112" t="str">
            <v>000000000006734</v>
          </cell>
        </row>
        <row r="113">
          <cell r="C113">
            <v>8</v>
          </cell>
          <cell r="G113" t="str">
            <v/>
          </cell>
          <cell r="K113">
            <v>0</v>
          </cell>
          <cell r="L113" t="str">
            <v>持出端材</v>
          </cell>
          <cell r="O113" t="str">
            <v>-</v>
          </cell>
          <cell r="T113" t="str">
            <v>000000000006734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M114">
            <v>0</v>
          </cell>
          <cell r="O114" t="str">
            <v>C/M/T</v>
          </cell>
          <cell r="P114">
            <v>71</v>
          </cell>
          <cell r="T114" t="str">
            <v>000000000006734</v>
          </cell>
        </row>
        <row r="115">
          <cell r="C115" t="str">
            <v>8FL281304 4910　L=592</v>
          </cell>
          <cell r="D115">
            <v>45898</v>
          </cell>
          <cell r="E115" t="str">
            <v>25H26-02</v>
          </cell>
          <cell r="I115" t="str">
            <v>25H26-02</v>
          </cell>
          <cell r="J115">
            <v>3</v>
          </cell>
          <cell r="K115">
            <v>1</v>
          </cell>
          <cell r="L115">
            <v>45909</v>
          </cell>
          <cell r="M115">
            <v>3</v>
          </cell>
          <cell r="O115">
            <v>45909</v>
          </cell>
          <cell r="P115">
            <v>1</v>
          </cell>
          <cell r="T115" t="str">
            <v>000000000006654</v>
          </cell>
        </row>
        <row r="116">
          <cell r="D116">
            <v>45909</v>
          </cell>
          <cell r="E116" t="str">
            <v>25I05-02</v>
          </cell>
          <cell r="F116">
            <v>30</v>
          </cell>
          <cell r="G116">
            <v>591.88</v>
          </cell>
          <cell r="H116">
            <v>591.72</v>
          </cell>
          <cell r="I116" t="str">
            <v>25I05-02</v>
          </cell>
          <cell r="J116">
            <v>296</v>
          </cell>
          <cell r="K116">
            <v>99</v>
          </cell>
          <cell r="O116">
            <v>300</v>
          </cell>
          <cell r="T116" t="str">
            <v>000000000006654</v>
          </cell>
        </row>
        <row r="117">
          <cell r="C117">
            <v>300</v>
          </cell>
          <cell r="D117">
            <v>45909</v>
          </cell>
          <cell r="E117" t="str">
            <v>25I05-02</v>
          </cell>
          <cell r="F117">
            <v>30</v>
          </cell>
          <cell r="G117">
            <v>591.88</v>
          </cell>
          <cell r="H117">
            <v>591.82000000000005</v>
          </cell>
          <cell r="K117">
            <v>0</v>
          </cell>
          <cell r="O117">
            <v>100</v>
          </cell>
          <cell r="T117" t="str">
            <v>000000000006654</v>
          </cell>
        </row>
        <row r="118">
          <cell r="G118" t="str">
            <v/>
          </cell>
          <cell r="K118">
            <v>0</v>
          </cell>
          <cell r="O118">
            <v>1</v>
          </cell>
          <cell r="T118" t="str">
            <v>000000000006654</v>
          </cell>
        </row>
        <row r="119">
          <cell r="C119">
            <v>3</v>
          </cell>
          <cell r="G119" t="str">
            <v/>
          </cell>
          <cell r="K119">
            <v>0</v>
          </cell>
          <cell r="O119">
            <v>1</v>
          </cell>
          <cell r="T119" t="str">
            <v>000000000006654</v>
          </cell>
        </row>
        <row r="120">
          <cell r="C120" t="str">
            <v>LED-A592</v>
          </cell>
          <cell r="G120" t="str">
            <v/>
          </cell>
          <cell r="K120">
            <v>0</v>
          </cell>
          <cell r="L120" t="str">
            <v>旧品加工</v>
          </cell>
          <cell r="M120">
            <v>4</v>
          </cell>
          <cell r="O120">
            <v>1</v>
          </cell>
          <cell r="T120" t="str">
            <v>000000000006654</v>
          </cell>
        </row>
        <row r="121">
          <cell r="C121">
            <v>3</v>
          </cell>
          <cell r="G121" t="str">
            <v/>
          </cell>
          <cell r="K121">
            <v>0</v>
          </cell>
          <cell r="L121" t="str">
            <v>持出端材</v>
          </cell>
          <cell r="O121" t="str">
            <v>C</v>
          </cell>
          <cell r="T121" t="str">
            <v>000000000006654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M122">
            <v>1</v>
          </cell>
          <cell r="O122" t="str">
            <v>T</v>
          </cell>
          <cell r="P122">
            <v>1</v>
          </cell>
          <cell r="T122" t="str">
            <v>000000000006654</v>
          </cell>
        </row>
        <row r="123">
          <cell r="C123" t="str">
            <v>8FL281304 8110　L=444</v>
          </cell>
          <cell r="E123" t="str">
            <v>25G24-06</v>
          </cell>
          <cell r="I123" t="str">
            <v>25G24-06</v>
          </cell>
          <cell r="J123">
            <v>12</v>
          </cell>
          <cell r="K123">
            <v>3</v>
          </cell>
          <cell r="L123">
            <v>45909</v>
          </cell>
          <cell r="M123">
            <v>1</v>
          </cell>
          <cell r="O123">
            <v>45909</v>
          </cell>
          <cell r="T123" t="str">
            <v>000000000006669</v>
          </cell>
        </row>
        <row r="124">
          <cell r="D124">
            <v>45909</v>
          </cell>
          <cell r="E124" t="str">
            <v>25I05-02</v>
          </cell>
          <cell r="F124">
            <v>30</v>
          </cell>
          <cell r="G124">
            <v>443.79</v>
          </cell>
          <cell r="H124">
            <v>443.53</v>
          </cell>
          <cell r="I124" t="str">
            <v>25I05-02</v>
          </cell>
          <cell r="J124">
            <v>86</v>
          </cell>
          <cell r="K124">
            <v>22</v>
          </cell>
          <cell r="O124">
            <v>100</v>
          </cell>
          <cell r="T124" t="str">
            <v>000000000006669</v>
          </cell>
        </row>
        <row r="125">
          <cell r="C125">
            <v>100</v>
          </cell>
          <cell r="D125">
            <v>45909</v>
          </cell>
          <cell r="E125" t="str">
            <v>25I05-02</v>
          </cell>
          <cell r="F125">
            <v>30</v>
          </cell>
          <cell r="G125">
            <v>443.79</v>
          </cell>
          <cell r="H125">
            <v>443.52</v>
          </cell>
          <cell r="K125">
            <v>0</v>
          </cell>
          <cell r="O125">
            <v>25</v>
          </cell>
          <cell r="T125" t="str">
            <v>000000000006669</v>
          </cell>
        </row>
        <row r="126">
          <cell r="G126" t="str">
            <v/>
          </cell>
          <cell r="K126">
            <v>0</v>
          </cell>
          <cell r="O126">
            <v>0</v>
          </cell>
          <cell r="T126" t="str">
            <v>000000000006669</v>
          </cell>
        </row>
        <row r="127">
          <cell r="C127">
            <v>4</v>
          </cell>
          <cell r="G127" t="str">
            <v/>
          </cell>
          <cell r="K127">
            <v>0</v>
          </cell>
          <cell r="O127">
            <v>0</v>
          </cell>
          <cell r="T127" t="str">
            <v>000000000006669</v>
          </cell>
        </row>
        <row r="128">
          <cell r="C128" t="str">
            <v>LED-A444</v>
          </cell>
          <cell r="G128" t="str">
            <v/>
          </cell>
          <cell r="K128">
            <v>0</v>
          </cell>
          <cell r="L128" t="str">
            <v>旧品加工</v>
          </cell>
          <cell r="M128">
            <v>13</v>
          </cell>
          <cell r="O128">
            <v>1</v>
          </cell>
          <cell r="T128" t="str">
            <v>000000000006669</v>
          </cell>
        </row>
        <row r="129">
          <cell r="C129">
            <v>1</v>
          </cell>
          <cell r="G129" t="str">
            <v/>
          </cell>
          <cell r="K129">
            <v>0</v>
          </cell>
          <cell r="L129" t="str">
            <v>持出端材</v>
          </cell>
          <cell r="O129" t="str">
            <v>C</v>
          </cell>
          <cell r="T129" t="str">
            <v>000000000006669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M130">
            <v>1</v>
          </cell>
          <cell r="O130" t="str">
            <v>T</v>
          </cell>
          <cell r="P130">
            <v>0</v>
          </cell>
          <cell r="T130" t="str">
            <v>000000000006669</v>
          </cell>
        </row>
        <row r="131">
          <cell r="C131" t="str">
            <v>8FL281304 4810　L=297</v>
          </cell>
          <cell r="D131">
            <v>45904</v>
          </cell>
          <cell r="E131" t="str">
            <v>25H26-02</v>
          </cell>
          <cell r="I131" t="str">
            <v>25H26-02</v>
          </cell>
          <cell r="J131">
            <v>12</v>
          </cell>
          <cell r="K131">
            <v>2</v>
          </cell>
          <cell r="L131">
            <v>45909</v>
          </cell>
          <cell r="M131">
            <v>3</v>
          </cell>
          <cell r="O131">
            <v>45909</v>
          </cell>
          <cell r="T131" t="str">
            <v>000000000006652</v>
          </cell>
        </row>
        <row r="132">
          <cell r="D132">
            <v>45909</v>
          </cell>
          <cell r="E132" t="str">
            <v>25I05-02</v>
          </cell>
          <cell r="F132">
            <v>30</v>
          </cell>
          <cell r="G132">
            <v>297.19</v>
          </cell>
          <cell r="H132">
            <v>297.11</v>
          </cell>
          <cell r="I132" t="str">
            <v>25I05-02</v>
          </cell>
          <cell r="J132">
            <v>280</v>
          </cell>
          <cell r="K132">
            <v>47</v>
          </cell>
          <cell r="O132">
            <v>300</v>
          </cell>
          <cell r="T132" t="str">
            <v>000000000006652</v>
          </cell>
        </row>
        <row r="133">
          <cell r="C133">
            <v>300</v>
          </cell>
          <cell r="D133">
            <v>45909</v>
          </cell>
          <cell r="E133" t="str">
            <v>25I05-02</v>
          </cell>
          <cell r="F133">
            <v>30</v>
          </cell>
          <cell r="G133">
            <v>297.19</v>
          </cell>
          <cell r="H133">
            <v>297.19</v>
          </cell>
          <cell r="K133">
            <v>0</v>
          </cell>
          <cell r="O133">
            <v>49</v>
          </cell>
          <cell r="T133" t="str">
            <v>000000000006652</v>
          </cell>
        </row>
        <row r="134">
          <cell r="G134" t="str">
            <v/>
          </cell>
          <cell r="K134">
            <v>0</v>
          </cell>
          <cell r="O134">
            <v>0</v>
          </cell>
          <cell r="T134" t="str">
            <v>000000000006652</v>
          </cell>
        </row>
        <row r="135">
          <cell r="C135">
            <v>6</v>
          </cell>
          <cell r="G135" t="str">
            <v/>
          </cell>
          <cell r="K135">
            <v>0</v>
          </cell>
          <cell r="O135">
            <v>0</v>
          </cell>
          <cell r="T135" t="str">
            <v>000000000006652</v>
          </cell>
        </row>
        <row r="136">
          <cell r="C136" t="str">
            <v>LED-A300</v>
          </cell>
          <cell r="G136" t="str">
            <v/>
          </cell>
          <cell r="K136">
            <v>0</v>
          </cell>
          <cell r="L136" t="str">
            <v>旧品加工</v>
          </cell>
          <cell r="M136">
            <v>12</v>
          </cell>
          <cell r="O136">
            <v>8</v>
          </cell>
          <cell r="T136" t="str">
            <v>000000000006652</v>
          </cell>
        </row>
        <row r="137">
          <cell r="C137">
            <v>3</v>
          </cell>
          <cell r="G137" t="str">
            <v/>
          </cell>
          <cell r="K137">
            <v>0</v>
          </cell>
          <cell r="L137" t="str">
            <v>持出端材</v>
          </cell>
          <cell r="M137">
            <v>8</v>
          </cell>
          <cell r="O137" t="str">
            <v>C/M</v>
          </cell>
          <cell r="T137" t="str">
            <v>000000000006652</v>
          </cell>
        </row>
        <row r="138">
          <cell r="G138" t="str">
            <v/>
          </cell>
          <cell r="K138">
            <v>0</v>
          </cell>
          <cell r="L138" t="str">
            <v>α端材</v>
          </cell>
          <cell r="M138">
            <v>0</v>
          </cell>
          <cell r="O138" t="str">
            <v>T/U</v>
          </cell>
          <cell r="P138">
            <v>0</v>
          </cell>
          <cell r="T138" t="str">
            <v>000000000006652</v>
          </cell>
        </row>
        <row r="139">
          <cell r="C139" t="str">
            <v>8FL281304 5010　L=888</v>
          </cell>
          <cell r="D139">
            <v>45902</v>
          </cell>
          <cell r="E139" t="str">
            <v>25H27-03</v>
          </cell>
          <cell r="I139" t="str">
            <v>25H27-03</v>
          </cell>
          <cell r="J139">
            <v>10</v>
          </cell>
          <cell r="K139">
            <v>5</v>
          </cell>
          <cell r="L139">
            <v>45909</v>
          </cell>
          <cell r="M139">
            <v>1</v>
          </cell>
          <cell r="O139">
            <v>45911</v>
          </cell>
          <cell r="P139">
            <v>10</v>
          </cell>
          <cell r="T139" t="str">
            <v>000000000006663-2</v>
          </cell>
        </row>
        <row r="140">
          <cell r="D140">
            <v>45909</v>
          </cell>
          <cell r="E140" t="str">
            <v>25I05-02</v>
          </cell>
          <cell r="F140">
            <v>30</v>
          </cell>
          <cell r="G140">
            <v>888.58</v>
          </cell>
          <cell r="H140">
            <v>888.71</v>
          </cell>
          <cell r="I140" t="str">
            <v>25I05-02</v>
          </cell>
          <cell r="J140">
            <v>1246</v>
          </cell>
          <cell r="K140">
            <v>623</v>
          </cell>
          <cell r="L140">
            <v>45910</v>
          </cell>
          <cell r="M140">
            <v>15</v>
          </cell>
          <cell r="O140">
            <v>2000</v>
          </cell>
          <cell r="T140" t="str">
            <v>000000000006663-2</v>
          </cell>
        </row>
        <row r="141">
          <cell r="C141">
            <v>2000</v>
          </cell>
          <cell r="D141">
            <v>45909</v>
          </cell>
          <cell r="E141" t="str">
            <v>25I05-02</v>
          </cell>
          <cell r="F141">
            <v>28</v>
          </cell>
          <cell r="G141">
            <v>888.46</v>
          </cell>
          <cell r="H141">
            <v>888.73</v>
          </cell>
          <cell r="I141" t="str">
            <v>25I05-01</v>
          </cell>
          <cell r="J141">
            <v>752</v>
          </cell>
          <cell r="K141">
            <v>376</v>
          </cell>
          <cell r="L141">
            <v>45911</v>
          </cell>
          <cell r="M141">
            <v>4</v>
          </cell>
          <cell r="O141">
            <v>1004</v>
          </cell>
          <cell r="T141" t="str">
            <v>000000000006663-2</v>
          </cell>
        </row>
        <row r="142">
          <cell r="D142">
            <v>45909</v>
          </cell>
          <cell r="E142" t="str">
            <v>25I05-02</v>
          </cell>
          <cell r="F142">
            <v>28</v>
          </cell>
          <cell r="G142">
            <v>888.46</v>
          </cell>
          <cell r="H142">
            <v>888.73</v>
          </cell>
          <cell r="K142">
            <v>0</v>
          </cell>
          <cell r="O142">
            <v>5</v>
          </cell>
          <cell r="T142" t="str">
            <v>000000000006663-2</v>
          </cell>
        </row>
        <row r="143">
          <cell r="C143">
            <v>2</v>
          </cell>
          <cell r="D143">
            <v>45910</v>
          </cell>
          <cell r="E143" t="str">
            <v>25I05-02</v>
          </cell>
          <cell r="F143">
            <v>26</v>
          </cell>
          <cell r="G143">
            <v>888.35</v>
          </cell>
          <cell r="H143">
            <v>888.74</v>
          </cell>
          <cell r="K143">
            <v>0</v>
          </cell>
          <cell r="O143">
            <v>10</v>
          </cell>
          <cell r="T143" t="str">
            <v>000000000006663-2</v>
          </cell>
        </row>
        <row r="144">
          <cell r="C144" t="str">
            <v>LED-A888</v>
          </cell>
          <cell r="D144">
            <v>45910</v>
          </cell>
          <cell r="E144" t="str">
            <v>25I05-01</v>
          </cell>
          <cell r="F144">
            <v>28</v>
          </cell>
          <cell r="G144">
            <v>888.46</v>
          </cell>
          <cell r="H144">
            <v>888.43</v>
          </cell>
          <cell r="K144">
            <v>0</v>
          </cell>
          <cell r="L144" t="str">
            <v>旧品加工</v>
          </cell>
          <cell r="M144">
            <v>11</v>
          </cell>
          <cell r="O144">
            <v>1</v>
          </cell>
          <cell r="T144" t="str">
            <v>000000000006663-2</v>
          </cell>
        </row>
        <row r="145">
          <cell r="C145">
            <v>20</v>
          </cell>
          <cell r="D145">
            <v>45910</v>
          </cell>
          <cell r="E145" t="str">
            <v>25I05-01</v>
          </cell>
          <cell r="F145">
            <v>28</v>
          </cell>
          <cell r="G145">
            <v>888.46</v>
          </cell>
          <cell r="H145">
            <v>888.43</v>
          </cell>
          <cell r="K145">
            <v>0</v>
          </cell>
          <cell r="L145" t="str">
            <v>持出端材</v>
          </cell>
          <cell r="O145" t="str">
            <v>C/M</v>
          </cell>
          <cell r="T145" t="str">
            <v>000000000006663-2</v>
          </cell>
        </row>
        <row r="146">
          <cell r="G146" t="str">
            <v/>
          </cell>
          <cell r="K146">
            <v>0</v>
          </cell>
          <cell r="L146" t="str">
            <v>α端材</v>
          </cell>
          <cell r="M146">
            <v>1</v>
          </cell>
          <cell r="O146" t="str">
            <v>T/U</v>
          </cell>
          <cell r="P146">
            <v>10</v>
          </cell>
          <cell r="T146" t="str">
            <v>000000000006663-2</v>
          </cell>
        </row>
        <row r="147">
          <cell r="C147" t="str">
            <v>8FL281304 6110　L=1478</v>
          </cell>
          <cell r="D147">
            <v>45904</v>
          </cell>
          <cell r="E147" t="str">
            <v>25H29-06</v>
          </cell>
          <cell r="I147" t="str">
            <v>25H29-06</v>
          </cell>
          <cell r="J147">
            <v>14</v>
          </cell>
          <cell r="K147">
            <v>14</v>
          </cell>
          <cell r="L147">
            <v>45911</v>
          </cell>
          <cell r="M147">
            <v>5</v>
          </cell>
          <cell r="O147">
            <v>45911</v>
          </cell>
          <cell r="P147">
            <v>6</v>
          </cell>
          <cell r="T147" t="str">
            <v>000000000006668</v>
          </cell>
        </row>
        <row r="148">
          <cell r="D148">
            <v>45910</v>
          </cell>
          <cell r="E148" t="str">
            <v>25I05-01</v>
          </cell>
          <cell r="F148">
            <v>26</v>
          </cell>
          <cell r="G148">
            <v>1478.58</v>
          </cell>
          <cell r="H148">
            <v>1478.46</v>
          </cell>
          <cell r="I148" t="str">
            <v>25I05-01</v>
          </cell>
          <cell r="J148">
            <v>420</v>
          </cell>
          <cell r="K148">
            <v>420</v>
          </cell>
          <cell r="O148">
            <v>500</v>
          </cell>
          <cell r="T148" t="str">
            <v>000000000006668</v>
          </cell>
        </row>
        <row r="149">
          <cell r="C149">
            <v>500</v>
          </cell>
          <cell r="D149">
            <v>45910</v>
          </cell>
          <cell r="E149" t="str">
            <v>25I05-01</v>
          </cell>
          <cell r="F149">
            <v>26</v>
          </cell>
          <cell r="G149">
            <v>1478.58</v>
          </cell>
          <cell r="H149">
            <v>1478.64</v>
          </cell>
          <cell r="I149" t="str">
            <v>25I06-03</v>
          </cell>
          <cell r="J149">
            <v>72</v>
          </cell>
          <cell r="K149">
            <v>72</v>
          </cell>
          <cell r="O149">
            <v>506</v>
          </cell>
          <cell r="T149" t="str">
            <v>000000000006668</v>
          </cell>
        </row>
        <row r="150">
          <cell r="D150">
            <v>45911</v>
          </cell>
          <cell r="E150" t="str">
            <v>25I06-03</v>
          </cell>
          <cell r="F150">
            <v>26</v>
          </cell>
          <cell r="G150">
            <v>1478.58</v>
          </cell>
          <cell r="H150">
            <v>1478.85</v>
          </cell>
          <cell r="K150">
            <v>0</v>
          </cell>
          <cell r="O150">
            <v>6</v>
          </cell>
          <cell r="T150" t="str">
            <v>000000000006668</v>
          </cell>
        </row>
        <row r="151">
          <cell r="C151">
            <v>1</v>
          </cell>
          <cell r="D151">
            <v>45911</v>
          </cell>
          <cell r="E151" t="str">
            <v>25I06-03</v>
          </cell>
          <cell r="F151">
            <v>26</v>
          </cell>
          <cell r="G151">
            <v>1478.58</v>
          </cell>
          <cell r="H151">
            <v>1478.74</v>
          </cell>
          <cell r="K151">
            <v>0</v>
          </cell>
          <cell r="O151">
            <v>6</v>
          </cell>
          <cell r="T151" t="str">
            <v>000000000006668</v>
          </cell>
        </row>
        <row r="152">
          <cell r="C152" t="str">
            <v>LED-A1478</v>
          </cell>
          <cell r="G152" t="str">
            <v/>
          </cell>
          <cell r="K152">
            <v>0</v>
          </cell>
          <cell r="L152" t="str">
            <v>旧品加工</v>
          </cell>
          <cell r="M152">
            <v>14</v>
          </cell>
          <cell r="O152">
            <v>0</v>
          </cell>
          <cell r="T152" t="str">
            <v>000000000006668</v>
          </cell>
        </row>
        <row r="153">
          <cell r="C153">
            <v>2</v>
          </cell>
          <cell r="G153" t="str">
            <v/>
          </cell>
          <cell r="K153">
            <v>0</v>
          </cell>
          <cell r="L153" t="str">
            <v>持出端材</v>
          </cell>
          <cell r="O153" t="str">
            <v>C/M</v>
          </cell>
          <cell r="T153" t="str">
            <v>000000000006668</v>
          </cell>
        </row>
        <row r="154">
          <cell r="G154" t="str">
            <v/>
          </cell>
          <cell r="K154">
            <v>0</v>
          </cell>
          <cell r="L154" t="str">
            <v>α端材</v>
          </cell>
          <cell r="M154">
            <v>0</v>
          </cell>
          <cell r="O154" t="str">
            <v>T/U</v>
          </cell>
          <cell r="P154">
            <v>6</v>
          </cell>
          <cell r="T154" t="str">
            <v>000000000006668</v>
          </cell>
        </row>
        <row r="155">
          <cell r="C155" t="str">
            <v>8FL281304 8310　L=748</v>
          </cell>
          <cell r="D155">
            <v>45898</v>
          </cell>
          <cell r="E155" t="str">
            <v>25H26-02</v>
          </cell>
          <cell r="I155" t="str">
            <v>25H26-02</v>
          </cell>
          <cell r="J155">
            <v>8</v>
          </cell>
          <cell r="K155">
            <v>4</v>
          </cell>
          <cell r="L155">
            <v>45911</v>
          </cell>
          <cell r="M155">
            <v>2</v>
          </cell>
          <cell r="O155">
            <v>45911</v>
          </cell>
          <cell r="T155" t="str">
            <v>000000000006670</v>
          </cell>
        </row>
        <row r="156">
          <cell r="D156">
            <v>45911</v>
          </cell>
          <cell r="E156" t="str">
            <v>25I06-03</v>
          </cell>
          <cell r="F156">
            <v>28</v>
          </cell>
          <cell r="G156">
            <v>748.39</v>
          </cell>
          <cell r="H156">
            <v>748.19</v>
          </cell>
          <cell r="I156" t="str">
            <v>25I06-03</v>
          </cell>
          <cell r="J156">
            <v>192</v>
          </cell>
          <cell r="K156">
            <v>96</v>
          </cell>
          <cell r="O156">
            <v>200</v>
          </cell>
          <cell r="T156" t="str">
            <v>000000000006670</v>
          </cell>
        </row>
        <row r="157">
          <cell r="C157">
            <v>200</v>
          </cell>
          <cell r="D157">
            <v>45911</v>
          </cell>
          <cell r="E157" t="str">
            <v>25I06-03</v>
          </cell>
          <cell r="F157">
            <v>28</v>
          </cell>
          <cell r="G157">
            <v>748.39</v>
          </cell>
          <cell r="H157">
            <v>748.26</v>
          </cell>
          <cell r="K157">
            <v>0</v>
          </cell>
          <cell r="O157">
            <v>100</v>
          </cell>
          <cell r="T157" t="str">
            <v>000000000006670</v>
          </cell>
        </row>
        <row r="158">
          <cell r="G158" t="str">
            <v/>
          </cell>
          <cell r="K158">
            <v>0</v>
          </cell>
          <cell r="O158">
            <v>0</v>
          </cell>
          <cell r="T158" t="str">
            <v>000000000006670</v>
          </cell>
        </row>
        <row r="159">
          <cell r="C159">
            <v>2</v>
          </cell>
          <cell r="G159" t="str">
            <v/>
          </cell>
          <cell r="K159">
            <v>0</v>
          </cell>
          <cell r="O159">
            <v>0</v>
          </cell>
          <cell r="T159" t="str">
            <v>000000000006670</v>
          </cell>
        </row>
        <row r="160">
          <cell r="C160" t="str">
            <v>LED-A888</v>
          </cell>
          <cell r="G160" t="str">
            <v/>
          </cell>
          <cell r="K160">
            <v>0</v>
          </cell>
          <cell r="L160" t="str">
            <v>旧品加工</v>
          </cell>
          <cell r="M160">
            <v>8</v>
          </cell>
          <cell r="O160">
            <v>0</v>
          </cell>
          <cell r="T160" t="str">
            <v>000000000006670</v>
          </cell>
        </row>
        <row r="161">
          <cell r="C161">
            <v>2</v>
          </cell>
          <cell r="G161" t="str">
            <v/>
          </cell>
          <cell r="K161">
            <v>0</v>
          </cell>
          <cell r="L161" t="str">
            <v>持出端材</v>
          </cell>
          <cell r="O161" t="str">
            <v>C</v>
          </cell>
          <cell r="T161" t="str">
            <v>000000000006670</v>
          </cell>
        </row>
        <row r="162">
          <cell r="G162" t="str">
            <v/>
          </cell>
          <cell r="K162">
            <v>0</v>
          </cell>
          <cell r="L162" t="str">
            <v>α端材</v>
          </cell>
          <cell r="M162">
            <v>0</v>
          </cell>
          <cell r="O162" t="str">
            <v>U</v>
          </cell>
          <cell r="P162">
            <v>0</v>
          </cell>
          <cell r="T162" t="str">
            <v>000000000006670</v>
          </cell>
        </row>
        <row r="163">
          <cell r="C163" t="str">
            <v>8FL281304 5010　L=888</v>
          </cell>
          <cell r="D163">
            <v>45910</v>
          </cell>
          <cell r="E163" t="str">
            <v>25I05-01</v>
          </cell>
          <cell r="I163" t="str">
            <v>25I05-01</v>
          </cell>
          <cell r="J163">
            <v>8</v>
          </cell>
          <cell r="K163">
            <v>4</v>
          </cell>
          <cell r="L163">
            <v>45911</v>
          </cell>
          <cell r="M163">
            <v>1</v>
          </cell>
          <cell r="O163">
            <v>45912</v>
          </cell>
          <cell r="P163">
            <v>3</v>
          </cell>
          <cell r="T163" t="str">
            <v>000000000006665</v>
          </cell>
        </row>
        <row r="164">
          <cell r="D164">
            <v>45911</v>
          </cell>
          <cell r="E164" t="str">
            <v>25I06-03</v>
          </cell>
          <cell r="F164">
            <v>26</v>
          </cell>
          <cell r="G164">
            <v>888.35</v>
          </cell>
          <cell r="H164">
            <v>888.18</v>
          </cell>
          <cell r="I164" t="str">
            <v>25I06-03</v>
          </cell>
          <cell r="J164">
            <v>695</v>
          </cell>
          <cell r="K164">
            <v>348</v>
          </cell>
          <cell r="L164">
            <v>45912</v>
          </cell>
          <cell r="M164">
            <v>6</v>
          </cell>
          <cell r="O164">
            <v>700</v>
          </cell>
          <cell r="T164" t="str">
            <v>000000000006665</v>
          </cell>
        </row>
        <row r="165">
          <cell r="C165">
            <v>700</v>
          </cell>
          <cell r="D165">
            <v>45911</v>
          </cell>
          <cell r="E165" t="str">
            <v>25I06-03</v>
          </cell>
          <cell r="F165">
            <v>28</v>
          </cell>
          <cell r="G165">
            <v>888.46</v>
          </cell>
          <cell r="H165">
            <v>888.34</v>
          </cell>
          <cell r="K165">
            <v>0</v>
          </cell>
          <cell r="O165">
            <v>352</v>
          </cell>
          <cell r="P165">
            <v>2</v>
          </cell>
          <cell r="T165" t="str">
            <v>000000000006665</v>
          </cell>
        </row>
        <row r="166">
          <cell r="D166">
            <v>45911</v>
          </cell>
          <cell r="E166" t="str">
            <v>25I06-03</v>
          </cell>
          <cell r="F166">
            <v>26</v>
          </cell>
          <cell r="G166">
            <v>888.35</v>
          </cell>
          <cell r="H166">
            <v>888.33</v>
          </cell>
          <cell r="K166">
            <v>0</v>
          </cell>
          <cell r="O166">
            <v>3</v>
          </cell>
          <cell r="T166" t="str">
            <v>000000000006665</v>
          </cell>
        </row>
        <row r="167">
          <cell r="C167">
            <v>2</v>
          </cell>
          <cell r="G167" t="str">
            <v/>
          </cell>
          <cell r="K167">
            <v>0</v>
          </cell>
          <cell r="O167">
            <v>5</v>
          </cell>
          <cell r="T167" t="str">
            <v>000000000006665</v>
          </cell>
        </row>
        <row r="168">
          <cell r="C168" t="str">
            <v>LED-A888</v>
          </cell>
          <cell r="G168" t="str">
            <v/>
          </cell>
          <cell r="K168">
            <v>0</v>
          </cell>
          <cell r="L168" t="str">
            <v>旧品加工</v>
          </cell>
          <cell r="M168">
            <v>9</v>
          </cell>
          <cell r="O168">
            <v>1</v>
          </cell>
          <cell r="T168" t="str">
            <v>000000000006665</v>
          </cell>
        </row>
        <row r="169">
          <cell r="C169">
            <v>7</v>
          </cell>
          <cell r="G169" t="str">
            <v/>
          </cell>
          <cell r="K169">
            <v>0</v>
          </cell>
          <cell r="L169" t="str">
            <v>持出端材</v>
          </cell>
          <cell r="O169" t="str">
            <v>C/U</v>
          </cell>
          <cell r="T169" t="str">
            <v>000000000006665</v>
          </cell>
        </row>
        <row r="170">
          <cell r="G170" t="str">
            <v/>
          </cell>
          <cell r="K170">
            <v>0</v>
          </cell>
          <cell r="L170" t="str">
            <v>α端材</v>
          </cell>
          <cell r="M170">
            <v>1</v>
          </cell>
          <cell r="O170" t="str">
            <v>T/U</v>
          </cell>
          <cell r="P170">
            <v>5</v>
          </cell>
          <cell r="T170" t="str">
            <v>000000000006665</v>
          </cell>
        </row>
        <row r="171">
          <cell r="C171" t="str">
            <v>8FL281304 5010　L=888</v>
          </cell>
          <cell r="I171">
            <v>0</v>
          </cell>
          <cell r="J171">
            <v>0</v>
          </cell>
          <cell r="K171">
            <v>0</v>
          </cell>
          <cell r="L171">
            <v>45912</v>
          </cell>
          <cell r="M171">
            <v>10</v>
          </cell>
          <cell r="O171">
            <v>45916</v>
          </cell>
          <cell r="P171">
            <v>5</v>
          </cell>
          <cell r="T171" t="str">
            <v>000000000006666</v>
          </cell>
        </row>
        <row r="172">
          <cell r="D172">
            <v>45912</v>
          </cell>
          <cell r="E172" t="str">
            <v>25I06-03</v>
          </cell>
          <cell r="F172">
            <v>26</v>
          </cell>
          <cell r="G172">
            <v>888.35</v>
          </cell>
          <cell r="H172">
            <v>888.45</v>
          </cell>
          <cell r="I172" t="str">
            <v>25I06-03</v>
          </cell>
          <cell r="J172">
            <v>568</v>
          </cell>
          <cell r="K172">
            <v>284</v>
          </cell>
          <cell r="L172">
            <v>45916</v>
          </cell>
          <cell r="M172">
            <v>10</v>
          </cell>
          <cell r="O172">
            <v>2000</v>
          </cell>
          <cell r="T172" t="str">
            <v>000000000006666</v>
          </cell>
        </row>
        <row r="173">
          <cell r="C173">
            <v>2000</v>
          </cell>
          <cell r="D173">
            <v>45912</v>
          </cell>
          <cell r="E173" t="str">
            <v>25I07-04</v>
          </cell>
          <cell r="F173">
            <v>28</v>
          </cell>
          <cell r="G173">
            <v>888.46</v>
          </cell>
          <cell r="H173">
            <v>888.39</v>
          </cell>
          <cell r="I173" t="str">
            <v>25I07-04</v>
          </cell>
          <cell r="J173">
            <v>1439</v>
          </cell>
          <cell r="K173">
            <v>720</v>
          </cell>
          <cell r="O173">
            <v>1004</v>
          </cell>
          <cell r="P173">
            <v>2</v>
          </cell>
          <cell r="T173" t="str">
            <v>000000000006666</v>
          </cell>
        </row>
        <row r="174">
          <cell r="D174">
            <v>45912</v>
          </cell>
          <cell r="E174" t="str">
            <v>25I07-04</v>
          </cell>
          <cell r="F174">
            <v>26</v>
          </cell>
          <cell r="G174">
            <v>888.35</v>
          </cell>
          <cell r="H174">
            <v>888.48</v>
          </cell>
          <cell r="K174">
            <v>0</v>
          </cell>
          <cell r="O174">
            <v>4</v>
          </cell>
          <cell r="T174" t="str">
            <v>000000000006666</v>
          </cell>
        </row>
        <row r="175">
          <cell r="C175">
            <v>2</v>
          </cell>
          <cell r="D175">
            <v>45912</v>
          </cell>
          <cell r="E175" t="str">
            <v>25I07-04</v>
          </cell>
          <cell r="F175">
            <v>26</v>
          </cell>
          <cell r="G175">
            <v>888.35</v>
          </cell>
          <cell r="H175">
            <v>888.41</v>
          </cell>
          <cell r="K175">
            <v>0</v>
          </cell>
          <cell r="O175">
            <v>7</v>
          </cell>
          <cell r="T175" t="str">
            <v>000000000006666</v>
          </cell>
        </row>
        <row r="176">
          <cell r="C176" t="str">
            <v>LED-A888</v>
          </cell>
          <cell r="D176">
            <v>45916</v>
          </cell>
          <cell r="E176" t="str">
            <v>25I07-04</v>
          </cell>
          <cell r="F176">
            <v>26</v>
          </cell>
          <cell r="G176">
            <v>888.35</v>
          </cell>
          <cell r="H176">
            <v>888.48</v>
          </cell>
          <cell r="K176">
            <v>0</v>
          </cell>
          <cell r="L176" t="str">
            <v>旧品加工</v>
          </cell>
          <cell r="O176">
            <v>0</v>
          </cell>
          <cell r="T176" t="str">
            <v>000000000006666</v>
          </cell>
        </row>
        <row r="177">
          <cell r="C177">
            <v>20</v>
          </cell>
          <cell r="D177">
            <v>45916</v>
          </cell>
          <cell r="E177" t="str">
            <v>25I07-04</v>
          </cell>
          <cell r="F177">
            <v>26</v>
          </cell>
          <cell r="G177">
            <v>888.35</v>
          </cell>
          <cell r="H177">
            <v>888.46</v>
          </cell>
          <cell r="K177">
            <v>0</v>
          </cell>
          <cell r="L177" t="str">
            <v>持出端材</v>
          </cell>
          <cell r="O177" t="str">
            <v>C/M</v>
          </cell>
          <cell r="T177" t="str">
            <v>000000000006666</v>
          </cell>
        </row>
        <row r="178">
          <cell r="G178" t="str">
            <v/>
          </cell>
          <cell r="K178">
            <v>0</v>
          </cell>
          <cell r="L178" t="str">
            <v>α端材</v>
          </cell>
          <cell r="M178">
            <v>0</v>
          </cell>
          <cell r="O178" t="str">
            <v>T/C/U</v>
          </cell>
          <cell r="P178">
            <v>7</v>
          </cell>
          <cell r="T178" t="str">
            <v>000000000006666</v>
          </cell>
        </row>
        <row r="179">
          <cell r="C179" t="str">
            <v>GA-770 (特注)BR</v>
          </cell>
          <cell r="I179">
            <v>0</v>
          </cell>
          <cell r="J179" t="e">
            <v>#VALUE!</v>
          </cell>
          <cell r="K179" t="e">
            <v>#VALUE!</v>
          </cell>
          <cell r="L179">
            <v>45911</v>
          </cell>
          <cell r="M179">
            <v>1</v>
          </cell>
          <cell r="O179">
            <v>45911</v>
          </cell>
          <cell r="T179" t="str">
            <v>000000000007239</v>
          </cell>
        </row>
        <row r="180">
          <cell r="D180">
            <v>45911</v>
          </cell>
          <cell r="E180" t="str">
            <v>22L27B</v>
          </cell>
          <cell r="F180">
            <v>26</v>
          </cell>
          <cell r="G180">
            <v>778</v>
          </cell>
          <cell r="H180">
            <v>777.64</v>
          </cell>
          <cell r="I180" t="str">
            <v>22L27B</v>
          </cell>
          <cell r="J180">
            <v>6</v>
          </cell>
          <cell r="K180" t="e">
            <v>#VALUE!</v>
          </cell>
          <cell r="O180" t="e">
            <v>#VALUE!</v>
          </cell>
          <cell r="T180" t="str">
            <v>000000000007239</v>
          </cell>
        </row>
        <row r="181">
          <cell r="C181">
            <v>6</v>
          </cell>
          <cell r="D181">
            <v>45911</v>
          </cell>
          <cell r="E181" t="str">
            <v>22L27B</v>
          </cell>
          <cell r="F181">
            <v>26</v>
          </cell>
          <cell r="G181">
            <v>778</v>
          </cell>
          <cell r="H181">
            <v>777.62</v>
          </cell>
          <cell r="K181" t="e">
            <v>#VALUE!</v>
          </cell>
          <cell r="O181" t="str">
            <v/>
          </cell>
          <cell r="T181" t="str">
            <v>000000000007239</v>
          </cell>
        </row>
        <row r="182">
          <cell r="G182" t="str">
            <v/>
          </cell>
          <cell r="K182" t="e">
            <v>#VALUE!</v>
          </cell>
          <cell r="O182" t="str">
            <v/>
          </cell>
          <cell r="T182" t="str">
            <v>000000000007239</v>
          </cell>
        </row>
        <row r="183">
          <cell r="C183" t="str">
            <v xml:space="preserve"> 図面確認</v>
          </cell>
          <cell r="G183" t="str">
            <v/>
          </cell>
          <cell r="K183" t="e">
            <v>#VALUE!</v>
          </cell>
          <cell r="O183">
            <v>0</v>
          </cell>
          <cell r="T183" t="str">
            <v>000000000007239</v>
          </cell>
        </row>
        <row r="184">
          <cell r="C184" t="str">
            <v>SB-246</v>
          </cell>
          <cell r="G184" t="str">
            <v/>
          </cell>
          <cell r="K184" t="e">
            <v>#VALUE!</v>
          </cell>
          <cell r="L184" t="str">
            <v>旧品加工</v>
          </cell>
          <cell r="O184" t="e">
            <v>#VALUE!</v>
          </cell>
          <cell r="T184" t="str">
            <v>000000000007239</v>
          </cell>
        </row>
        <row r="185">
          <cell r="C185">
            <v>1</v>
          </cell>
          <cell r="G185" t="str">
            <v/>
          </cell>
          <cell r="K185" t="e">
            <v>#VALUE!</v>
          </cell>
          <cell r="L185" t="str">
            <v>持出端材</v>
          </cell>
          <cell r="O185" t="str">
            <v>C</v>
          </cell>
          <cell r="T185" t="str">
            <v>000000000007239</v>
          </cell>
        </row>
        <row r="186">
          <cell r="G186" t="str">
            <v/>
          </cell>
          <cell r="K186" t="e">
            <v>#VALUE!</v>
          </cell>
          <cell r="L186" t="str">
            <v>α端材</v>
          </cell>
          <cell r="M186" t="e">
            <v>#VALUE!</v>
          </cell>
          <cell r="O186" t="str">
            <v>C</v>
          </cell>
          <cell r="P186">
            <v>0</v>
          </cell>
          <cell r="T186" t="str">
            <v>000000000007239</v>
          </cell>
        </row>
        <row r="187">
          <cell r="C187" t="str">
            <v>灯具カバーPC IN 2110　L=1815</v>
          </cell>
          <cell r="D187">
            <v>45875</v>
          </cell>
          <cell r="E187" t="str">
            <v>25G31-01</v>
          </cell>
          <cell r="I187" t="str">
            <v>25G31-01</v>
          </cell>
          <cell r="J187">
            <v>2</v>
          </cell>
          <cell r="K187">
            <v>2</v>
          </cell>
          <cell r="L187">
            <v>45917</v>
          </cell>
          <cell r="M187">
            <v>6</v>
          </cell>
          <cell r="O187">
            <v>45917</v>
          </cell>
          <cell r="T187" t="str">
            <v>000000000006742-1</v>
          </cell>
        </row>
        <row r="188">
          <cell r="D188">
            <v>45917</v>
          </cell>
          <cell r="E188" t="str">
            <v>25I06-01</v>
          </cell>
          <cell r="G188" t="str">
            <v/>
          </cell>
          <cell r="I188" t="str">
            <v>25I06-01</v>
          </cell>
          <cell r="J188">
            <v>197</v>
          </cell>
          <cell r="K188">
            <v>197</v>
          </cell>
          <cell r="O188">
            <v>96</v>
          </cell>
          <cell r="P188">
            <v>102</v>
          </cell>
          <cell r="T188" t="str">
            <v>000000000006742-1</v>
          </cell>
        </row>
        <row r="189">
          <cell r="C189">
            <v>96</v>
          </cell>
          <cell r="G189" t="str">
            <v/>
          </cell>
          <cell r="K189">
            <v>0</v>
          </cell>
          <cell r="O189">
            <v>199</v>
          </cell>
          <cell r="P189">
            <v>1</v>
          </cell>
          <cell r="T189" t="str">
            <v>000000000006742-1</v>
          </cell>
        </row>
        <row r="190">
          <cell r="G190" t="str">
            <v/>
          </cell>
          <cell r="K190">
            <v>0</v>
          </cell>
          <cell r="O190">
            <v>103</v>
          </cell>
          <cell r="T190" t="str">
            <v>000000000006742-1</v>
          </cell>
        </row>
        <row r="191">
          <cell r="C191">
            <v>1</v>
          </cell>
          <cell r="G191" t="str">
            <v/>
          </cell>
          <cell r="K191">
            <v>0</v>
          </cell>
          <cell r="O191">
            <v>103</v>
          </cell>
          <cell r="T191" t="str">
            <v>000000000006742-1</v>
          </cell>
        </row>
        <row r="192">
          <cell r="C192" t="str">
            <v>灯具-2　L＝1996</v>
          </cell>
          <cell r="G192" t="str">
            <v/>
          </cell>
          <cell r="K192">
            <v>0</v>
          </cell>
          <cell r="L192" t="str">
            <v>旧品加工</v>
          </cell>
          <cell r="M192">
            <v>2</v>
          </cell>
          <cell r="O192">
            <v>0</v>
          </cell>
          <cell r="T192" t="str">
            <v>000000000006742-1</v>
          </cell>
        </row>
        <row r="193">
          <cell r="C193">
            <v>6</v>
          </cell>
          <cell r="G193" t="str">
            <v/>
          </cell>
          <cell r="K193">
            <v>0</v>
          </cell>
          <cell r="L193" t="str">
            <v>持出端材</v>
          </cell>
          <cell r="O193" t="str">
            <v>-</v>
          </cell>
          <cell r="T193" t="str">
            <v>000000000006742-1</v>
          </cell>
        </row>
        <row r="194">
          <cell r="G194" t="str">
            <v/>
          </cell>
          <cell r="K194">
            <v>0</v>
          </cell>
          <cell r="L194" t="str">
            <v>α端材</v>
          </cell>
          <cell r="M194">
            <v>0</v>
          </cell>
          <cell r="O194" t="str">
            <v>C</v>
          </cell>
          <cell r="P194">
            <v>103</v>
          </cell>
          <cell r="T194" t="str">
            <v>000000000006742-1</v>
          </cell>
        </row>
        <row r="195">
          <cell r="C195" t="str">
            <v>灯具カバーPC IN 2100　L=1923</v>
          </cell>
          <cell r="D195">
            <v>45874</v>
          </cell>
          <cell r="E195" t="str">
            <v>25G29-01</v>
          </cell>
          <cell r="I195" t="str">
            <v>25G29-01</v>
          </cell>
          <cell r="J195">
            <v>1</v>
          </cell>
          <cell r="K195">
            <v>1</v>
          </cell>
          <cell r="L195">
            <v>45917</v>
          </cell>
          <cell r="M195">
            <v>6</v>
          </cell>
          <cell r="O195">
            <v>45917</v>
          </cell>
          <cell r="P195">
            <v>3</v>
          </cell>
          <cell r="T195" t="str">
            <v>000000000006737-1</v>
          </cell>
        </row>
        <row r="196">
          <cell r="D196">
            <v>45917</v>
          </cell>
          <cell r="E196" t="str">
            <v>25I05-01</v>
          </cell>
          <cell r="G196" t="str">
            <v/>
          </cell>
          <cell r="I196" t="str">
            <v>25I05-01</v>
          </cell>
          <cell r="J196">
            <v>155</v>
          </cell>
          <cell r="K196">
            <v>155</v>
          </cell>
          <cell r="O196">
            <v>96</v>
          </cell>
          <cell r="P196">
            <v>57</v>
          </cell>
          <cell r="T196" t="str">
            <v>000000000006737-1</v>
          </cell>
        </row>
        <row r="197">
          <cell r="C197">
            <v>96</v>
          </cell>
          <cell r="G197" t="str">
            <v/>
          </cell>
          <cell r="K197">
            <v>0</v>
          </cell>
          <cell r="O197">
            <v>156</v>
          </cell>
          <cell r="T197" t="str">
            <v>000000000006737-1</v>
          </cell>
        </row>
        <row r="198">
          <cell r="G198" t="str">
            <v/>
          </cell>
          <cell r="K198">
            <v>0</v>
          </cell>
          <cell r="O198">
            <v>60</v>
          </cell>
          <cell r="T198" t="str">
            <v>000000000006737-1</v>
          </cell>
        </row>
        <row r="199">
          <cell r="C199">
            <v>1</v>
          </cell>
          <cell r="G199" t="str">
            <v/>
          </cell>
          <cell r="K199">
            <v>0</v>
          </cell>
          <cell r="O199">
            <v>60</v>
          </cell>
          <cell r="T199" t="str">
            <v>000000000006737-1</v>
          </cell>
        </row>
        <row r="200">
          <cell r="C200" t="str">
            <v>灯具-2　L＝1996</v>
          </cell>
          <cell r="G200" t="str">
            <v/>
          </cell>
          <cell r="K200">
            <v>0</v>
          </cell>
          <cell r="L200" t="str">
            <v>旧品加工</v>
          </cell>
          <cell r="M200">
            <v>1</v>
          </cell>
          <cell r="O200">
            <v>0</v>
          </cell>
          <cell r="T200" t="str">
            <v>000000000006737-1</v>
          </cell>
        </row>
        <row r="201">
          <cell r="C201">
            <v>6</v>
          </cell>
          <cell r="G201" t="str">
            <v/>
          </cell>
          <cell r="K201">
            <v>0</v>
          </cell>
          <cell r="L201" t="str">
            <v>持出端材</v>
          </cell>
          <cell r="O201" t="str">
            <v>-</v>
          </cell>
          <cell r="T201" t="str">
            <v>000000000006737-1</v>
          </cell>
        </row>
        <row r="202">
          <cell r="G202" t="str">
            <v/>
          </cell>
          <cell r="K202">
            <v>0</v>
          </cell>
          <cell r="L202" t="str">
            <v>α端材</v>
          </cell>
          <cell r="M202">
            <v>0</v>
          </cell>
          <cell r="O202" t="str">
            <v>C</v>
          </cell>
          <cell r="P202">
            <v>60</v>
          </cell>
          <cell r="T202" t="str">
            <v>000000000006737-1</v>
          </cell>
        </row>
        <row r="203">
          <cell r="C203" t="str">
            <v>灯具カバーPC IN 2100　L=1923</v>
          </cell>
          <cell r="I203">
            <v>0</v>
          </cell>
          <cell r="J203">
            <v>0</v>
          </cell>
          <cell r="K203">
            <v>0</v>
          </cell>
          <cell r="L203">
            <v>45918</v>
          </cell>
          <cell r="M203">
            <v>2</v>
          </cell>
          <cell r="O203">
            <v>45918</v>
          </cell>
          <cell r="P203">
            <v>3</v>
          </cell>
          <cell r="T203" t="str">
            <v>000000000006737-2</v>
          </cell>
        </row>
        <row r="204">
          <cell r="D204">
            <v>45918</v>
          </cell>
          <cell r="E204" t="str">
            <v>25I05-01</v>
          </cell>
          <cell r="G204" t="str">
            <v/>
          </cell>
          <cell r="I204" t="str">
            <v>25I05-01</v>
          </cell>
          <cell r="J204">
            <v>44</v>
          </cell>
          <cell r="K204">
            <v>44</v>
          </cell>
          <cell r="O204">
            <v>32</v>
          </cell>
          <cell r="P204">
            <v>9</v>
          </cell>
          <cell r="T204" t="str">
            <v>000000000006737-2</v>
          </cell>
        </row>
        <row r="205">
          <cell r="C205">
            <v>32</v>
          </cell>
          <cell r="G205" t="str">
            <v/>
          </cell>
          <cell r="K205">
            <v>0</v>
          </cell>
          <cell r="O205">
            <v>44</v>
          </cell>
          <cell r="T205" t="str">
            <v>000000000006737-2</v>
          </cell>
        </row>
        <row r="206">
          <cell r="G206" t="str">
            <v/>
          </cell>
          <cell r="K206">
            <v>0</v>
          </cell>
          <cell r="O206">
            <v>12</v>
          </cell>
          <cell r="T206" t="str">
            <v>000000000006737-2</v>
          </cell>
        </row>
        <row r="207">
          <cell r="C207">
            <v>1</v>
          </cell>
          <cell r="G207" t="str">
            <v/>
          </cell>
          <cell r="K207">
            <v>0</v>
          </cell>
          <cell r="O207">
            <v>12</v>
          </cell>
          <cell r="T207" t="str">
            <v>000000000006737-2</v>
          </cell>
        </row>
        <row r="208">
          <cell r="C208" t="str">
            <v>灯具-2　L＝1996</v>
          </cell>
          <cell r="G208" t="str">
            <v/>
          </cell>
          <cell r="K208">
            <v>0</v>
          </cell>
          <cell r="L208" t="str">
            <v>旧品加工</v>
          </cell>
          <cell r="O208">
            <v>0</v>
          </cell>
          <cell r="T208" t="str">
            <v>000000000006737-2</v>
          </cell>
        </row>
        <row r="209">
          <cell r="C209">
            <v>2</v>
          </cell>
          <cell r="G209" t="str">
            <v/>
          </cell>
          <cell r="K209">
            <v>0</v>
          </cell>
          <cell r="L209" t="str">
            <v>持出端材</v>
          </cell>
          <cell r="O209" t="str">
            <v>-</v>
          </cell>
          <cell r="T209" t="str">
            <v>000000000006737-2</v>
          </cell>
        </row>
        <row r="210">
          <cell r="G210" t="str">
            <v/>
          </cell>
          <cell r="K210">
            <v>0</v>
          </cell>
          <cell r="L210" t="str">
            <v>α端材</v>
          </cell>
          <cell r="M210">
            <v>0</v>
          </cell>
          <cell r="O210" t="str">
            <v>T</v>
          </cell>
          <cell r="P210">
            <v>12</v>
          </cell>
          <cell r="T210" t="str">
            <v>000000000006737-2</v>
          </cell>
        </row>
        <row r="211">
          <cell r="C211" t="str">
            <v>灯具カバーPC IN 2130　L=908</v>
          </cell>
          <cell r="I211">
            <v>0</v>
          </cell>
          <cell r="J211">
            <v>0</v>
          </cell>
          <cell r="K211">
            <v>0</v>
          </cell>
          <cell r="L211">
            <v>45918</v>
          </cell>
          <cell r="M211">
            <v>9</v>
          </cell>
          <cell r="O211">
            <v>45918</v>
          </cell>
          <cell r="P211">
            <v>9</v>
          </cell>
          <cell r="T211" t="str">
            <v>000000000006738</v>
          </cell>
        </row>
        <row r="212">
          <cell r="D212">
            <v>45918</v>
          </cell>
          <cell r="E212" t="str">
            <v>25I07-01</v>
          </cell>
          <cell r="G212" t="str">
            <v/>
          </cell>
          <cell r="I212" t="str">
            <v>25I07-01</v>
          </cell>
          <cell r="J212">
            <v>186</v>
          </cell>
          <cell r="K212">
            <v>186</v>
          </cell>
          <cell r="O212">
            <v>144</v>
          </cell>
          <cell r="P212">
            <v>33</v>
          </cell>
          <cell r="T212" t="str">
            <v>000000000006738</v>
          </cell>
        </row>
        <row r="213">
          <cell r="C213">
            <v>144</v>
          </cell>
          <cell r="G213" t="str">
            <v/>
          </cell>
          <cell r="K213">
            <v>0</v>
          </cell>
          <cell r="O213">
            <v>186</v>
          </cell>
          <cell r="T213" t="str">
            <v>000000000006738</v>
          </cell>
        </row>
        <row r="214">
          <cell r="G214" t="str">
            <v/>
          </cell>
          <cell r="K214">
            <v>0</v>
          </cell>
          <cell r="O214">
            <v>42</v>
          </cell>
          <cell r="T214" t="str">
            <v>000000000006738</v>
          </cell>
        </row>
        <row r="215">
          <cell r="C215">
            <v>1</v>
          </cell>
          <cell r="G215" t="str">
            <v/>
          </cell>
          <cell r="K215">
            <v>0</v>
          </cell>
          <cell r="O215">
            <v>42</v>
          </cell>
          <cell r="T215" t="str">
            <v>000000000006738</v>
          </cell>
        </row>
        <row r="216">
          <cell r="C216" t="str">
            <v>灯具-1　L=1370</v>
          </cell>
          <cell r="G216" t="str">
            <v/>
          </cell>
          <cell r="K216">
            <v>0</v>
          </cell>
          <cell r="L216" t="str">
            <v>旧品加工</v>
          </cell>
          <cell r="O216">
            <v>0</v>
          </cell>
          <cell r="T216" t="str">
            <v>000000000006738</v>
          </cell>
        </row>
        <row r="217">
          <cell r="C217">
            <v>9</v>
          </cell>
          <cell r="G217" t="str">
            <v/>
          </cell>
          <cell r="K217">
            <v>0</v>
          </cell>
          <cell r="L217" t="str">
            <v>持出端材</v>
          </cell>
          <cell r="O217" t="str">
            <v>-</v>
          </cell>
          <cell r="T217" t="str">
            <v>000000000006738</v>
          </cell>
        </row>
        <row r="218">
          <cell r="G218" t="str">
            <v/>
          </cell>
          <cell r="K218">
            <v>0</v>
          </cell>
          <cell r="L218" t="str">
            <v>α端材</v>
          </cell>
          <cell r="M218">
            <v>0</v>
          </cell>
          <cell r="O218" t="str">
            <v>T</v>
          </cell>
          <cell r="P218">
            <v>42</v>
          </cell>
          <cell r="T218" t="str">
            <v>000000000006738</v>
          </cell>
        </row>
        <row r="219">
          <cell r="C219" t="str">
            <v>灯具カバーPC IN 2480　L=954</v>
          </cell>
          <cell r="D219">
            <v>45456</v>
          </cell>
          <cell r="E219" t="str">
            <v>24F06-01</v>
          </cell>
          <cell r="I219" t="str">
            <v>24F06-01</v>
          </cell>
          <cell r="J219">
            <v>5</v>
          </cell>
          <cell r="K219">
            <v>5</v>
          </cell>
          <cell r="L219">
            <v>45918</v>
          </cell>
          <cell r="M219">
            <v>4</v>
          </cell>
          <cell r="O219">
            <v>45918</v>
          </cell>
          <cell r="P219">
            <v>2</v>
          </cell>
          <cell r="T219" t="str">
            <v>000000000006740</v>
          </cell>
        </row>
        <row r="220">
          <cell r="D220">
            <v>45828</v>
          </cell>
          <cell r="E220" t="str">
            <v>24F10-01</v>
          </cell>
          <cell r="G220" t="str">
            <v/>
          </cell>
          <cell r="I220" t="str">
            <v>24F10-01</v>
          </cell>
          <cell r="J220">
            <v>6</v>
          </cell>
          <cell r="K220">
            <v>6</v>
          </cell>
          <cell r="O220">
            <v>64</v>
          </cell>
          <cell r="P220">
            <v>16</v>
          </cell>
          <cell r="T220" t="str">
            <v>000000000006740</v>
          </cell>
        </row>
        <row r="221">
          <cell r="C221">
            <v>64</v>
          </cell>
          <cell r="D221">
            <v>45918</v>
          </cell>
          <cell r="E221" t="str">
            <v>25I07-01</v>
          </cell>
          <cell r="G221" t="str">
            <v/>
          </cell>
          <cell r="I221" t="str">
            <v>25I07-01</v>
          </cell>
          <cell r="J221">
            <v>71</v>
          </cell>
          <cell r="K221">
            <v>71</v>
          </cell>
          <cell r="O221">
            <v>82</v>
          </cell>
          <cell r="T221" t="str">
            <v>000000000006740</v>
          </cell>
        </row>
        <row r="222">
          <cell r="G222" t="str">
            <v/>
          </cell>
          <cell r="K222">
            <v>0</v>
          </cell>
          <cell r="O222">
            <v>18</v>
          </cell>
          <cell r="T222" t="str">
            <v>000000000006740</v>
          </cell>
        </row>
        <row r="223">
          <cell r="C223">
            <v>1</v>
          </cell>
          <cell r="G223" t="str">
            <v/>
          </cell>
          <cell r="K223">
            <v>0</v>
          </cell>
          <cell r="O223">
            <v>18</v>
          </cell>
          <cell r="T223" t="str">
            <v>000000000006740</v>
          </cell>
        </row>
        <row r="224">
          <cell r="C224" t="str">
            <v>灯具-1　L=1370</v>
          </cell>
          <cell r="G224" t="str">
            <v/>
          </cell>
          <cell r="K224">
            <v>0</v>
          </cell>
          <cell r="L224" t="str">
            <v>旧品加工</v>
          </cell>
          <cell r="M224">
            <v>5</v>
          </cell>
          <cell r="O224">
            <v>0</v>
          </cell>
          <cell r="T224" t="str">
            <v>000000000006740</v>
          </cell>
        </row>
        <row r="225">
          <cell r="C225">
            <v>4</v>
          </cell>
          <cell r="G225" t="str">
            <v/>
          </cell>
          <cell r="K225">
            <v>0</v>
          </cell>
          <cell r="L225" t="str">
            <v>持出端材</v>
          </cell>
          <cell r="O225" t="str">
            <v>-</v>
          </cell>
          <cell r="T225" t="str">
            <v>000000000006740</v>
          </cell>
        </row>
        <row r="226">
          <cell r="G226" t="str">
            <v/>
          </cell>
          <cell r="K226">
            <v>0</v>
          </cell>
          <cell r="L226" t="str">
            <v>α端材</v>
          </cell>
          <cell r="M226">
            <v>0</v>
          </cell>
          <cell r="O226" t="str">
            <v>T/C/U</v>
          </cell>
          <cell r="P226">
            <v>18</v>
          </cell>
          <cell r="T226" t="str">
            <v>000000000006740</v>
          </cell>
        </row>
        <row r="227">
          <cell r="C227" t="str">
            <v>灯具カバーPC IN 2460　L=1291</v>
          </cell>
          <cell r="D227">
            <v>45833</v>
          </cell>
          <cell r="E227" t="str">
            <v>25F11-01</v>
          </cell>
          <cell r="I227" t="str">
            <v>25F11-01</v>
          </cell>
          <cell r="J227">
            <v>14</v>
          </cell>
          <cell r="K227">
            <v>14</v>
          </cell>
          <cell r="L227">
            <v>45918</v>
          </cell>
          <cell r="M227">
            <v>2</v>
          </cell>
          <cell r="O227">
            <v>45919</v>
          </cell>
          <cell r="T227" t="str">
            <v>000000000006739</v>
          </cell>
        </row>
        <row r="228">
          <cell r="D228">
            <v>45918</v>
          </cell>
          <cell r="E228" t="str">
            <v>25I07-01</v>
          </cell>
          <cell r="G228" t="str">
            <v/>
          </cell>
          <cell r="I228" t="str">
            <v>25I07-01</v>
          </cell>
          <cell r="J228">
            <v>100</v>
          </cell>
          <cell r="K228">
            <v>100</v>
          </cell>
          <cell r="L228">
            <v>45919</v>
          </cell>
          <cell r="M228">
            <v>5</v>
          </cell>
          <cell r="O228">
            <v>112</v>
          </cell>
          <cell r="P228">
            <v>1</v>
          </cell>
          <cell r="T228" t="str">
            <v>000000000006739</v>
          </cell>
        </row>
        <row r="229">
          <cell r="C229">
            <v>112</v>
          </cell>
          <cell r="D229">
            <v>45919</v>
          </cell>
          <cell r="E229" t="str">
            <v>25I07-01</v>
          </cell>
          <cell r="G229" t="str">
            <v/>
          </cell>
          <cell r="K229">
            <v>0</v>
          </cell>
          <cell r="O229">
            <v>114</v>
          </cell>
          <cell r="P229">
            <v>1</v>
          </cell>
          <cell r="T229" t="str">
            <v>000000000006739</v>
          </cell>
        </row>
        <row r="230">
          <cell r="G230" t="str">
            <v/>
          </cell>
          <cell r="K230">
            <v>0</v>
          </cell>
          <cell r="O230">
            <v>2</v>
          </cell>
          <cell r="T230" t="str">
            <v>000000000006739</v>
          </cell>
        </row>
        <row r="231">
          <cell r="C231">
            <v>1</v>
          </cell>
          <cell r="G231" t="str">
            <v/>
          </cell>
          <cell r="K231">
            <v>0</v>
          </cell>
          <cell r="O231">
            <v>2</v>
          </cell>
          <cell r="T231" t="str">
            <v>000000000006739</v>
          </cell>
        </row>
        <row r="232">
          <cell r="C232" t="str">
            <v>灯具-1　L=1370</v>
          </cell>
          <cell r="G232" t="str">
            <v/>
          </cell>
          <cell r="K232">
            <v>0</v>
          </cell>
          <cell r="L232" t="str">
            <v>旧品加工</v>
          </cell>
          <cell r="M232">
            <v>14</v>
          </cell>
          <cell r="O232">
            <v>0</v>
          </cell>
          <cell r="T232" t="str">
            <v>000000000006739</v>
          </cell>
        </row>
        <row r="233">
          <cell r="C233">
            <v>7</v>
          </cell>
          <cell r="G233" t="str">
            <v/>
          </cell>
          <cell r="K233">
            <v>0</v>
          </cell>
          <cell r="L233" t="str">
            <v>持出端材</v>
          </cell>
          <cell r="O233" t="str">
            <v>-</v>
          </cell>
          <cell r="T233" t="str">
            <v>000000000006739</v>
          </cell>
        </row>
        <row r="234">
          <cell r="G234" t="str">
            <v/>
          </cell>
          <cell r="K234">
            <v>0</v>
          </cell>
          <cell r="L234" t="str">
            <v>α端材</v>
          </cell>
          <cell r="M234">
            <v>0</v>
          </cell>
          <cell r="O234" t="str">
            <v>C/T</v>
          </cell>
          <cell r="P234">
            <v>2</v>
          </cell>
          <cell r="T234" t="str">
            <v>000000000006739</v>
          </cell>
        </row>
        <row r="235">
          <cell r="C235" t="str">
            <v>PK-59827 L=500</v>
          </cell>
          <cell r="D235">
            <v>45891</v>
          </cell>
          <cell r="E235" t="str">
            <v>25H18-01</v>
          </cell>
          <cell r="I235" t="str">
            <v>25H18-01</v>
          </cell>
          <cell r="J235">
            <v>21</v>
          </cell>
          <cell r="K235">
            <v>7</v>
          </cell>
          <cell r="L235">
            <v>45917</v>
          </cell>
          <cell r="M235">
            <v>12</v>
          </cell>
          <cell r="O235">
            <v>45918</v>
          </cell>
          <cell r="P235">
            <v>113</v>
          </cell>
          <cell r="T235" t="str">
            <v>000000000006874</v>
          </cell>
        </row>
        <row r="236">
          <cell r="D236">
            <v>45916</v>
          </cell>
          <cell r="E236" t="str">
            <v>25H28-01</v>
          </cell>
          <cell r="F236">
            <v>29</v>
          </cell>
          <cell r="G236">
            <v>500.21</v>
          </cell>
          <cell r="H236">
            <v>500.32</v>
          </cell>
          <cell r="I236" t="str">
            <v>25H28-01</v>
          </cell>
          <cell r="J236">
            <v>741</v>
          </cell>
          <cell r="K236">
            <v>247</v>
          </cell>
          <cell r="L236">
            <v>45918</v>
          </cell>
          <cell r="M236">
            <v>7</v>
          </cell>
          <cell r="O236">
            <v>646</v>
          </cell>
          <cell r="P236">
            <v>3</v>
          </cell>
          <cell r="T236" t="str">
            <v>000000000006874</v>
          </cell>
        </row>
        <row r="237">
          <cell r="C237">
            <v>646</v>
          </cell>
          <cell r="D237">
            <v>45916</v>
          </cell>
          <cell r="E237" t="str">
            <v>25H28-01</v>
          </cell>
          <cell r="F237">
            <v>29</v>
          </cell>
          <cell r="G237">
            <v>500.21</v>
          </cell>
          <cell r="H237">
            <v>500.29</v>
          </cell>
          <cell r="K237">
            <v>0</v>
          </cell>
          <cell r="O237">
            <v>254</v>
          </cell>
          <cell r="T237" t="str">
            <v>000000000006874</v>
          </cell>
        </row>
        <row r="238">
          <cell r="D238">
            <v>45917</v>
          </cell>
          <cell r="E238" t="str">
            <v>25H28-01</v>
          </cell>
          <cell r="F238">
            <v>27</v>
          </cell>
          <cell r="G238">
            <v>500.14</v>
          </cell>
          <cell r="H238">
            <v>500.39</v>
          </cell>
          <cell r="K238">
            <v>0</v>
          </cell>
          <cell r="O238">
            <v>39</v>
          </cell>
          <cell r="T238" t="str">
            <v>000000000006874</v>
          </cell>
        </row>
        <row r="239">
          <cell r="C239">
            <v>3</v>
          </cell>
          <cell r="D239">
            <v>45917</v>
          </cell>
          <cell r="E239" t="str">
            <v>25H28-01</v>
          </cell>
          <cell r="F239">
            <v>29</v>
          </cell>
          <cell r="G239">
            <v>500.21</v>
          </cell>
          <cell r="H239">
            <v>500.41</v>
          </cell>
          <cell r="K239">
            <v>0</v>
          </cell>
          <cell r="O239">
            <v>116</v>
          </cell>
          <cell r="T239" t="str">
            <v>000000000006874</v>
          </cell>
        </row>
        <row r="240">
          <cell r="C240" t="str">
            <v>PK-59827 L=500用</v>
          </cell>
          <cell r="D240">
            <v>45917</v>
          </cell>
          <cell r="E240" t="str">
            <v>25H28-01</v>
          </cell>
          <cell r="F240">
            <v>29</v>
          </cell>
          <cell r="G240">
            <v>500.21</v>
          </cell>
          <cell r="H240">
            <v>500.32</v>
          </cell>
          <cell r="K240">
            <v>0</v>
          </cell>
          <cell r="L240" t="str">
            <v>旧品加工</v>
          </cell>
          <cell r="M240">
            <v>21</v>
          </cell>
          <cell r="O240">
            <v>0</v>
          </cell>
          <cell r="T240" t="str">
            <v>000000000006874</v>
          </cell>
        </row>
        <row r="241">
          <cell r="C241">
            <v>19</v>
          </cell>
          <cell r="G241" t="str">
            <v/>
          </cell>
          <cell r="K241">
            <v>0</v>
          </cell>
          <cell r="L241" t="str">
            <v>持出端材</v>
          </cell>
          <cell r="O241" t="str">
            <v>M/C</v>
          </cell>
          <cell r="T241" t="str">
            <v>000000000006874</v>
          </cell>
        </row>
        <row r="242">
          <cell r="G242" t="str">
            <v/>
          </cell>
          <cell r="K242">
            <v>0</v>
          </cell>
          <cell r="L242" t="str">
            <v>α端材</v>
          </cell>
          <cell r="M242">
            <v>0</v>
          </cell>
          <cell r="O242" t="str">
            <v>U</v>
          </cell>
          <cell r="P242">
            <v>116</v>
          </cell>
          <cell r="T242" t="str">
            <v>000000000006874</v>
          </cell>
        </row>
        <row r="243">
          <cell r="C243" t="str">
            <v>灯具カバーPC IN 2110　L=1815</v>
          </cell>
          <cell r="D243">
            <v>45917</v>
          </cell>
          <cell r="E243" t="str">
            <v>25H28-01</v>
          </cell>
          <cell r="I243" t="str">
            <v>25H28-01</v>
          </cell>
          <cell r="J243">
            <v>3</v>
          </cell>
          <cell r="K243">
            <v>3</v>
          </cell>
          <cell r="L243">
            <v>45919</v>
          </cell>
          <cell r="M243">
            <v>9</v>
          </cell>
          <cell r="O243">
            <v>45920</v>
          </cell>
          <cell r="P243">
            <v>10</v>
          </cell>
          <cell r="T243" t="str">
            <v>000000000006742-2</v>
          </cell>
        </row>
        <row r="244">
          <cell r="D244">
            <v>45919</v>
          </cell>
          <cell r="E244" t="str">
            <v>25I06-02</v>
          </cell>
          <cell r="G244" t="str">
            <v/>
          </cell>
          <cell r="I244" t="str">
            <v>25I06-02</v>
          </cell>
          <cell r="J244">
            <v>198</v>
          </cell>
          <cell r="K244">
            <v>198</v>
          </cell>
          <cell r="L244">
            <v>45920</v>
          </cell>
          <cell r="M244">
            <v>1</v>
          </cell>
          <cell r="O244">
            <v>160</v>
          </cell>
          <cell r="P244">
            <v>31</v>
          </cell>
          <cell r="T244" t="str">
            <v>000000000006742-2</v>
          </cell>
        </row>
        <row r="245">
          <cell r="C245">
            <v>160</v>
          </cell>
          <cell r="D245">
            <v>45920</v>
          </cell>
          <cell r="E245" t="str">
            <v>25I06-02</v>
          </cell>
          <cell r="G245" t="str">
            <v/>
          </cell>
          <cell r="K245">
            <v>0</v>
          </cell>
          <cell r="O245">
            <v>201</v>
          </cell>
          <cell r="T245" t="str">
            <v>000000000006742-2</v>
          </cell>
        </row>
        <row r="246">
          <cell r="G246" t="str">
            <v/>
          </cell>
          <cell r="K246">
            <v>0</v>
          </cell>
          <cell r="O246">
            <v>41</v>
          </cell>
          <cell r="T246" t="str">
            <v>000000000006742-2</v>
          </cell>
        </row>
        <row r="247">
          <cell r="C247">
            <v>1</v>
          </cell>
          <cell r="G247" t="str">
            <v/>
          </cell>
          <cell r="K247">
            <v>0</v>
          </cell>
          <cell r="O247">
            <v>41</v>
          </cell>
          <cell r="T247" t="str">
            <v>000000000006742-2</v>
          </cell>
        </row>
        <row r="248">
          <cell r="C248" t="str">
            <v>灯具-2　L＝1996</v>
          </cell>
          <cell r="G248" t="str">
            <v/>
          </cell>
          <cell r="K248">
            <v>0</v>
          </cell>
          <cell r="L248" t="str">
            <v>旧品加工</v>
          </cell>
          <cell r="M248">
            <v>3</v>
          </cell>
          <cell r="O248">
            <v>0</v>
          </cell>
          <cell r="T248" t="str">
            <v>000000000006742-2</v>
          </cell>
        </row>
        <row r="249">
          <cell r="C249">
            <v>10</v>
          </cell>
          <cell r="G249" t="str">
            <v/>
          </cell>
          <cell r="K249">
            <v>0</v>
          </cell>
          <cell r="L249" t="str">
            <v>持出端材</v>
          </cell>
          <cell r="O249" t="str">
            <v>-</v>
          </cell>
          <cell r="T249" t="str">
            <v>000000000006742-2</v>
          </cell>
        </row>
        <row r="250">
          <cell r="G250" t="str">
            <v/>
          </cell>
          <cell r="K250">
            <v>0</v>
          </cell>
          <cell r="L250" t="str">
            <v>α端材</v>
          </cell>
          <cell r="M250">
            <v>0</v>
          </cell>
          <cell r="O250" t="str">
            <v>T/C</v>
          </cell>
          <cell r="P250">
            <v>41</v>
          </cell>
          <cell r="T250" t="str">
            <v>000000000006742-2</v>
          </cell>
        </row>
        <row r="251">
          <cell r="C251" t="str">
            <v>灯具カバーPC IN 2050　L=1183.5</v>
          </cell>
          <cell r="I251">
            <v>0</v>
          </cell>
          <cell r="J251">
            <v>0</v>
          </cell>
          <cell r="K251">
            <v>0</v>
          </cell>
          <cell r="L251">
            <v>45920</v>
          </cell>
          <cell r="M251">
            <v>4</v>
          </cell>
          <cell r="O251">
            <v>45922</v>
          </cell>
          <cell r="P251">
            <v>3</v>
          </cell>
          <cell r="T251" t="str">
            <v>000000000006733</v>
          </cell>
        </row>
        <row r="252">
          <cell r="D252">
            <v>45920</v>
          </cell>
          <cell r="E252" t="str">
            <v>25I07-01</v>
          </cell>
          <cell r="G252" t="str">
            <v/>
          </cell>
          <cell r="I252" t="str">
            <v>25I07-01</v>
          </cell>
          <cell r="J252">
            <v>190</v>
          </cell>
          <cell r="K252">
            <v>190</v>
          </cell>
          <cell r="L252">
            <v>45922</v>
          </cell>
          <cell r="M252">
            <v>4</v>
          </cell>
          <cell r="O252">
            <v>128</v>
          </cell>
          <cell r="P252">
            <v>58</v>
          </cell>
          <cell r="T252" t="str">
            <v>000000000006733</v>
          </cell>
        </row>
        <row r="253">
          <cell r="C253">
            <v>128</v>
          </cell>
          <cell r="D253">
            <v>45922</v>
          </cell>
          <cell r="E253" t="str">
            <v>25I07-01</v>
          </cell>
          <cell r="G253" t="str">
            <v/>
          </cell>
          <cell r="K253">
            <v>0</v>
          </cell>
          <cell r="O253">
            <v>190</v>
          </cell>
          <cell r="P253">
            <v>1</v>
          </cell>
          <cell r="T253" t="str">
            <v>000000000006733</v>
          </cell>
        </row>
        <row r="254">
          <cell r="G254" t="str">
            <v/>
          </cell>
          <cell r="K254">
            <v>0</v>
          </cell>
          <cell r="O254">
            <v>62</v>
          </cell>
          <cell r="T254" t="str">
            <v>000000000006733</v>
          </cell>
        </row>
        <row r="255">
          <cell r="C255">
            <v>1</v>
          </cell>
          <cell r="G255" t="str">
            <v/>
          </cell>
          <cell r="K255">
            <v>0</v>
          </cell>
          <cell r="O255">
            <v>62</v>
          </cell>
          <cell r="T255" t="str">
            <v>000000000006733</v>
          </cell>
        </row>
        <row r="256">
          <cell r="C256" t="str">
            <v>灯具-1　L=1370</v>
          </cell>
          <cell r="G256" t="str">
            <v/>
          </cell>
          <cell r="K256">
            <v>0</v>
          </cell>
          <cell r="L256" t="str">
            <v>旧品加工</v>
          </cell>
          <cell r="O256">
            <v>0</v>
          </cell>
          <cell r="T256" t="str">
            <v>000000000006733</v>
          </cell>
        </row>
        <row r="257">
          <cell r="C257">
            <v>8</v>
          </cell>
          <cell r="G257" t="str">
            <v/>
          </cell>
          <cell r="K257">
            <v>0</v>
          </cell>
          <cell r="L257" t="str">
            <v>持出端材</v>
          </cell>
          <cell r="O257" t="str">
            <v>-</v>
          </cell>
          <cell r="T257" t="str">
            <v>000000000006733</v>
          </cell>
        </row>
        <row r="258">
          <cell r="G258" t="str">
            <v/>
          </cell>
          <cell r="K258">
            <v>0</v>
          </cell>
          <cell r="L258" t="str">
            <v>α端材</v>
          </cell>
          <cell r="M258">
            <v>0</v>
          </cell>
          <cell r="O258" t="str">
            <v>C/T</v>
          </cell>
          <cell r="P258">
            <v>62</v>
          </cell>
          <cell r="T258" t="str">
            <v>000000000006733</v>
          </cell>
        </row>
        <row r="259">
          <cell r="C259" t="str">
            <v>灯具カバーPC IN 2490　L=1264</v>
          </cell>
          <cell r="D259">
            <v>45828</v>
          </cell>
          <cell r="E259" t="str">
            <v>25F10-01</v>
          </cell>
          <cell r="I259" t="str">
            <v>25F10-01</v>
          </cell>
          <cell r="J259">
            <v>7</v>
          </cell>
          <cell r="K259">
            <v>7</v>
          </cell>
          <cell r="L259">
            <v>45922</v>
          </cell>
          <cell r="M259">
            <v>6</v>
          </cell>
          <cell r="O259">
            <v>45922</v>
          </cell>
          <cell r="P259">
            <v>1</v>
          </cell>
          <cell r="T259" t="str">
            <v>000000000006741</v>
          </cell>
        </row>
        <row r="260">
          <cell r="D260">
            <v>45922</v>
          </cell>
          <cell r="E260" t="str">
            <v>25I07-01</v>
          </cell>
          <cell r="G260" t="str">
            <v/>
          </cell>
          <cell r="I260" t="str">
            <v>25I07-01</v>
          </cell>
          <cell r="J260">
            <v>93</v>
          </cell>
          <cell r="K260">
            <v>93</v>
          </cell>
          <cell r="O260">
            <v>96</v>
          </cell>
          <cell r="P260">
            <v>3</v>
          </cell>
          <cell r="T260" t="str">
            <v>000000000006741</v>
          </cell>
        </row>
        <row r="261">
          <cell r="C261">
            <v>96</v>
          </cell>
          <cell r="G261" t="str">
            <v/>
          </cell>
          <cell r="K261">
            <v>0</v>
          </cell>
          <cell r="O261">
            <v>100</v>
          </cell>
          <cell r="T261" t="str">
            <v>000000000006741</v>
          </cell>
        </row>
        <row r="262">
          <cell r="G262" t="str">
            <v/>
          </cell>
          <cell r="K262">
            <v>0</v>
          </cell>
          <cell r="O262">
            <v>4</v>
          </cell>
          <cell r="T262" t="str">
            <v>000000000006741</v>
          </cell>
        </row>
        <row r="263">
          <cell r="C263">
            <v>1</v>
          </cell>
          <cell r="G263" t="str">
            <v/>
          </cell>
          <cell r="K263">
            <v>0</v>
          </cell>
          <cell r="O263">
            <v>4</v>
          </cell>
          <cell r="T263" t="str">
            <v>000000000006741</v>
          </cell>
        </row>
        <row r="264">
          <cell r="C264" t="str">
            <v>灯具-1　L=1370</v>
          </cell>
          <cell r="G264" t="str">
            <v/>
          </cell>
          <cell r="K264">
            <v>0</v>
          </cell>
          <cell r="L264" t="str">
            <v>旧品加工</v>
          </cell>
          <cell r="M264">
            <v>7</v>
          </cell>
          <cell r="O264">
            <v>0</v>
          </cell>
          <cell r="T264" t="str">
            <v>000000000006741</v>
          </cell>
        </row>
        <row r="265">
          <cell r="C265">
            <v>6</v>
          </cell>
          <cell r="G265" t="str">
            <v/>
          </cell>
          <cell r="K265">
            <v>0</v>
          </cell>
          <cell r="L265" t="str">
            <v>持出端材</v>
          </cell>
          <cell r="O265" t="str">
            <v>-</v>
          </cell>
          <cell r="T265" t="str">
            <v>000000000006741</v>
          </cell>
        </row>
        <row r="266">
          <cell r="G266" t="str">
            <v/>
          </cell>
          <cell r="K266">
            <v>0</v>
          </cell>
          <cell r="L266" t="str">
            <v>α端材</v>
          </cell>
          <cell r="M266">
            <v>0</v>
          </cell>
          <cell r="O266" t="str">
            <v>T</v>
          </cell>
          <cell r="P266">
            <v>4</v>
          </cell>
          <cell r="T266" t="str">
            <v>000000000006741</v>
          </cell>
        </row>
        <row r="267">
          <cell r="C267" t="str">
            <v>PK-59827 L=700</v>
          </cell>
          <cell r="D267">
            <v>45890</v>
          </cell>
          <cell r="E267" t="str">
            <v>25H12-02</v>
          </cell>
          <cell r="I267" t="str">
            <v>25H12-02</v>
          </cell>
          <cell r="J267">
            <v>10</v>
          </cell>
          <cell r="K267">
            <v>5</v>
          </cell>
          <cell r="L267">
            <v>45918</v>
          </cell>
          <cell r="M267">
            <v>2</v>
          </cell>
          <cell r="O267">
            <v>45922</v>
          </cell>
          <cell r="P267">
            <v>100</v>
          </cell>
          <cell r="T267" t="str">
            <v>000000000006875</v>
          </cell>
        </row>
        <row r="268">
          <cell r="D268">
            <v>45918</v>
          </cell>
          <cell r="E268" t="str">
            <v>25I04-01</v>
          </cell>
          <cell r="F268">
            <v>25</v>
          </cell>
          <cell r="G268">
            <v>700.1</v>
          </cell>
          <cell r="H268">
            <v>700.41</v>
          </cell>
          <cell r="I268" t="str">
            <v>25I04-01</v>
          </cell>
          <cell r="J268">
            <v>600</v>
          </cell>
          <cell r="K268">
            <v>300</v>
          </cell>
          <cell r="L268">
            <v>45919</v>
          </cell>
          <cell r="M268">
            <v>10</v>
          </cell>
          <cell r="O268">
            <v>1088</v>
          </cell>
          <cell r="P268">
            <v>3</v>
          </cell>
          <cell r="T268" t="str">
            <v>000000000006875</v>
          </cell>
        </row>
        <row r="269">
          <cell r="C269">
            <v>1088</v>
          </cell>
          <cell r="D269">
            <v>45918</v>
          </cell>
          <cell r="E269" t="str">
            <v>25I04-01</v>
          </cell>
          <cell r="F269">
            <v>25</v>
          </cell>
          <cell r="G269">
            <v>700.1</v>
          </cell>
          <cell r="H269">
            <v>700.38</v>
          </cell>
          <cell r="I269" t="str">
            <v>25I05-02</v>
          </cell>
          <cell r="J269">
            <v>581</v>
          </cell>
          <cell r="K269">
            <v>291</v>
          </cell>
          <cell r="L269">
            <v>45920</v>
          </cell>
          <cell r="M269">
            <v>8</v>
          </cell>
          <cell r="O269">
            <v>596</v>
          </cell>
          <cell r="T269" t="str">
            <v>000000000006875</v>
          </cell>
        </row>
        <row r="270">
          <cell r="D270">
            <v>45919</v>
          </cell>
          <cell r="E270" t="str">
            <v>25I04-01</v>
          </cell>
          <cell r="F270">
            <v>25</v>
          </cell>
          <cell r="G270">
            <v>700.1</v>
          </cell>
          <cell r="H270">
            <v>700.5</v>
          </cell>
          <cell r="K270">
            <v>0</v>
          </cell>
          <cell r="L270">
            <v>45922</v>
          </cell>
          <cell r="M270">
            <v>12</v>
          </cell>
          <cell r="O270">
            <v>53</v>
          </cell>
          <cell r="T270" t="str">
            <v>000000000006875</v>
          </cell>
        </row>
        <row r="271">
          <cell r="C271">
            <v>2</v>
          </cell>
          <cell r="D271">
            <v>45919</v>
          </cell>
          <cell r="E271" t="str">
            <v>25I04-01</v>
          </cell>
          <cell r="F271">
            <v>27</v>
          </cell>
          <cell r="G271">
            <v>700.2</v>
          </cell>
          <cell r="H271">
            <v>700.51</v>
          </cell>
          <cell r="K271">
            <v>0</v>
          </cell>
          <cell r="O271">
            <v>105</v>
          </cell>
          <cell r="T271" t="str">
            <v>000000000006875</v>
          </cell>
        </row>
        <row r="272">
          <cell r="C272" t="str">
            <v>PK-59827 L=700用</v>
          </cell>
          <cell r="D272">
            <v>45920</v>
          </cell>
          <cell r="E272" t="str">
            <v>25I04-01</v>
          </cell>
          <cell r="F272">
            <v>27</v>
          </cell>
          <cell r="G272">
            <v>700.2</v>
          </cell>
          <cell r="H272">
            <v>700.41</v>
          </cell>
          <cell r="K272">
            <v>0</v>
          </cell>
          <cell r="L272" t="str">
            <v>旧品加工</v>
          </cell>
          <cell r="M272">
            <v>11</v>
          </cell>
          <cell r="O272">
            <v>1</v>
          </cell>
          <cell r="T272" t="str">
            <v>000000000006875</v>
          </cell>
        </row>
        <row r="273">
          <cell r="C273">
            <v>32</v>
          </cell>
          <cell r="D273">
            <v>45920</v>
          </cell>
          <cell r="E273" t="str">
            <v>25I05-02</v>
          </cell>
          <cell r="F273">
            <v>25</v>
          </cell>
          <cell r="G273">
            <v>700.1</v>
          </cell>
          <cell r="H273">
            <v>700.5</v>
          </cell>
          <cell r="K273">
            <v>0</v>
          </cell>
          <cell r="L273" t="str">
            <v>持出端材</v>
          </cell>
          <cell r="O273" t="str">
            <v>M/C</v>
          </cell>
          <cell r="P273">
            <v>2</v>
          </cell>
          <cell r="T273" t="str">
            <v>000000000006875</v>
          </cell>
        </row>
        <row r="274">
          <cell r="D274">
            <v>45922</v>
          </cell>
          <cell r="E274" t="str">
            <v>25I05-02</v>
          </cell>
          <cell r="F274">
            <v>23</v>
          </cell>
          <cell r="G274">
            <v>700</v>
          </cell>
          <cell r="H274">
            <v>700.52</v>
          </cell>
          <cell r="K274">
            <v>0</v>
          </cell>
          <cell r="L274" t="str">
            <v>α端材</v>
          </cell>
          <cell r="M274">
            <v>1</v>
          </cell>
          <cell r="O274" t="str">
            <v>U/T</v>
          </cell>
          <cell r="P274">
            <v>105</v>
          </cell>
          <cell r="T274" t="str">
            <v>000000000006875</v>
          </cell>
        </row>
        <row r="275">
          <cell r="C275" t="str">
            <v>8FL281304 5010　L=888</v>
          </cell>
          <cell r="I275">
            <v>0</v>
          </cell>
          <cell r="J275">
            <v>0</v>
          </cell>
          <cell r="K275">
            <v>0</v>
          </cell>
          <cell r="O275">
            <v>0</v>
          </cell>
          <cell r="T275" t="str">
            <v>000000000007060</v>
          </cell>
        </row>
        <row r="276">
          <cell r="G276" t="str">
            <v/>
          </cell>
          <cell r="I276" t="str">
            <v/>
          </cell>
          <cell r="K276">
            <v>0</v>
          </cell>
          <cell r="O276">
            <v>0</v>
          </cell>
          <cell r="T276" t="str">
            <v>000000000007060</v>
          </cell>
        </row>
        <row r="277">
          <cell r="C277">
            <v>3000</v>
          </cell>
          <cell r="G277" t="str">
            <v/>
          </cell>
          <cell r="K277">
            <v>0</v>
          </cell>
          <cell r="O277">
            <v>0</v>
          </cell>
          <cell r="T277" t="str">
            <v>000000000007060</v>
          </cell>
        </row>
        <row r="278">
          <cell r="G278" t="str">
            <v/>
          </cell>
          <cell r="K278">
            <v>0</v>
          </cell>
          <cell r="O278">
            <v>0</v>
          </cell>
          <cell r="T278" t="str">
            <v>000000000007060</v>
          </cell>
        </row>
        <row r="279">
          <cell r="C279">
            <v>2</v>
          </cell>
          <cell r="G279" t="str">
            <v/>
          </cell>
          <cell r="K279">
            <v>0</v>
          </cell>
          <cell r="O279">
            <v>0</v>
          </cell>
          <cell r="T279" t="str">
            <v>000000000007060</v>
          </cell>
        </row>
        <row r="280">
          <cell r="C280" t="str">
            <v>LED-A888</v>
          </cell>
          <cell r="G280" t="str">
            <v/>
          </cell>
          <cell r="K280">
            <v>0</v>
          </cell>
          <cell r="L280" t="str">
            <v>旧品加工</v>
          </cell>
          <cell r="O280">
            <v>0</v>
          </cell>
          <cell r="T280" t="str">
            <v>000000000007060</v>
          </cell>
        </row>
        <row r="281">
          <cell r="C281">
            <v>0</v>
          </cell>
          <cell r="G281" t="str">
            <v/>
          </cell>
          <cell r="K281">
            <v>0</v>
          </cell>
          <cell r="L281" t="str">
            <v>持出端材</v>
          </cell>
          <cell r="T281" t="str">
            <v>000000000007060</v>
          </cell>
        </row>
        <row r="282">
          <cell r="G282" t="str">
            <v/>
          </cell>
          <cell r="K282">
            <v>0</v>
          </cell>
          <cell r="L282" t="str">
            <v>α端材</v>
          </cell>
          <cell r="M282">
            <v>0</v>
          </cell>
          <cell r="P282">
            <v>0</v>
          </cell>
          <cell r="T282" t="str">
            <v>000000000007060</v>
          </cell>
        </row>
        <row r="283">
          <cell r="C283" t="str">
            <v>8FL281304 8310　L=748</v>
          </cell>
          <cell r="I283">
            <v>0</v>
          </cell>
          <cell r="J283">
            <v>0</v>
          </cell>
          <cell r="K283">
            <v>0</v>
          </cell>
          <cell r="O283">
            <v>0</v>
          </cell>
          <cell r="T283" t="str">
            <v>000000000007285</v>
          </cell>
        </row>
        <row r="284">
          <cell r="G284" t="str">
            <v/>
          </cell>
          <cell r="I284" t="str">
            <v/>
          </cell>
          <cell r="K284">
            <v>0</v>
          </cell>
          <cell r="O284">
            <v>0</v>
          </cell>
          <cell r="T284" t="str">
            <v>000000000007285</v>
          </cell>
        </row>
        <row r="285">
          <cell r="C285">
            <v>200</v>
          </cell>
          <cell r="G285" t="str">
            <v/>
          </cell>
          <cell r="K285">
            <v>0</v>
          </cell>
          <cell r="O285">
            <v>0</v>
          </cell>
          <cell r="T285" t="str">
            <v>000000000007285</v>
          </cell>
        </row>
        <row r="286">
          <cell r="G286" t="str">
            <v/>
          </cell>
          <cell r="K286">
            <v>0</v>
          </cell>
          <cell r="O286">
            <v>0</v>
          </cell>
          <cell r="T286" t="str">
            <v>000000000007285</v>
          </cell>
        </row>
        <row r="287">
          <cell r="C287">
            <v>2</v>
          </cell>
          <cell r="G287" t="str">
            <v/>
          </cell>
          <cell r="K287">
            <v>0</v>
          </cell>
          <cell r="O287">
            <v>0</v>
          </cell>
          <cell r="T287" t="str">
            <v>000000000007285</v>
          </cell>
        </row>
        <row r="288">
          <cell r="C288" t="str">
            <v>LED-A888</v>
          </cell>
          <cell r="G288" t="str">
            <v/>
          </cell>
          <cell r="K288">
            <v>0</v>
          </cell>
          <cell r="L288" t="str">
            <v>旧品加工</v>
          </cell>
          <cell r="O288">
            <v>0</v>
          </cell>
          <cell r="T288" t="str">
            <v>000000000007285</v>
          </cell>
        </row>
        <row r="289">
          <cell r="C289">
            <v>0</v>
          </cell>
          <cell r="G289" t="str">
            <v/>
          </cell>
          <cell r="K289">
            <v>0</v>
          </cell>
          <cell r="L289" t="str">
            <v>持出端材</v>
          </cell>
          <cell r="T289" t="str">
            <v>000000000007285</v>
          </cell>
        </row>
        <row r="290">
          <cell r="G290" t="str">
            <v/>
          </cell>
          <cell r="K290">
            <v>0</v>
          </cell>
          <cell r="L290" t="str">
            <v>α端材</v>
          </cell>
          <cell r="M290">
            <v>0</v>
          </cell>
          <cell r="P290">
            <v>0</v>
          </cell>
          <cell r="T290" t="str">
            <v>000000000007285</v>
          </cell>
        </row>
        <row r="291">
          <cell r="C291" t="str">
            <v>8FL281304 8310　L=748</v>
          </cell>
          <cell r="I291">
            <v>0</v>
          </cell>
          <cell r="J291">
            <v>0</v>
          </cell>
          <cell r="K291">
            <v>0</v>
          </cell>
          <cell r="O291">
            <v>0</v>
          </cell>
          <cell r="T291" t="str">
            <v>000000000007056</v>
          </cell>
        </row>
        <row r="292">
          <cell r="G292" t="str">
            <v/>
          </cell>
          <cell r="I292" t="str">
            <v/>
          </cell>
          <cell r="K292">
            <v>0</v>
          </cell>
          <cell r="O292">
            <v>0</v>
          </cell>
          <cell r="T292" t="str">
            <v>000000000007056</v>
          </cell>
        </row>
        <row r="293">
          <cell r="C293">
            <v>200</v>
          </cell>
          <cell r="G293" t="str">
            <v/>
          </cell>
          <cell r="K293">
            <v>0</v>
          </cell>
          <cell r="O293">
            <v>0</v>
          </cell>
          <cell r="T293" t="str">
            <v>000000000007056</v>
          </cell>
        </row>
        <row r="294">
          <cell r="G294" t="str">
            <v/>
          </cell>
          <cell r="K294">
            <v>0</v>
          </cell>
          <cell r="O294">
            <v>0</v>
          </cell>
          <cell r="T294" t="str">
            <v>000000000007056</v>
          </cell>
        </row>
        <row r="295">
          <cell r="C295">
            <v>2</v>
          </cell>
          <cell r="G295" t="str">
            <v/>
          </cell>
          <cell r="K295">
            <v>0</v>
          </cell>
          <cell r="O295">
            <v>0</v>
          </cell>
          <cell r="T295" t="str">
            <v>000000000007056</v>
          </cell>
        </row>
        <row r="296">
          <cell r="C296" t="str">
            <v>LED-A888</v>
          </cell>
          <cell r="G296" t="str">
            <v/>
          </cell>
          <cell r="K296">
            <v>0</v>
          </cell>
          <cell r="L296" t="str">
            <v>旧品加工</v>
          </cell>
          <cell r="O296">
            <v>0</v>
          </cell>
          <cell r="T296" t="str">
            <v>000000000007056</v>
          </cell>
        </row>
        <row r="297">
          <cell r="C297">
            <v>0</v>
          </cell>
          <cell r="G297" t="str">
            <v/>
          </cell>
          <cell r="K297">
            <v>0</v>
          </cell>
          <cell r="L297" t="str">
            <v>持出端材</v>
          </cell>
          <cell r="T297" t="str">
            <v>000000000007056</v>
          </cell>
        </row>
        <row r="298">
          <cell r="G298" t="str">
            <v/>
          </cell>
          <cell r="K298">
            <v>0</v>
          </cell>
          <cell r="L298" t="str">
            <v>α端材</v>
          </cell>
          <cell r="M298">
            <v>0</v>
          </cell>
          <cell r="P298">
            <v>0</v>
          </cell>
          <cell r="T298" t="str">
            <v>000000000007056</v>
          </cell>
        </row>
        <row r="299">
          <cell r="C299" t="str">
            <v>8FL281304 4910　L=592</v>
          </cell>
          <cell r="I299">
            <v>0</v>
          </cell>
          <cell r="J299">
            <v>0</v>
          </cell>
          <cell r="K299">
            <v>0</v>
          </cell>
          <cell r="O299">
            <v>0</v>
          </cell>
          <cell r="T299" t="str">
            <v>000000000007054</v>
          </cell>
        </row>
        <row r="300">
          <cell r="G300" t="str">
            <v/>
          </cell>
          <cell r="I300" t="str">
            <v/>
          </cell>
          <cell r="K300">
            <v>0</v>
          </cell>
          <cell r="O300">
            <v>0</v>
          </cell>
          <cell r="T300" t="str">
            <v>000000000007054</v>
          </cell>
        </row>
        <row r="301">
          <cell r="C301">
            <v>300</v>
          </cell>
          <cell r="G301" t="str">
            <v/>
          </cell>
          <cell r="K301">
            <v>0</v>
          </cell>
          <cell r="O301">
            <v>0</v>
          </cell>
          <cell r="T301" t="str">
            <v>000000000007054</v>
          </cell>
        </row>
        <row r="302">
          <cell r="G302" t="str">
            <v/>
          </cell>
          <cell r="K302">
            <v>0</v>
          </cell>
          <cell r="O302">
            <v>0</v>
          </cell>
          <cell r="T302" t="str">
            <v>000000000007054</v>
          </cell>
        </row>
        <row r="303">
          <cell r="C303">
            <v>3</v>
          </cell>
          <cell r="G303" t="str">
            <v/>
          </cell>
          <cell r="K303">
            <v>0</v>
          </cell>
          <cell r="O303">
            <v>0</v>
          </cell>
          <cell r="T303" t="str">
            <v>000000000007054</v>
          </cell>
        </row>
        <row r="304">
          <cell r="C304" t="str">
            <v>LED-A592</v>
          </cell>
          <cell r="G304" t="str">
            <v/>
          </cell>
          <cell r="K304">
            <v>0</v>
          </cell>
          <cell r="L304" t="str">
            <v>旧品加工</v>
          </cell>
          <cell r="O304">
            <v>0</v>
          </cell>
          <cell r="T304" t="str">
            <v>000000000007054</v>
          </cell>
        </row>
        <row r="305">
          <cell r="C305">
            <v>0</v>
          </cell>
          <cell r="G305" t="str">
            <v/>
          </cell>
          <cell r="K305">
            <v>0</v>
          </cell>
          <cell r="L305" t="str">
            <v>持出端材</v>
          </cell>
          <cell r="T305" t="str">
            <v>000000000007054</v>
          </cell>
        </row>
        <row r="306">
          <cell r="G306" t="str">
            <v/>
          </cell>
          <cell r="K306">
            <v>0</v>
          </cell>
          <cell r="L306" t="str">
            <v>α端材</v>
          </cell>
          <cell r="M306">
            <v>0</v>
          </cell>
          <cell r="P306">
            <v>0</v>
          </cell>
          <cell r="T306" t="str">
            <v>000000000007054</v>
          </cell>
        </row>
        <row r="307">
          <cell r="C307" t="str">
            <v>8FL281304 4910　L=592</v>
          </cell>
          <cell r="I307">
            <v>0</v>
          </cell>
          <cell r="J307">
            <v>0</v>
          </cell>
          <cell r="K307">
            <v>0</v>
          </cell>
          <cell r="O307">
            <v>0</v>
          </cell>
          <cell r="T307" t="str">
            <v>000000000007055</v>
          </cell>
        </row>
        <row r="308">
          <cell r="G308" t="str">
            <v/>
          </cell>
          <cell r="I308" t="str">
            <v/>
          </cell>
          <cell r="K308">
            <v>0</v>
          </cell>
          <cell r="O308">
            <v>0</v>
          </cell>
          <cell r="T308" t="str">
            <v>000000000007055</v>
          </cell>
        </row>
        <row r="309">
          <cell r="C309">
            <v>300</v>
          </cell>
          <cell r="G309" t="str">
            <v/>
          </cell>
          <cell r="K309">
            <v>0</v>
          </cell>
          <cell r="O309">
            <v>0</v>
          </cell>
          <cell r="T309" t="str">
            <v>000000000007055</v>
          </cell>
        </row>
        <row r="310">
          <cell r="G310" t="str">
            <v/>
          </cell>
          <cell r="K310">
            <v>0</v>
          </cell>
          <cell r="O310">
            <v>0</v>
          </cell>
          <cell r="T310" t="str">
            <v>000000000007055</v>
          </cell>
        </row>
        <row r="311">
          <cell r="C311">
            <v>3</v>
          </cell>
          <cell r="G311" t="str">
            <v/>
          </cell>
          <cell r="K311">
            <v>0</v>
          </cell>
          <cell r="O311">
            <v>0</v>
          </cell>
          <cell r="T311" t="str">
            <v>000000000007055</v>
          </cell>
        </row>
        <row r="312">
          <cell r="C312" t="str">
            <v>LED-A592</v>
          </cell>
          <cell r="G312" t="str">
            <v/>
          </cell>
          <cell r="K312">
            <v>0</v>
          </cell>
          <cell r="L312" t="str">
            <v>旧品加工</v>
          </cell>
          <cell r="O312">
            <v>0</v>
          </cell>
          <cell r="T312" t="str">
            <v>000000000007055</v>
          </cell>
        </row>
        <row r="313">
          <cell r="C313">
            <v>0</v>
          </cell>
          <cell r="G313" t="str">
            <v/>
          </cell>
          <cell r="K313">
            <v>0</v>
          </cell>
          <cell r="L313" t="str">
            <v>持出端材</v>
          </cell>
          <cell r="T313" t="str">
            <v>000000000007055</v>
          </cell>
        </row>
        <row r="314">
          <cell r="G314" t="str">
            <v/>
          </cell>
          <cell r="K314">
            <v>0</v>
          </cell>
          <cell r="L314" t="str">
            <v>α端材</v>
          </cell>
          <cell r="M314">
            <v>0</v>
          </cell>
          <cell r="P314">
            <v>0</v>
          </cell>
          <cell r="T314" t="str">
            <v>000000000007055</v>
          </cell>
        </row>
        <row r="315">
          <cell r="C315" t="str">
            <v>8FL281304 4810　L=297</v>
          </cell>
          <cell r="I315">
            <v>0</v>
          </cell>
          <cell r="J315">
            <v>0</v>
          </cell>
          <cell r="K315">
            <v>0</v>
          </cell>
          <cell r="O315">
            <v>0</v>
          </cell>
          <cell r="T315" t="str">
            <v>000000000007052</v>
          </cell>
        </row>
        <row r="316">
          <cell r="G316" t="str">
            <v/>
          </cell>
          <cell r="I316" t="str">
            <v/>
          </cell>
          <cell r="K316">
            <v>0</v>
          </cell>
          <cell r="O316">
            <v>0</v>
          </cell>
          <cell r="T316" t="str">
            <v>000000000007052</v>
          </cell>
        </row>
        <row r="317">
          <cell r="C317">
            <v>300</v>
          </cell>
          <cell r="G317" t="str">
            <v/>
          </cell>
          <cell r="K317">
            <v>0</v>
          </cell>
          <cell r="O317">
            <v>0</v>
          </cell>
          <cell r="T317" t="str">
            <v>000000000007052</v>
          </cell>
        </row>
        <row r="318">
          <cell r="G318" t="str">
            <v/>
          </cell>
          <cell r="K318">
            <v>0</v>
          </cell>
          <cell r="O318">
            <v>0</v>
          </cell>
          <cell r="T318" t="str">
            <v>000000000007052</v>
          </cell>
        </row>
        <row r="319">
          <cell r="C319">
            <v>6</v>
          </cell>
          <cell r="G319" t="str">
            <v/>
          </cell>
          <cell r="K319">
            <v>0</v>
          </cell>
          <cell r="O319">
            <v>0</v>
          </cell>
          <cell r="T319" t="str">
            <v>000000000007052</v>
          </cell>
        </row>
        <row r="320">
          <cell r="C320" t="str">
            <v>LED-A300</v>
          </cell>
          <cell r="G320" t="str">
            <v/>
          </cell>
          <cell r="K320">
            <v>0</v>
          </cell>
          <cell r="L320" t="str">
            <v>旧品加工</v>
          </cell>
          <cell r="O320">
            <v>0</v>
          </cell>
          <cell r="T320" t="str">
            <v>000000000007052</v>
          </cell>
        </row>
        <row r="321">
          <cell r="C321">
            <v>0</v>
          </cell>
          <cell r="G321" t="str">
            <v/>
          </cell>
          <cell r="K321">
            <v>0</v>
          </cell>
          <cell r="L321" t="str">
            <v>持出端材</v>
          </cell>
          <cell r="T321" t="str">
            <v>000000000007052</v>
          </cell>
        </row>
        <row r="322">
          <cell r="G322" t="str">
            <v/>
          </cell>
          <cell r="K322">
            <v>0</v>
          </cell>
          <cell r="L322" t="str">
            <v>α端材</v>
          </cell>
          <cell r="M322">
            <v>0</v>
          </cell>
          <cell r="P322">
            <v>0</v>
          </cell>
          <cell r="T322" t="str">
            <v>000000000007052</v>
          </cell>
        </row>
        <row r="323">
          <cell r="C323" t="str">
            <v>8FL281304 4810　L=297</v>
          </cell>
          <cell r="I323">
            <v>0</v>
          </cell>
          <cell r="J323">
            <v>0</v>
          </cell>
          <cell r="K323">
            <v>0</v>
          </cell>
          <cell r="O323">
            <v>0</v>
          </cell>
          <cell r="T323" t="str">
            <v>000000000007053</v>
          </cell>
        </row>
        <row r="324">
          <cell r="G324" t="str">
            <v/>
          </cell>
          <cell r="I324" t="str">
            <v/>
          </cell>
          <cell r="K324">
            <v>0</v>
          </cell>
          <cell r="O324">
            <v>0</v>
          </cell>
          <cell r="T324" t="str">
            <v>000000000007053</v>
          </cell>
        </row>
        <row r="325">
          <cell r="C325">
            <v>300</v>
          </cell>
          <cell r="G325" t="str">
            <v/>
          </cell>
          <cell r="K325">
            <v>0</v>
          </cell>
          <cell r="O325">
            <v>0</v>
          </cell>
          <cell r="T325" t="str">
            <v>000000000007053</v>
          </cell>
        </row>
        <row r="326">
          <cell r="G326" t="str">
            <v/>
          </cell>
          <cell r="K326">
            <v>0</v>
          </cell>
          <cell r="O326">
            <v>0</v>
          </cell>
          <cell r="T326" t="str">
            <v>000000000007053</v>
          </cell>
        </row>
        <row r="327">
          <cell r="C327">
            <v>6</v>
          </cell>
          <cell r="G327" t="str">
            <v/>
          </cell>
          <cell r="K327">
            <v>0</v>
          </cell>
          <cell r="O327">
            <v>0</v>
          </cell>
          <cell r="T327" t="str">
            <v>000000000007053</v>
          </cell>
        </row>
        <row r="328">
          <cell r="C328" t="str">
            <v>LED-A300</v>
          </cell>
          <cell r="G328" t="str">
            <v/>
          </cell>
          <cell r="K328">
            <v>0</v>
          </cell>
          <cell r="L328" t="str">
            <v>旧品加工</v>
          </cell>
          <cell r="O328">
            <v>0</v>
          </cell>
          <cell r="T328" t="str">
            <v>000000000007053</v>
          </cell>
        </row>
        <row r="329">
          <cell r="C329">
            <v>0</v>
          </cell>
          <cell r="G329" t="str">
            <v/>
          </cell>
          <cell r="K329">
            <v>0</v>
          </cell>
          <cell r="L329" t="str">
            <v>持出端材</v>
          </cell>
          <cell r="T329" t="str">
            <v>000000000007053</v>
          </cell>
        </row>
        <row r="330">
          <cell r="G330" t="str">
            <v/>
          </cell>
          <cell r="K330">
            <v>0</v>
          </cell>
          <cell r="L330" t="str">
            <v>α端材</v>
          </cell>
          <cell r="M330">
            <v>0</v>
          </cell>
          <cell r="P330">
            <v>0</v>
          </cell>
          <cell r="T330" t="str">
            <v>000000000007053</v>
          </cell>
        </row>
        <row r="331">
          <cell r="C331" t="str">
            <v>8FL281304 5010　L=888</v>
          </cell>
          <cell r="I331">
            <v>0</v>
          </cell>
          <cell r="J331">
            <v>0</v>
          </cell>
          <cell r="K331">
            <v>0</v>
          </cell>
          <cell r="O331">
            <v>0</v>
          </cell>
          <cell r="T331" t="str">
            <v>000000000007061</v>
          </cell>
        </row>
        <row r="332">
          <cell r="G332" t="str">
            <v/>
          </cell>
          <cell r="I332" t="str">
            <v/>
          </cell>
          <cell r="K332">
            <v>0</v>
          </cell>
          <cell r="O332">
            <v>0</v>
          </cell>
          <cell r="T332" t="str">
            <v>000000000007061</v>
          </cell>
        </row>
        <row r="333">
          <cell r="C333">
            <v>3000</v>
          </cell>
          <cell r="G333" t="str">
            <v/>
          </cell>
          <cell r="K333">
            <v>0</v>
          </cell>
          <cell r="O333">
            <v>0</v>
          </cell>
          <cell r="T333" t="str">
            <v>000000000007061</v>
          </cell>
        </row>
        <row r="334">
          <cell r="G334" t="str">
            <v/>
          </cell>
          <cell r="K334">
            <v>0</v>
          </cell>
          <cell r="O334">
            <v>0</v>
          </cell>
          <cell r="T334" t="str">
            <v>000000000007061</v>
          </cell>
        </row>
        <row r="335">
          <cell r="C335">
            <v>2</v>
          </cell>
          <cell r="G335" t="str">
            <v/>
          </cell>
          <cell r="K335">
            <v>0</v>
          </cell>
          <cell r="O335">
            <v>0</v>
          </cell>
          <cell r="T335" t="str">
            <v>000000000007061</v>
          </cell>
        </row>
        <row r="336">
          <cell r="C336" t="str">
            <v>LED-A888</v>
          </cell>
          <cell r="G336" t="str">
            <v/>
          </cell>
          <cell r="K336">
            <v>0</v>
          </cell>
          <cell r="L336" t="str">
            <v>旧品加工</v>
          </cell>
          <cell r="O336">
            <v>0</v>
          </cell>
          <cell r="T336" t="str">
            <v>000000000007061</v>
          </cell>
        </row>
        <row r="337">
          <cell r="C337">
            <v>0</v>
          </cell>
          <cell r="G337" t="str">
            <v/>
          </cell>
          <cell r="K337">
            <v>0</v>
          </cell>
          <cell r="L337" t="str">
            <v>持出端材</v>
          </cell>
          <cell r="T337" t="str">
            <v>000000000007061</v>
          </cell>
        </row>
        <row r="338">
          <cell r="G338" t="str">
            <v/>
          </cell>
          <cell r="K338">
            <v>0</v>
          </cell>
          <cell r="L338" t="str">
            <v>α端材</v>
          </cell>
          <cell r="M338">
            <v>0</v>
          </cell>
          <cell r="P338">
            <v>0</v>
          </cell>
          <cell r="T338" t="str">
            <v>000000000007061</v>
          </cell>
        </row>
        <row r="339">
          <cell r="C339" t="str">
            <v>灯具カバーPC IN 2070　L=1966</v>
          </cell>
          <cell r="I339">
            <v>0</v>
          </cell>
          <cell r="J339">
            <v>0</v>
          </cell>
          <cell r="K339">
            <v>0</v>
          </cell>
          <cell r="O339">
            <v>0</v>
          </cell>
          <cell r="T339" t="str">
            <v>000000000007426</v>
          </cell>
        </row>
        <row r="340">
          <cell r="G340" t="str">
            <v/>
          </cell>
          <cell r="I340" t="str">
            <v/>
          </cell>
          <cell r="K340">
            <v>0</v>
          </cell>
          <cell r="O340">
            <v>0</v>
          </cell>
          <cell r="T340" t="str">
            <v>000000000007426</v>
          </cell>
        </row>
        <row r="341">
          <cell r="C341">
            <v>48</v>
          </cell>
          <cell r="G341" t="str">
            <v/>
          </cell>
          <cell r="K341">
            <v>0</v>
          </cell>
          <cell r="O341">
            <v>0</v>
          </cell>
          <cell r="T341" t="str">
            <v>000000000007426</v>
          </cell>
        </row>
        <row r="342">
          <cell r="G342" t="str">
            <v/>
          </cell>
          <cell r="K342">
            <v>0</v>
          </cell>
          <cell r="O342">
            <v>0</v>
          </cell>
          <cell r="T342" t="str">
            <v>000000000007426</v>
          </cell>
        </row>
        <row r="343">
          <cell r="C343">
            <v>1</v>
          </cell>
          <cell r="G343" t="str">
            <v/>
          </cell>
          <cell r="K343">
            <v>0</v>
          </cell>
          <cell r="O343">
            <v>0</v>
          </cell>
          <cell r="T343" t="str">
            <v>000000000007426</v>
          </cell>
        </row>
        <row r="344">
          <cell r="C344" t="str">
            <v>灯具-2　L＝1996</v>
          </cell>
          <cell r="G344" t="str">
            <v/>
          </cell>
          <cell r="K344">
            <v>0</v>
          </cell>
          <cell r="L344" t="str">
            <v>旧品加工</v>
          </cell>
          <cell r="O344">
            <v>0</v>
          </cell>
          <cell r="T344" t="str">
            <v>000000000007426</v>
          </cell>
        </row>
        <row r="345">
          <cell r="C345">
            <v>0</v>
          </cell>
          <cell r="G345" t="str">
            <v/>
          </cell>
          <cell r="K345">
            <v>0</v>
          </cell>
          <cell r="L345" t="str">
            <v>持出端材</v>
          </cell>
          <cell r="T345" t="str">
            <v>000000000007426</v>
          </cell>
        </row>
        <row r="346">
          <cell r="G346" t="str">
            <v/>
          </cell>
          <cell r="K346">
            <v>0</v>
          </cell>
          <cell r="L346" t="str">
            <v>α端材</v>
          </cell>
          <cell r="M346">
            <v>0</v>
          </cell>
          <cell r="P346">
            <v>0</v>
          </cell>
          <cell r="T346" t="str">
            <v>000000000007426</v>
          </cell>
        </row>
        <row r="347">
          <cell r="C347" t="str">
            <v>8FL281304 6110　L=1478</v>
          </cell>
          <cell r="I347">
            <v>0</v>
          </cell>
          <cell r="J347">
            <v>0</v>
          </cell>
          <cell r="K347">
            <v>0</v>
          </cell>
          <cell r="O347">
            <v>0</v>
          </cell>
          <cell r="T347" t="str">
            <v>000000000007059</v>
          </cell>
        </row>
        <row r="348">
          <cell r="G348" t="str">
            <v/>
          </cell>
          <cell r="I348" t="str">
            <v/>
          </cell>
          <cell r="K348">
            <v>0</v>
          </cell>
          <cell r="O348">
            <v>0</v>
          </cell>
          <cell r="T348" t="str">
            <v>000000000007059</v>
          </cell>
        </row>
        <row r="349">
          <cell r="C349">
            <v>600</v>
          </cell>
          <cell r="G349" t="str">
            <v/>
          </cell>
          <cell r="K349">
            <v>0</v>
          </cell>
          <cell r="O349">
            <v>0</v>
          </cell>
          <cell r="T349" t="str">
            <v>000000000007059</v>
          </cell>
        </row>
        <row r="350">
          <cell r="G350" t="str">
            <v/>
          </cell>
          <cell r="K350">
            <v>0</v>
          </cell>
          <cell r="O350">
            <v>0</v>
          </cell>
          <cell r="T350" t="str">
            <v>000000000007059</v>
          </cell>
        </row>
        <row r="351">
          <cell r="C351">
            <v>1</v>
          </cell>
          <cell r="G351" t="str">
            <v/>
          </cell>
          <cell r="K351">
            <v>0</v>
          </cell>
          <cell r="O351">
            <v>0</v>
          </cell>
          <cell r="T351" t="str">
            <v>000000000007059</v>
          </cell>
        </row>
        <row r="352">
          <cell r="C352" t="str">
            <v>LED-A1478</v>
          </cell>
          <cell r="G352" t="str">
            <v/>
          </cell>
          <cell r="K352">
            <v>0</v>
          </cell>
          <cell r="L352" t="str">
            <v>旧品加工</v>
          </cell>
          <cell r="O352">
            <v>0</v>
          </cell>
          <cell r="T352" t="str">
            <v>000000000007059</v>
          </cell>
        </row>
        <row r="353">
          <cell r="C353">
            <v>0</v>
          </cell>
          <cell r="G353" t="str">
            <v/>
          </cell>
          <cell r="K353">
            <v>0</v>
          </cell>
          <cell r="L353" t="str">
            <v>持出端材</v>
          </cell>
          <cell r="T353" t="str">
            <v>000000000007059</v>
          </cell>
        </row>
        <row r="354">
          <cell r="G354" t="str">
            <v/>
          </cell>
          <cell r="K354">
            <v>0</v>
          </cell>
          <cell r="L354" t="str">
            <v>α端材</v>
          </cell>
          <cell r="M354">
            <v>0</v>
          </cell>
          <cell r="P354">
            <v>0</v>
          </cell>
          <cell r="T354" t="str">
            <v>000000000007059</v>
          </cell>
        </row>
        <row r="355">
          <cell r="C355" t="str">
            <v>8FL281304 8310　L=748</v>
          </cell>
          <cell r="I355">
            <v>0</v>
          </cell>
          <cell r="J355">
            <v>0</v>
          </cell>
          <cell r="K355">
            <v>0</v>
          </cell>
          <cell r="O355">
            <v>0</v>
          </cell>
          <cell r="T355" t="str">
            <v>000000000007057</v>
          </cell>
        </row>
        <row r="356">
          <cell r="G356" t="str">
            <v/>
          </cell>
          <cell r="I356" t="str">
            <v/>
          </cell>
          <cell r="K356">
            <v>0</v>
          </cell>
          <cell r="O356">
            <v>0</v>
          </cell>
          <cell r="T356" t="str">
            <v>000000000007057</v>
          </cell>
        </row>
        <row r="357">
          <cell r="C357">
            <v>200</v>
          </cell>
          <cell r="G357" t="str">
            <v/>
          </cell>
          <cell r="K357">
            <v>0</v>
          </cell>
          <cell r="O357">
            <v>0</v>
          </cell>
          <cell r="T357" t="str">
            <v>000000000007057</v>
          </cell>
        </row>
        <row r="358">
          <cell r="G358" t="str">
            <v/>
          </cell>
          <cell r="K358">
            <v>0</v>
          </cell>
          <cell r="O358">
            <v>0</v>
          </cell>
          <cell r="T358" t="str">
            <v>000000000007057</v>
          </cell>
        </row>
        <row r="359">
          <cell r="C359">
            <v>2</v>
          </cell>
          <cell r="G359" t="str">
            <v/>
          </cell>
          <cell r="K359">
            <v>0</v>
          </cell>
          <cell r="O359">
            <v>0</v>
          </cell>
          <cell r="T359" t="str">
            <v>000000000007057</v>
          </cell>
        </row>
        <row r="360">
          <cell r="C360" t="str">
            <v>LED-A888</v>
          </cell>
          <cell r="G360" t="str">
            <v/>
          </cell>
          <cell r="K360">
            <v>0</v>
          </cell>
          <cell r="L360" t="str">
            <v>旧品加工</v>
          </cell>
          <cell r="O360">
            <v>0</v>
          </cell>
          <cell r="T360" t="str">
            <v>000000000007057</v>
          </cell>
        </row>
        <row r="361">
          <cell r="C361">
            <v>0</v>
          </cell>
          <cell r="G361" t="str">
            <v/>
          </cell>
          <cell r="K361">
            <v>0</v>
          </cell>
          <cell r="L361" t="str">
            <v>持出端材</v>
          </cell>
          <cell r="T361" t="str">
            <v>000000000007057</v>
          </cell>
        </row>
        <row r="362">
          <cell r="G362" t="str">
            <v/>
          </cell>
          <cell r="K362">
            <v>0</v>
          </cell>
          <cell r="L362" t="str">
            <v>α端材</v>
          </cell>
          <cell r="M362">
            <v>0</v>
          </cell>
          <cell r="P362">
            <v>0</v>
          </cell>
          <cell r="T362" t="str">
            <v>000000000007057</v>
          </cell>
        </row>
        <row r="363">
          <cell r="C363" t="str">
            <v>8FL281304 5010　L=888</v>
          </cell>
          <cell r="I363">
            <v>0</v>
          </cell>
          <cell r="J363">
            <v>0</v>
          </cell>
          <cell r="K363">
            <v>0</v>
          </cell>
          <cell r="O363">
            <v>0</v>
          </cell>
          <cell r="T363" t="str">
            <v>000000000007058</v>
          </cell>
        </row>
        <row r="364">
          <cell r="G364" t="str">
            <v/>
          </cell>
          <cell r="I364" t="str">
            <v/>
          </cell>
          <cell r="K364">
            <v>0</v>
          </cell>
          <cell r="O364">
            <v>0</v>
          </cell>
          <cell r="T364" t="str">
            <v>000000000007058</v>
          </cell>
        </row>
        <row r="365">
          <cell r="C365">
            <v>900</v>
          </cell>
          <cell r="G365" t="str">
            <v/>
          </cell>
          <cell r="K365">
            <v>0</v>
          </cell>
          <cell r="O365">
            <v>0</v>
          </cell>
          <cell r="T365" t="str">
            <v>000000000007058</v>
          </cell>
        </row>
        <row r="366">
          <cell r="G366" t="str">
            <v/>
          </cell>
          <cell r="K366">
            <v>0</v>
          </cell>
          <cell r="O366">
            <v>0</v>
          </cell>
          <cell r="T366" t="str">
            <v>000000000007058</v>
          </cell>
        </row>
        <row r="367">
          <cell r="C367">
            <v>2</v>
          </cell>
          <cell r="G367" t="str">
            <v/>
          </cell>
          <cell r="K367">
            <v>0</v>
          </cell>
          <cell r="O367">
            <v>0</v>
          </cell>
          <cell r="T367" t="str">
            <v>000000000007058</v>
          </cell>
        </row>
        <row r="368">
          <cell r="C368" t="str">
            <v>LED-A888</v>
          </cell>
          <cell r="G368" t="str">
            <v/>
          </cell>
          <cell r="K368">
            <v>0</v>
          </cell>
          <cell r="L368" t="str">
            <v>旧品加工</v>
          </cell>
          <cell r="O368">
            <v>0</v>
          </cell>
          <cell r="T368" t="str">
            <v>000000000007058</v>
          </cell>
        </row>
        <row r="369">
          <cell r="C369">
            <v>0</v>
          </cell>
          <cell r="G369" t="str">
            <v/>
          </cell>
          <cell r="K369">
            <v>0</v>
          </cell>
          <cell r="L369" t="str">
            <v>持出端材</v>
          </cell>
          <cell r="T369" t="str">
            <v>000000000007058</v>
          </cell>
        </row>
        <row r="370">
          <cell r="G370" t="str">
            <v/>
          </cell>
          <cell r="K370">
            <v>0</v>
          </cell>
          <cell r="L370" t="str">
            <v>α端材</v>
          </cell>
          <cell r="M370">
            <v>0</v>
          </cell>
          <cell r="P370">
            <v>0</v>
          </cell>
          <cell r="T370" t="str">
            <v>000000000007058</v>
          </cell>
        </row>
        <row r="371">
          <cell r="C371" t="str">
            <v>8FL281304 5010　L=888</v>
          </cell>
          <cell r="I371">
            <v>0</v>
          </cell>
          <cell r="J371">
            <v>0</v>
          </cell>
          <cell r="K371">
            <v>0</v>
          </cell>
          <cell r="O371">
            <v>0</v>
          </cell>
          <cell r="T371" t="str">
            <v>000000000007286</v>
          </cell>
        </row>
        <row r="372">
          <cell r="G372" t="str">
            <v/>
          </cell>
          <cell r="I372" t="str">
            <v/>
          </cell>
          <cell r="K372">
            <v>0</v>
          </cell>
          <cell r="O372">
            <v>0</v>
          </cell>
          <cell r="T372" t="str">
            <v>000000000007286</v>
          </cell>
        </row>
        <row r="373">
          <cell r="C373">
            <v>100</v>
          </cell>
          <cell r="G373" t="str">
            <v/>
          </cell>
          <cell r="K373">
            <v>0</v>
          </cell>
          <cell r="O373">
            <v>0</v>
          </cell>
          <cell r="T373" t="str">
            <v>000000000007286</v>
          </cell>
        </row>
        <row r="374">
          <cell r="G374" t="str">
            <v/>
          </cell>
          <cell r="K374">
            <v>0</v>
          </cell>
          <cell r="O374">
            <v>0</v>
          </cell>
          <cell r="T374" t="str">
            <v>000000000007286</v>
          </cell>
        </row>
        <row r="375">
          <cell r="C375">
            <v>2</v>
          </cell>
          <cell r="G375" t="str">
            <v/>
          </cell>
          <cell r="K375">
            <v>0</v>
          </cell>
          <cell r="O375">
            <v>0</v>
          </cell>
          <cell r="T375" t="str">
            <v>000000000007286</v>
          </cell>
        </row>
        <row r="376">
          <cell r="C376" t="str">
            <v>LED-A888</v>
          </cell>
          <cell r="G376" t="str">
            <v/>
          </cell>
          <cell r="K376">
            <v>0</v>
          </cell>
          <cell r="L376" t="str">
            <v>旧品加工</v>
          </cell>
          <cell r="O376">
            <v>0</v>
          </cell>
          <cell r="T376" t="str">
            <v>000000000007286</v>
          </cell>
        </row>
        <row r="377">
          <cell r="C377">
            <v>0</v>
          </cell>
          <cell r="G377" t="str">
            <v/>
          </cell>
          <cell r="K377">
            <v>0</v>
          </cell>
          <cell r="L377" t="str">
            <v>持出端材</v>
          </cell>
          <cell r="T377" t="str">
            <v>000000000007286</v>
          </cell>
        </row>
        <row r="378">
          <cell r="G378" t="str">
            <v/>
          </cell>
          <cell r="K378">
            <v>0</v>
          </cell>
          <cell r="L378" t="str">
            <v>α端材</v>
          </cell>
          <cell r="M378">
            <v>0</v>
          </cell>
          <cell r="P378">
            <v>0</v>
          </cell>
          <cell r="T378" t="str">
            <v>000000000007286</v>
          </cell>
        </row>
        <row r="379">
          <cell r="C379" t="str">
            <v>8FL281304 5010　L=888</v>
          </cell>
          <cell r="I379">
            <v>0</v>
          </cell>
          <cell r="J379">
            <v>0</v>
          </cell>
          <cell r="K379">
            <v>0</v>
          </cell>
          <cell r="O379">
            <v>0</v>
          </cell>
          <cell r="T379" t="str">
            <v>000000000007287</v>
          </cell>
        </row>
        <row r="380">
          <cell r="G380" t="str">
            <v/>
          </cell>
          <cell r="I380" t="str">
            <v/>
          </cell>
          <cell r="K380">
            <v>0</v>
          </cell>
          <cell r="O380">
            <v>0</v>
          </cell>
          <cell r="T380" t="str">
            <v>000000000007287</v>
          </cell>
        </row>
        <row r="381">
          <cell r="C381">
            <v>1000</v>
          </cell>
          <cell r="G381" t="str">
            <v/>
          </cell>
          <cell r="K381">
            <v>0</v>
          </cell>
          <cell r="O381">
            <v>0</v>
          </cell>
          <cell r="T381" t="str">
            <v>000000000007287</v>
          </cell>
        </row>
        <row r="382">
          <cell r="G382" t="str">
            <v/>
          </cell>
          <cell r="K382">
            <v>0</v>
          </cell>
          <cell r="O382">
            <v>0</v>
          </cell>
          <cell r="T382" t="str">
            <v>000000000007287</v>
          </cell>
        </row>
        <row r="383">
          <cell r="C383">
            <v>2</v>
          </cell>
          <cell r="G383" t="str">
            <v/>
          </cell>
          <cell r="K383">
            <v>0</v>
          </cell>
          <cell r="O383">
            <v>0</v>
          </cell>
          <cell r="T383" t="str">
            <v>000000000007287</v>
          </cell>
        </row>
        <row r="384">
          <cell r="C384" t="str">
            <v>LED-A888</v>
          </cell>
          <cell r="G384" t="str">
            <v/>
          </cell>
          <cell r="K384">
            <v>0</v>
          </cell>
          <cell r="L384" t="str">
            <v>旧品加工</v>
          </cell>
          <cell r="O384">
            <v>0</v>
          </cell>
          <cell r="T384" t="str">
            <v>000000000007287</v>
          </cell>
        </row>
        <row r="385">
          <cell r="C385">
            <v>0</v>
          </cell>
          <cell r="G385" t="str">
            <v/>
          </cell>
          <cell r="K385">
            <v>0</v>
          </cell>
          <cell r="L385" t="str">
            <v>持出端材</v>
          </cell>
          <cell r="T385" t="str">
            <v>000000000007287</v>
          </cell>
        </row>
        <row r="386">
          <cell r="G386" t="str">
            <v/>
          </cell>
          <cell r="K386">
            <v>0</v>
          </cell>
          <cell r="L386" t="str">
            <v>α端材</v>
          </cell>
          <cell r="M386">
            <v>0</v>
          </cell>
          <cell r="P386">
            <v>0</v>
          </cell>
          <cell r="T386" t="str">
            <v>000000000007287</v>
          </cell>
        </row>
        <row r="387">
          <cell r="C387" t="str">
            <v>8FL281304 5010　L=888</v>
          </cell>
          <cell r="I387">
            <v>0</v>
          </cell>
          <cell r="J387">
            <v>0</v>
          </cell>
          <cell r="K387">
            <v>0</v>
          </cell>
          <cell r="O387">
            <v>0</v>
          </cell>
          <cell r="T387" t="str">
            <v>000000000007288</v>
          </cell>
        </row>
        <row r="388">
          <cell r="G388" t="str">
            <v/>
          </cell>
          <cell r="I388" t="str">
            <v/>
          </cell>
          <cell r="K388">
            <v>0</v>
          </cell>
          <cell r="O388">
            <v>0</v>
          </cell>
          <cell r="T388" t="str">
            <v>000000000007288</v>
          </cell>
        </row>
        <row r="389">
          <cell r="C389">
            <v>400</v>
          </cell>
          <cell r="G389" t="str">
            <v/>
          </cell>
          <cell r="K389">
            <v>0</v>
          </cell>
          <cell r="O389">
            <v>0</v>
          </cell>
          <cell r="T389" t="str">
            <v>000000000007288</v>
          </cell>
        </row>
        <row r="390">
          <cell r="G390" t="str">
            <v/>
          </cell>
          <cell r="K390">
            <v>0</v>
          </cell>
          <cell r="O390">
            <v>0</v>
          </cell>
          <cell r="T390" t="str">
            <v>000000000007288</v>
          </cell>
        </row>
        <row r="391">
          <cell r="C391">
            <v>2</v>
          </cell>
          <cell r="G391" t="str">
            <v/>
          </cell>
          <cell r="K391">
            <v>0</v>
          </cell>
          <cell r="O391">
            <v>0</v>
          </cell>
          <cell r="T391" t="str">
            <v>000000000007288</v>
          </cell>
        </row>
        <row r="392">
          <cell r="C392" t="str">
            <v>LED-A888</v>
          </cell>
          <cell r="G392" t="str">
            <v/>
          </cell>
          <cell r="K392">
            <v>0</v>
          </cell>
          <cell r="L392" t="str">
            <v>旧品加工</v>
          </cell>
          <cell r="O392">
            <v>0</v>
          </cell>
          <cell r="T392" t="str">
            <v>000000000007288</v>
          </cell>
        </row>
        <row r="393">
          <cell r="C393">
            <v>0</v>
          </cell>
          <cell r="G393" t="str">
            <v/>
          </cell>
          <cell r="K393">
            <v>0</v>
          </cell>
          <cell r="L393" t="str">
            <v>持出端材</v>
          </cell>
          <cell r="T393" t="str">
            <v>000000000007288</v>
          </cell>
        </row>
        <row r="394">
          <cell r="G394" t="str">
            <v/>
          </cell>
          <cell r="K394">
            <v>0</v>
          </cell>
          <cell r="L394" t="str">
            <v>α端材</v>
          </cell>
          <cell r="M394">
            <v>0</v>
          </cell>
          <cell r="P394">
            <v>0</v>
          </cell>
          <cell r="T394" t="str">
            <v>000000000007288</v>
          </cell>
        </row>
        <row r="395">
          <cell r="C395" t="str">
            <v>8FL281304 4910　L=592</v>
          </cell>
          <cell r="I395">
            <v>0</v>
          </cell>
          <cell r="J395">
            <v>0</v>
          </cell>
          <cell r="K395">
            <v>0</v>
          </cell>
          <cell r="O395">
            <v>0</v>
          </cell>
          <cell r="T395" t="str">
            <v>000000000007284</v>
          </cell>
        </row>
        <row r="396">
          <cell r="G396" t="str">
            <v/>
          </cell>
          <cell r="I396" t="str">
            <v/>
          </cell>
          <cell r="K396">
            <v>0</v>
          </cell>
          <cell r="O396">
            <v>0</v>
          </cell>
          <cell r="T396" t="str">
            <v>000000000007284</v>
          </cell>
        </row>
        <row r="397">
          <cell r="C397">
            <v>400</v>
          </cell>
          <cell r="G397" t="str">
            <v/>
          </cell>
          <cell r="K397">
            <v>0</v>
          </cell>
          <cell r="O397">
            <v>0</v>
          </cell>
          <cell r="T397" t="str">
            <v>000000000007284</v>
          </cell>
        </row>
        <row r="398">
          <cell r="G398" t="str">
            <v/>
          </cell>
          <cell r="K398">
            <v>0</v>
          </cell>
          <cell r="O398">
            <v>0</v>
          </cell>
          <cell r="T398" t="str">
            <v>000000000007284</v>
          </cell>
        </row>
        <row r="399">
          <cell r="C399">
            <v>3</v>
          </cell>
          <cell r="G399" t="str">
            <v/>
          </cell>
          <cell r="K399">
            <v>0</v>
          </cell>
          <cell r="O399">
            <v>0</v>
          </cell>
          <cell r="T399" t="str">
            <v>000000000007284</v>
          </cell>
        </row>
        <row r="400">
          <cell r="C400" t="str">
            <v>LED-A592</v>
          </cell>
          <cell r="G400" t="str">
            <v/>
          </cell>
          <cell r="K400">
            <v>0</v>
          </cell>
          <cell r="L400" t="str">
            <v>旧品加工</v>
          </cell>
          <cell r="O400">
            <v>0</v>
          </cell>
          <cell r="T400" t="str">
            <v>000000000007284</v>
          </cell>
        </row>
        <row r="401">
          <cell r="C401">
            <v>0</v>
          </cell>
          <cell r="G401" t="str">
            <v/>
          </cell>
          <cell r="K401">
            <v>0</v>
          </cell>
          <cell r="L401" t="str">
            <v>持出端材</v>
          </cell>
          <cell r="T401" t="str">
            <v>000000000007284</v>
          </cell>
        </row>
        <row r="402">
          <cell r="G402" t="str">
            <v/>
          </cell>
          <cell r="K402">
            <v>0</v>
          </cell>
          <cell r="L402" t="str">
            <v>α端材</v>
          </cell>
          <cell r="M402">
            <v>0</v>
          </cell>
          <cell r="P402">
            <v>0</v>
          </cell>
          <cell r="T402" t="str">
            <v>000000000007284</v>
          </cell>
        </row>
        <row r="403">
          <cell r="C403" t="str">
            <v>8FL281304 8110　L=444</v>
          </cell>
          <cell r="I403">
            <v>0</v>
          </cell>
          <cell r="J403">
            <v>0</v>
          </cell>
          <cell r="K403">
            <v>0</v>
          </cell>
          <cell r="O403">
            <v>0</v>
          </cell>
          <cell r="T403" t="str">
            <v>000000000007283</v>
          </cell>
        </row>
        <row r="404">
          <cell r="G404" t="str">
            <v/>
          </cell>
          <cell r="I404" t="str">
            <v/>
          </cell>
          <cell r="K404">
            <v>0</v>
          </cell>
          <cell r="O404">
            <v>0</v>
          </cell>
          <cell r="T404" t="str">
            <v>000000000007283</v>
          </cell>
        </row>
        <row r="405">
          <cell r="C405">
            <v>100</v>
          </cell>
          <cell r="G405" t="str">
            <v/>
          </cell>
          <cell r="K405">
            <v>0</v>
          </cell>
          <cell r="O405">
            <v>0</v>
          </cell>
          <cell r="T405" t="str">
            <v>000000000007283</v>
          </cell>
        </row>
        <row r="406">
          <cell r="G406" t="str">
            <v/>
          </cell>
          <cell r="K406">
            <v>0</v>
          </cell>
          <cell r="O406">
            <v>0</v>
          </cell>
          <cell r="T406" t="str">
            <v>000000000007283</v>
          </cell>
        </row>
        <row r="407">
          <cell r="C407">
            <v>4</v>
          </cell>
          <cell r="G407" t="str">
            <v/>
          </cell>
          <cell r="K407">
            <v>0</v>
          </cell>
          <cell r="O407">
            <v>0</v>
          </cell>
          <cell r="T407" t="str">
            <v>000000000007283</v>
          </cell>
        </row>
        <row r="408">
          <cell r="C408" t="str">
            <v>LED-A444</v>
          </cell>
          <cell r="G408" t="str">
            <v/>
          </cell>
          <cell r="K408">
            <v>0</v>
          </cell>
          <cell r="L408" t="str">
            <v>旧品加工</v>
          </cell>
          <cell r="O408">
            <v>0</v>
          </cell>
          <cell r="T408" t="str">
            <v>000000000007283</v>
          </cell>
        </row>
        <row r="409">
          <cell r="C409">
            <v>0</v>
          </cell>
          <cell r="G409" t="str">
            <v/>
          </cell>
          <cell r="K409">
            <v>0</v>
          </cell>
          <cell r="L409" t="str">
            <v>持出端材</v>
          </cell>
          <cell r="T409" t="str">
            <v>000000000007283</v>
          </cell>
        </row>
        <row r="410">
          <cell r="G410" t="str">
            <v/>
          </cell>
          <cell r="K410">
            <v>0</v>
          </cell>
          <cell r="L410" t="str">
            <v>α端材</v>
          </cell>
          <cell r="M410">
            <v>0</v>
          </cell>
          <cell r="P410">
            <v>0</v>
          </cell>
          <cell r="T410" t="str">
            <v>000000000007283</v>
          </cell>
        </row>
        <row r="411">
          <cell r="C411" t="str">
            <v>8FL281304 4810　L=297</v>
          </cell>
          <cell r="I411">
            <v>0</v>
          </cell>
          <cell r="J411">
            <v>0</v>
          </cell>
          <cell r="K411">
            <v>0</v>
          </cell>
          <cell r="O411">
            <v>0</v>
          </cell>
          <cell r="T411" t="str">
            <v>000000000007281</v>
          </cell>
        </row>
        <row r="412">
          <cell r="G412" t="str">
            <v/>
          </cell>
          <cell r="I412" t="str">
            <v/>
          </cell>
          <cell r="K412">
            <v>0</v>
          </cell>
          <cell r="O412">
            <v>0</v>
          </cell>
          <cell r="T412" t="str">
            <v>000000000007281</v>
          </cell>
        </row>
        <row r="413">
          <cell r="C413">
            <v>200</v>
          </cell>
          <cell r="G413" t="str">
            <v/>
          </cell>
          <cell r="K413">
            <v>0</v>
          </cell>
          <cell r="O413">
            <v>0</v>
          </cell>
          <cell r="T413" t="str">
            <v>000000000007281</v>
          </cell>
        </row>
        <row r="414">
          <cell r="G414" t="str">
            <v/>
          </cell>
          <cell r="K414">
            <v>0</v>
          </cell>
          <cell r="O414">
            <v>0</v>
          </cell>
          <cell r="T414" t="str">
            <v>000000000007281</v>
          </cell>
        </row>
        <row r="415">
          <cell r="C415">
            <v>6</v>
          </cell>
          <cell r="G415" t="str">
            <v/>
          </cell>
          <cell r="K415">
            <v>0</v>
          </cell>
          <cell r="O415">
            <v>0</v>
          </cell>
          <cell r="T415" t="str">
            <v>000000000007281</v>
          </cell>
        </row>
        <row r="416">
          <cell r="C416" t="str">
            <v>LED-A300</v>
          </cell>
          <cell r="G416" t="str">
            <v/>
          </cell>
          <cell r="K416">
            <v>0</v>
          </cell>
          <cell r="L416" t="str">
            <v>旧品加工</v>
          </cell>
          <cell r="O416">
            <v>0</v>
          </cell>
          <cell r="T416" t="str">
            <v>000000000007281</v>
          </cell>
        </row>
        <row r="417">
          <cell r="C417">
            <v>0</v>
          </cell>
          <cell r="G417" t="str">
            <v/>
          </cell>
          <cell r="K417">
            <v>0</v>
          </cell>
          <cell r="L417" t="str">
            <v>持出端材</v>
          </cell>
          <cell r="T417" t="str">
            <v>000000000007281</v>
          </cell>
        </row>
        <row r="418">
          <cell r="G418" t="str">
            <v/>
          </cell>
          <cell r="K418">
            <v>0</v>
          </cell>
          <cell r="L418" t="str">
            <v>α端材</v>
          </cell>
          <cell r="M418">
            <v>0</v>
          </cell>
          <cell r="P418">
            <v>0</v>
          </cell>
          <cell r="T418" t="str">
            <v>000000000007281</v>
          </cell>
        </row>
        <row r="419">
          <cell r="C419" t="str">
            <v>8FL281304 6110　L=1478</v>
          </cell>
          <cell r="I419">
            <v>0</v>
          </cell>
          <cell r="J419">
            <v>0</v>
          </cell>
          <cell r="K419">
            <v>0</v>
          </cell>
          <cell r="O419">
            <v>0</v>
          </cell>
          <cell r="T419" t="str">
            <v>000000000007290</v>
          </cell>
        </row>
        <row r="420">
          <cell r="G420" t="str">
            <v/>
          </cell>
          <cell r="I420" t="str">
            <v/>
          </cell>
          <cell r="K420">
            <v>0</v>
          </cell>
          <cell r="O420">
            <v>0</v>
          </cell>
          <cell r="T420" t="str">
            <v>000000000007290</v>
          </cell>
        </row>
        <row r="421">
          <cell r="C421">
            <v>700</v>
          </cell>
          <cell r="G421" t="str">
            <v/>
          </cell>
          <cell r="K421">
            <v>0</v>
          </cell>
          <cell r="O421">
            <v>0</v>
          </cell>
          <cell r="T421" t="str">
            <v>000000000007290</v>
          </cell>
        </row>
        <row r="422">
          <cell r="G422" t="str">
            <v/>
          </cell>
          <cell r="K422">
            <v>0</v>
          </cell>
          <cell r="O422">
            <v>0</v>
          </cell>
          <cell r="T422" t="str">
            <v>000000000007290</v>
          </cell>
        </row>
        <row r="423">
          <cell r="C423">
            <v>1</v>
          </cell>
          <cell r="G423" t="str">
            <v/>
          </cell>
          <cell r="K423">
            <v>0</v>
          </cell>
          <cell r="O423">
            <v>0</v>
          </cell>
          <cell r="T423" t="str">
            <v>000000000007290</v>
          </cell>
        </row>
        <row r="424">
          <cell r="C424" t="str">
            <v>LED-A1478</v>
          </cell>
          <cell r="G424" t="str">
            <v/>
          </cell>
          <cell r="K424">
            <v>0</v>
          </cell>
          <cell r="L424" t="str">
            <v>旧品加工</v>
          </cell>
          <cell r="O424">
            <v>0</v>
          </cell>
          <cell r="T424" t="str">
            <v>000000000007290</v>
          </cell>
        </row>
        <row r="425">
          <cell r="C425">
            <v>0</v>
          </cell>
          <cell r="G425" t="str">
            <v/>
          </cell>
          <cell r="K425">
            <v>0</v>
          </cell>
          <cell r="L425" t="str">
            <v>持出端材</v>
          </cell>
          <cell r="T425" t="str">
            <v>000000000007290</v>
          </cell>
        </row>
        <row r="426">
          <cell r="G426" t="str">
            <v/>
          </cell>
          <cell r="K426">
            <v>0</v>
          </cell>
          <cell r="L426" t="str">
            <v>α端材</v>
          </cell>
          <cell r="M426">
            <v>0</v>
          </cell>
          <cell r="P426">
            <v>0</v>
          </cell>
          <cell r="T426" t="str">
            <v>000000000007290</v>
          </cell>
        </row>
        <row r="427">
          <cell r="C427" t="str">
            <v>灯具カバーPC IN 2070　L=1966</v>
          </cell>
          <cell r="I427">
            <v>0</v>
          </cell>
          <cell r="J427">
            <v>0</v>
          </cell>
          <cell r="K427">
            <v>0</v>
          </cell>
          <cell r="O427">
            <v>0</v>
          </cell>
          <cell r="T427" t="str">
            <v>000000000007427</v>
          </cell>
        </row>
        <row r="428">
          <cell r="G428" t="str">
            <v/>
          </cell>
          <cell r="I428" t="str">
            <v/>
          </cell>
          <cell r="K428">
            <v>0</v>
          </cell>
          <cell r="O428">
            <v>0</v>
          </cell>
          <cell r="T428" t="str">
            <v>000000000007427</v>
          </cell>
        </row>
        <row r="429">
          <cell r="C429">
            <v>144</v>
          </cell>
          <cell r="G429" t="str">
            <v/>
          </cell>
          <cell r="K429">
            <v>0</v>
          </cell>
          <cell r="O429">
            <v>0</v>
          </cell>
          <cell r="T429" t="str">
            <v>000000000007427</v>
          </cell>
        </row>
        <row r="430">
          <cell r="G430" t="str">
            <v/>
          </cell>
          <cell r="K430">
            <v>0</v>
          </cell>
          <cell r="O430">
            <v>0</v>
          </cell>
          <cell r="T430" t="str">
            <v>000000000007427</v>
          </cell>
        </row>
        <row r="431">
          <cell r="C431">
            <v>1</v>
          </cell>
          <cell r="G431" t="str">
            <v/>
          </cell>
          <cell r="K431">
            <v>0</v>
          </cell>
          <cell r="O431">
            <v>0</v>
          </cell>
          <cell r="T431" t="str">
            <v>000000000007427</v>
          </cell>
        </row>
        <row r="432">
          <cell r="C432" t="str">
            <v>灯具-2　L＝1996</v>
          </cell>
          <cell r="G432" t="str">
            <v/>
          </cell>
          <cell r="K432">
            <v>0</v>
          </cell>
          <cell r="L432" t="str">
            <v>旧品加工</v>
          </cell>
          <cell r="O432">
            <v>0</v>
          </cell>
          <cell r="T432" t="str">
            <v>000000000007427</v>
          </cell>
        </row>
        <row r="433">
          <cell r="C433">
            <v>0</v>
          </cell>
          <cell r="G433" t="str">
            <v/>
          </cell>
          <cell r="K433">
            <v>0</v>
          </cell>
          <cell r="L433" t="str">
            <v>持出端材</v>
          </cell>
          <cell r="T433" t="str">
            <v>000000000007427</v>
          </cell>
        </row>
        <row r="434">
          <cell r="G434" t="str">
            <v/>
          </cell>
          <cell r="K434">
            <v>0</v>
          </cell>
          <cell r="L434" t="str">
            <v>α端材</v>
          </cell>
          <cell r="M434">
            <v>0</v>
          </cell>
          <cell r="P434">
            <v>0</v>
          </cell>
          <cell r="T434" t="str">
            <v>000000000007427</v>
          </cell>
        </row>
        <row r="435">
          <cell r="C435" t="str">
            <v>灯具カバーPC IN 2140　L=547</v>
          </cell>
          <cell r="I435">
            <v>0</v>
          </cell>
          <cell r="J435">
            <v>0</v>
          </cell>
          <cell r="K435">
            <v>0</v>
          </cell>
          <cell r="O435">
            <v>0</v>
          </cell>
          <cell r="T435" t="str">
            <v>000000000007415</v>
          </cell>
        </row>
        <row r="436">
          <cell r="G436" t="str">
            <v/>
          </cell>
          <cell r="I436" t="str">
            <v/>
          </cell>
          <cell r="K436">
            <v>0</v>
          </cell>
          <cell r="O436">
            <v>0</v>
          </cell>
          <cell r="T436" t="str">
            <v>000000000007415</v>
          </cell>
        </row>
        <row r="437">
          <cell r="C437">
            <v>192</v>
          </cell>
          <cell r="G437" t="str">
            <v/>
          </cell>
          <cell r="K437">
            <v>0</v>
          </cell>
          <cell r="O437">
            <v>0</v>
          </cell>
          <cell r="T437" t="str">
            <v>000000000007415</v>
          </cell>
        </row>
        <row r="438">
          <cell r="G438" t="str">
            <v/>
          </cell>
          <cell r="K438">
            <v>0</v>
          </cell>
          <cell r="O438">
            <v>0</v>
          </cell>
          <cell r="T438" t="str">
            <v>000000000007415</v>
          </cell>
        </row>
        <row r="439">
          <cell r="C439">
            <v>1</v>
          </cell>
          <cell r="G439" t="str">
            <v/>
          </cell>
          <cell r="K439">
            <v>0</v>
          </cell>
          <cell r="O439">
            <v>0</v>
          </cell>
          <cell r="T439" t="str">
            <v>000000000007415</v>
          </cell>
        </row>
        <row r="440">
          <cell r="C440" t="str">
            <v>灯具-1　L=1370</v>
          </cell>
          <cell r="G440" t="str">
            <v/>
          </cell>
          <cell r="K440">
            <v>0</v>
          </cell>
          <cell r="L440" t="str">
            <v>旧品加工</v>
          </cell>
          <cell r="O440">
            <v>0</v>
          </cell>
          <cell r="T440" t="str">
            <v>000000000007415</v>
          </cell>
        </row>
        <row r="441">
          <cell r="C441">
            <v>0</v>
          </cell>
          <cell r="G441" t="str">
            <v/>
          </cell>
          <cell r="K441">
            <v>0</v>
          </cell>
          <cell r="L441" t="str">
            <v>持出端材</v>
          </cell>
          <cell r="T441" t="str">
            <v>000000000007415</v>
          </cell>
        </row>
        <row r="442">
          <cell r="G442" t="str">
            <v/>
          </cell>
          <cell r="K442">
            <v>0</v>
          </cell>
          <cell r="L442" t="str">
            <v>α端材</v>
          </cell>
          <cell r="M442">
            <v>0</v>
          </cell>
          <cell r="P442">
            <v>0</v>
          </cell>
          <cell r="T442" t="str">
            <v>000000000007415</v>
          </cell>
        </row>
        <row r="443">
          <cell r="C443" t="str">
            <v>灯具カバーPC IN 2050　L=1183.5</v>
          </cell>
          <cell r="T443" t="str">
            <v>000000000007418</v>
          </cell>
        </row>
        <row r="444">
          <cell r="T444" t="str">
            <v>000000000007418</v>
          </cell>
        </row>
        <row r="445">
          <cell r="C445">
            <v>192</v>
          </cell>
          <cell r="T445" t="str">
            <v>000000000007418</v>
          </cell>
        </row>
        <row r="446">
          <cell r="T446" t="str">
            <v>000000000007418</v>
          </cell>
        </row>
        <row r="447">
          <cell r="C447">
            <v>1</v>
          </cell>
          <cell r="T447" t="str">
            <v>000000000007418</v>
          </cell>
        </row>
        <row r="448">
          <cell r="C448" t="str">
            <v>灯具-1　L=1370</v>
          </cell>
          <cell r="T448" t="str">
            <v>000000000007418</v>
          </cell>
        </row>
        <row r="449">
          <cell r="T449" t="str">
            <v>000000000007418</v>
          </cell>
        </row>
        <row r="450">
          <cell r="T450" t="str">
            <v>000000000007418</v>
          </cell>
        </row>
        <row r="451">
          <cell r="C451" t="str">
            <v>灯具カバーPC IN 2090　L=840</v>
          </cell>
          <cell r="T451" t="str">
            <v>000000000007416</v>
          </cell>
        </row>
        <row r="452">
          <cell r="T452" t="str">
            <v>000000000007416</v>
          </cell>
        </row>
        <row r="453">
          <cell r="C453">
            <v>192</v>
          </cell>
          <cell r="T453" t="str">
            <v>000000000007416</v>
          </cell>
        </row>
        <row r="454">
          <cell r="T454" t="str">
            <v>000000000007416</v>
          </cell>
        </row>
        <row r="455">
          <cell r="C455">
            <v>1</v>
          </cell>
          <cell r="T455" t="str">
            <v>000000000007416</v>
          </cell>
        </row>
        <row r="456">
          <cell r="C456" t="str">
            <v>灯具-2　L＝1996</v>
          </cell>
          <cell r="T456" t="str">
            <v>000000000007416</v>
          </cell>
        </row>
        <row r="457">
          <cell r="T457" t="str">
            <v>000000000007416</v>
          </cell>
        </row>
        <row r="458">
          <cell r="T458" t="str">
            <v>000000000007416</v>
          </cell>
        </row>
        <row r="459">
          <cell r="C459" t="str">
            <v>灯具カバーPC IN 2130　L=908</v>
          </cell>
          <cell r="T459" t="str">
            <v>000000000007417</v>
          </cell>
        </row>
        <row r="460">
          <cell r="T460" t="str">
            <v>000000000007417</v>
          </cell>
        </row>
        <row r="461">
          <cell r="C461">
            <v>192</v>
          </cell>
          <cell r="T461" t="str">
            <v>000000000007417</v>
          </cell>
        </row>
        <row r="462">
          <cell r="T462" t="str">
            <v>000000000007417</v>
          </cell>
        </row>
        <row r="463">
          <cell r="C463">
            <v>1</v>
          </cell>
          <cell r="T463" t="str">
            <v>000000000007417</v>
          </cell>
        </row>
        <row r="464">
          <cell r="C464" t="str">
            <v>灯具-1　L=1370</v>
          </cell>
          <cell r="T464" t="str">
            <v>000000000007417</v>
          </cell>
        </row>
        <row r="465">
          <cell r="T465" t="str">
            <v>000000000007417</v>
          </cell>
        </row>
        <row r="466">
          <cell r="T466" t="str">
            <v>000000000007417</v>
          </cell>
        </row>
        <row r="467">
          <cell r="C467" t="str">
            <v>灯具カバーPC IN 2100　L=1923</v>
          </cell>
          <cell r="T467" t="str">
            <v>000000000007425</v>
          </cell>
        </row>
        <row r="468">
          <cell r="T468" t="str">
            <v>000000000007425</v>
          </cell>
        </row>
        <row r="469">
          <cell r="C469">
            <v>192</v>
          </cell>
          <cell r="T469" t="str">
            <v>000000000007425</v>
          </cell>
        </row>
        <row r="470">
          <cell r="T470" t="str">
            <v>000000000007425</v>
          </cell>
        </row>
        <row r="471">
          <cell r="C471">
            <v>1</v>
          </cell>
          <cell r="T471" t="str">
            <v>000000000007425</v>
          </cell>
        </row>
        <row r="472">
          <cell r="C472" t="str">
            <v>灯具-2　L＝1996</v>
          </cell>
          <cell r="T472" t="str">
            <v>000000000007425</v>
          </cell>
        </row>
        <row r="473">
          <cell r="T473" t="str">
            <v>000000000007425</v>
          </cell>
        </row>
        <row r="474">
          <cell r="T474" t="str">
            <v>000000000007425</v>
          </cell>
        </row>
        <row r="475">
          <cell r="C475" t="str">
            <v>灯具カバーPC  　2190    L=1240</v>
          </cell>
          <cell r="T475" t="str">
            <v>000000000007414</v>
          </cell>
        </row>
        <row r="476">
          <cell r="T476" t="str">
            <v>000000000007414</v>
          </cell>
        </row>
        <row r="477">
          <cell r="C477">
            <v>24</v>
          </cell>
          <cell r="T477" t="str">
            <v>000000000007414</v>
          </cell>
        </row>
        <row r="478">
          <cell r="T478" t="str">
            <v>000000000007414</v>
          </cell>
        </row>
        <row r="479">
          <cell r="C479">
            <v>1</v>
          </cell>
          <cell r="T479" t="str">
            <v>000000000007414</v>
          </cell>
        </row>
        <row r="480">
          <cell r="C480" t="str">
            <v>H型ジョイナー</v>
          </cell>
          <cell r="T480" t="str">
            <v>000000000007414</v>
          </cell>
        </row>
        <row r="481">
          <cell r="T481" t="str">
            <v>000000000007414</v>
          </cell>
        </row>
        <row r="482">
          <cell r="T482" t="str">
            <v>000000000007414</v>
          </cell>
        </row>
        <row r="483">
          <cell r="C483" t="str">
            <v>灯具カバーPC IN 2060　L=1258.5</v>
          </cell>
          <cell r="T483" t="str">
            <v>000000000007420</v>
          </cell>
        </row>
        <row r="484">
          <cell r="T484" t="str">
            <v>000000000007420</v>
          </cell>
        </row>
        <row r="485">
          <cell r="C485">
            <v>176</v>
          </cell>
          <cell r="T485" t="str">
            <v>000000000007420</v>
          </cell>
        </row>
        <row r="486">
          <cell r="T486" t="str">
            <v>000000000007420</v>
          </cell>
        </row>
        <row r="487">
          <cell r="C487">
            <v>1</v>
          </cell>
          <cell r="T487" t="str">
            <v>000000000007420</v>
          </cell>
        </row>
        <row r="488">
          <cell r="C488" t="str">
            <v>灯具-1　L=1370</v>
          </cell>
          <cell r="T488" t="str">
            <v>000000000007420</v>
          </cell>
        </row>
        <row r="489">
          <cell r="T489" t="str">
            <v>000000000007420</v>
          </cell>
        </row>
        <row r="490">
          <cell r="T490" t="str">
            <v>000000000007420</v>
          </cell>
        </row>
        <row r="491">
          <cell r="C491" t="str">
            <v>灯具カバーPC IN 2080　L=1540</v>
          </cell>
          <cell r="T491" t="str">
            <v>000000000007421</v>
          </cell>
        </row>
        <row r="492">
          <cell r="T492" t="str">
            <v>000000000007421</v>
          </cell>
        </row>
        <row r="493">
          <cell r="C493">
            <v>96</v>
          </cell>
          <cell r="T493" t="str">
            <v>000000000007421</v>
          </cell>
        </row>
        <row r="494">
          <cell r="T494" t="str">
            <v>000000000007421</v>
          </cell>
        </row>
        <row r="495">
          <cell r="C495">
            <v>1</v>
          </cell>
          <cell r="T495" t="str">
            <v>000000000007421</v>
          </cell>
        </row>
        <row r="496">
          <cell r="C496" t="str">
            <v>灯具-2　L＝1996</v>
          </cell>
          <cell r="T496" t="str">
            <v>000000000007421</v>
          </cell>
        </row>
        <row r="497">
          <cell r="T497" t="str">
            <v>000000000007421</v>
          </cell>
        </row>
        <row r="498">
          <cell r="T498" t="str">
            <v>000000000007421</v>
          </cell>
        </row>
        <row r="499">
          <cell r="C499" t="str">
            <v>灯具カバーPC IN 2470　L=1648</v>
          </cell>
          <cell r="T499" t="str">
            <v>000000000007422</v>
          </cell>
        </row>
        <row r="500">
          <cell r="T500" t="str">
            <v>000000000007422</v>
          </cell>
        </row>
        <row r="501">
          <cell r="C501">
            <v>96</v>
          </cell>
          <cell r="T501" t="str">
            <v>000000000007422</v>
          </cell>
        </row>
        <row r="502">
          <cell r="T502" t="str">
            <v>000000000007422</v>
          </cell>
        </row>
        <row r="503">
          <cell r="C503">
            <v>1</v>
          </cell>
          <cell r="T503" t="str">
            <v>000000000007422</v>
          </cell>
        </row>
        <row r="504">
          <cell r="C504" t="str">
            <v>灯具-1　L=1370</v>
          </cell>
          <cell r="T504" t="str">
            <v>000000000007422</v>
          </cell>
        </row>
        <row r="505">
          <cell r="T505" t="str">
            <v>000000000007422</v>
          </cell>
        </row>
        <row r="506">
          <cell r="T506" t="str">
            <v>000000000007422</v>
          </cell>
        </row>
        <row r="507">
          <cell r="C507" t="str">
            <v>灯具カバーPC IN 2500　L=1238</v>
          </cell>
          <cell r="T507" t="str">
            <v>000000000007419</v>
          </cell>
        </row>
        <row r="508">
          <cell r="T508" t="str">
            <v>000000000007419</v>
          </cell>
        </row>
        <row r="509">
          <cell r="C509">
            <v>96</v>
          </cell>
          <cell r="T509" t="str">
            <v>000000000007419</v>
          </cell>
        </row>
        <row r="510">
          <cell r="T510" t="str">
            <v>000000000007419</v>
          </cell>
        </row>
        <row r="511">
          <cell r="C511">
            <v>1</v>
          </cell>
          <cell r="T511" t="str">
            <v>000000000007419</v>
          </cell>
        </row>
        <row r="512">
          <cell r="C512" t="str">
            <v>灯具-1　L=1370</v>
          </cell>
          <cell r="T512" t="str">
            <v>000000000007419</v>
          </cell>
        </row>
        <row r="513">
          <cell r="T513" t="str">
            <v>000000000007419</v>
          </cell>
        </row>
        <row r="514">
          <cell r="T514" t="str">
            <v>000000000007419</v>
          </cell>
        </row>
        <row r="515">
          <cell r="C515" t="str">
            <v>採光ルーバーパネルB　L=1996</v>
          </cell>
          <cell r="T515" t="str">
            <v>000000000007383</v>
          </cell>
        </row>
        <row r="516">
          <cell r="T516" t="str">
            <v>000000000007383</v>
          </cell>
        </row>
        <row r="517">
          <cell r="C517">
            <v>294</v>
          </cell>
          <cell r="T517" t="str">
            <v>000000000007383</v>
          </cell>
        </row>
        <row r="518">
          <cell r="T518" t="str">
            <v>000000000007383</v>
          </cell>
        </row>
        <row r="519">
          <cell r="C519">
            <v>1</v>
          </cell>
          <cell r="T519" t="str">
            <v>000000000007383</v>
          </cell>
        </row>
        <row r="520">
          <cell r="C520" t="str">
            <v>上-1</v>
          </cell>
          <cell r="T520" t="str">
            <v>000000000007383</v>
          </cell>
        </row>
        <row r="521">
          <cell r="T521" t="str">
            <v>000000000007383</v>
          </cell>
        </row>
        <row r="522">
          <cell r="T522" t="str">
            <v>000000000007383</v>
          </cell>
        </row>
        <row r="523">
          <cell r="C523" t="str">
            <v>灯具カバーPC IN 2110　L=1815</v>
          </cell>
          <cell r="T523" t="str">
            <v>000000000007423</v>
          </cell>
        </row>
        <row r="524">
          <cell r="T524" t="str">
            <v>000000000007423</v>
          </cell>
        </row>
        <row r="525">
          <cell r="C525">
            <v>192</v>
          </cell>
          <cell r="T525" t="str">
            <v>000000000007423</v>
          </cell>
        </row>
        <row r="526">
          <cell r="T526" t="str">
            <v>000000000007423</v>
          </cell>
        </row>
        <row r="527">
          <cell r="C527">
            <v>1</v>
          </cell>
          <cell r="T527" t="str">
            <v>000000000007423</v>
          </cell>
        </row>
        <row r="528">
          <cell r="C528" t="str">
            <v>灯具-2　L＝1996</v>
          </cell>
          <cell r="T528" t="str">
            <v>000000000007423</v>
          </cell>
        </row>
        <row r="529">
          <cell r="T529" t="str">
            <v>000000000007423</v>
          </cell>
        </row>
        <row r="530">
          <cell r="T530" t="str">
            <v>000000000007423</v>
          </cell>
        </row>
        <row r="531">
          <cell r="C531" t="str">
            <v>8FL281304 6110　L=1478</v>
          </cell>
          <cell r="T531" t="str">
            <v>000000000007290</v>
          </cell>
        </row>
        <row r="532">
          <cell r="T532" t="str">
            <v>000000000007290</v>
          </cell>
        </row>
        <row r="533">
          <cell r="C533">
            <v>800</v>
          </cell>
          <cell r="T533" t="str">
            <v>000000000007290</v>
          </cell>
        </row>
        <row r="534">
          <cell r="T534" t="str">
            <v>000000000007290</v>
          </cell>
        </row>
        <row r="535">
          <cell r="C535">
            <v>1</v>
          </cell>
          <cell r="T535" t="str">
            <v>000000000007290</v>
          </cell>
        </row>
        <row r="536">
          <cell r="C536" t="str">
            <v>LED-A1478</v>
          </cell>
          <cell r="T536" t="str">
            <v>000000000007290</v>
          </cell>
        </row>
        <row r="537">
          <cell r="T537" t="str">
            <v>000000000007290</v>
          </cell>
        </row>
        <row r="538">
          <cell r="T538" t="str">
            <v>000000000007290</v>
          </cell>
        </row>
        <row r="539">
          <cell r="C539" t="str">
            <v>8FL281304 4810　L=297</v>
          </cell>
          <cell r="T539" t="str">
            <v>000000000007282</v>
          </cell>
        </row>
        <row r="540">
          <cell r="T540" t="str">
            <v>000000000007282</v>
          </cell>
        </row>
        <row r="541">
          <cell r="C541">
            <v>300</v>
          </cell>
          <cell r="T541" t="str">
            <v>000000000007282</v>
          </cell>
        </row>
        <row r="542">
          <cell r="T542" t="str">
            <v>000000000007282</v>
          </cell>
        </row>
        <row r="543">
          <cell r="C543">
            <v>6</v>
          </cell>
          <cell r="T543" t="str">
            <v>000000000007282</v>
          </cell>
        </row>
        <row r="544">
          <cell r="C544" t="str">
            <v>LED-A300</v>
          </cell>
          <cell r="T544" t="str">
            <v>000000000007282</v>
          </cell>
        </row>
        <row r="545">
          <cell r="T545" t="str">
            <v>000000000007282</v>
          </cell>
        </row>
        <row r="546">
          <cell r="T546" t="str">
            <v>000000000007282</v>
          </cell>
        </row>
        <row r="547">
          <cell r="C547" t="str">
            <v>8FL281304 5010　L=888</v>
          </cell>
          <cell r="T547" t="str">
            <v>000000000007289</v>
          </cell>
        </row>
        <row r="548">
          <cell r="T548" t="str">
            <v>000000000007289</v>
          </cell>
        </row>
        <row r="549">
          <cell r="C549">
            <v>2000</v>
          </cell>
          <cell r="T549" t="str">
            <v>000000000007289</v>
          </cell>
        </row>
        <row r="550">
          <cell r="T550" t="str">
            <v>000000000007289</v>
          </cell>
        </row>
        <row r="551">
          <cell r="C551">
            <v>2</v>
          </cell>
          <cell r="T551" t="str">
            <v>000000000007289</v>
          </cell>
        </row>
        <row r="552">
          <cell r="C552" t="str">
            <v>LED-A888</v>
          </cell>
          <cell r="T552" t="str">
            <v>000000000007289</v>
          </cell>
        </row>
        <row r="553">
          <cell r="T553" t="str">
            <v>000000000007289</v>
          </cell>
        </row>
        <row r="554">
          <cell r="T554" t="str">
            <v>000000000007289</v>
          </cell>
        </row>
        <row r="555">
          <cell r="C555" t="str">
            <v>灯具カバーPC IN 2110　L=1815</v>
          </cell>
          <cell r="T555" t="str">
            <v>000000000007424</v>
          </cell>
        </row>
        <row r="556">
          <cell r="T556" t="str">
            <v>000000000007424</v>
          </cell>
        </row>
        <row r="557">
          <cell r="C557">
            <v>192</v>
          </cell>
          <cell r="T557" t="str">
            <v>000000000007424</v>
          </cell>
        </row>
        <row r="558">
          <cell r="T558" t="str">
            <v>000000000007424</v>
          </cell>
        </row>
        <row r="559">
          <cell r="C559">
            <v>1</v>
          </cell>
          <cell r="T559" t="str">
            <v>000000000007424</v>
          </cell>
        </row>
        <row r="560">
          <cell r="C560" t="str">
            <v>灯具-2　L＝1996</v>
          </cell>
          <cell r="T560" t="str">
            <v>000000000007424</v>
          </cell>
        </row>
        <row r="561">
          <cell r="T561" t="str">
            <v>000000000007424</v>
          </cell>
        </row>
        <row r="562">
          <cell r="T562" t="str">
            <v>000000000007424</v>
          </cell>
        </row>
        <row r="563">
          <cell r="C563" t="str">
            <v>灯具カバーPC IN 2110　L=1815</v>
          </cell>
          <cell r="T563" t="str">
            <v>000000000007424</v>
          </cell>
        </row>
        <row r="564">
          <cell r="T564" t="str">
            <v>000000000007424</v>
          </cell>
        </row>
        <row r="565">
          <cell r="C565">
            <v>192</v>
          </cell>
          <cell r="T565" t="str">
            <v>000000000007424</v>
          </cell>
        </row>
        <row r="566">
          <cell r="T566" t="str">
            <v>000000000007424</v>
          </cell>
        </row>
        <row r="567">
          <cell r="C567">
            <v>1</v>
          </cell>
          <cell r="T567" t="str">
            <v>000000000007424</v>
          </cell>
        </row>
        <row r="568">
          <cell r="C568" t="str">
            <v>灯具-2　L＝1996</v>
          </cell>
          <cell r="T568" t="str">
            <v>000000000007424</v>
          </cell>
        </row>
        <row r="569">
          <cell r="T569" t="str">
            <v>000000000007424</v>
          </cell>
        </row>
        <row r="570">
          <cell r="T570" t="str">
            <v>000000000007424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品目コード</v>
          </cell>
          <cell r="B1" t="str">
            <v>品名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B2" t="str">
            <v>黒板灯ﾌﾟﾘｽﾞﾑｶﾊﾞｰ　L=1210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B3" t="str">
            <v>ｺﾝﾌｫｰﾄ用ﾌﾟﾘｽﾞﾑｶﾊﾞｰL1210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B4" t="str">
            <v>8FL281304 4810　L=297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B5" t="str">
            <v>8FL281304 8110　L=444</v>
          </cell>
          <cell r="J5" t="str">
            <v>〇</v>
          </cell>
          <cell r="K5" t="str">
            <v>－0.5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B6" t="str">
            <v>8FL281304 4910　L=592</v>
          </cell>
          <cell r="J6" t="str">
            <v>〇</v>
          </cell>
          <cell r="K6" t="str">
            <v>－0.5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B7" t="str">
            <v>8FL281304 8310　L=748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B8" t="str">
            <v>8FL281304 5010　L=888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B9" t="str">
            <v>8FL281304 5110　L=1183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B10" t="str">
            <v>8FL281304 8010　L=1329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B11" t="str">
            <v>8FL281304 6110　L=1478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B12" t="str">
            <v>8FL281304 4920　L=592　クリア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B13" t="str">
            <v>8FL281304 5020　L=888　クリア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B14" t="str">
            <v>8FL281304 5120　L=1183　クリア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B15" t="str">
            <v>8FL281304 6120　L=1478　クリア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B16" t="str">
            <v>ランプシェード　SL-600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V16" t="str">
            <v>KISCOラベル小口右上に貼付</v>
          </cell>
          <cell r="AC16" t="str">
            <v>換算表確認</v>
          </cell>
        </row>
        <row r="17">
          <cell r="A17" t="str">
            <v>J1JAZZB11411920</v>
          </cell>
          <cell r="B17" t="str">
            <v>NNN33000W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B18" t="str">
            <v>NNN35000W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B19" t="str">
            <v>NNN36500-3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B20" t="str">
            <v>NNN36500-3-2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B21" t="str">
            <v>NNN36500-3-3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B22" t="str">
            <v>NNN36500-3-4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B23" t="str">
            <v>灯具カバーPC IN 2070　L=1966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B24" t="str">
            <v>灯具カバーPC IN 2100　L=1923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B25" t="str">
            <v>灯具カバーPC IN 2110　L=1815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B26" t="str">
            <v>灯具カバーPC IN 2080　L=1540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B27" t="str">
            <v>灯具カバーPC IN 2060　L=1258.5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B28" t="str">
            <v>灯具カバーPC IN 2050　L=1183.5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B29" t="str">
            <v>灯具カバーPC IN 2130　L=908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B30" t="str">
            <v>灯具カバーPC IN 2090　L=840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B31" t="str">
            <v>灯具カバーPC IN 2140　L=547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B32" t="str">
            <v>灯具カバーPC IN 2490　L=1264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B33" t="str">
            <v>灯具カバーPC IN 2500　L=1238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B34" t="str">
            <v>灯具カバーPC IN 2460　L=1291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B35" t="str">
            <v>灯具カバーPC IN 2470　L=1648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B36" t="str">
            <v>灯具カバーPC IN 2480　L=954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B37" t="str">
            <v>灯具カバーPC  　7520    L=1334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B38" t="str">
            <v>灯具カバーPC  　2180    L=1309.5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B39" t="str">
            <v>灯具カバーPC  　2170    L=1279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B40" t="str">
            <v>灯具カバーPC  　2190    L=1240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B41" t="str">
            <v>灯具カバーPC  　2160    L=613.3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B42" t="str">
            <v>灯具カバーPC  　7530    L=565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B43" t="str">
            <v>灯具カバーPC  　2200    L=221.8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B44" t="str">
            <v>灯具カバーPC  　特注　 L=669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B45" t="str">
            <v>灯具カバーPC  　特注　 L=503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B46" t="str">
            <v>採光ルーバーパネルA　L=1996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B47" t="str">
            <v>採光ルーバーパネルB　L=1996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B48" t="str">
            <v>PK-59827 L=500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J1AKZYB00207000</v>
          </cell>
          <cell r="B49" t="str">
            <v>PK-59827 L=700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B50" t="str">
            <v>ハーネスガイド部材　L=275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B51" t="str">
            <v>MDP-689B L4　L=2574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B52" t="str">
            <v>MDPQ-689B L4 　L=2574　　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B53" t="str">
            <v>MDP-689B L1　L=1608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B54" t="str">
            <v>MDP-689B L2　L=1662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B55" t="str">
            <v>MDPQ-689B L1　L=1608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B56" t="str">
            <v>MDPQ-689B L2　L=1662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B57" t="str">
            <v>MDP-688A L1　L=1604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B58" t="str">
            <v>MDP-688A L2　L=1658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B59" t="str">
            <v>MDPQ-688A L1　L=1604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B60" t="str">
            <v>MDPQ-688A L2　L=1658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B61" t="str">
            <v>SRG-60D　L=586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B62" t="str">
            <v>SRG-90D　L=860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B63" t="str">
            <v>SRG-60U　L=586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B64" t="str">
            <v>SRG-90U　L=860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B65" t="str">
            <v>ﾃﾝｹﾝｺｳ(上)　L=300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B66" t="str">
            <v>ﾃﾝｹﾝｺｳ(上)　L=498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B67" t="str">
            <v>ﾃﾝｹﾝｺｳ(上)　L=1168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B68" t="str">
            <v>ﾏｴｶﾊﾞｰ(17F09810A)　L=874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B69" t="str">
            <v>ﾏｴｶﾊﾞｰ(17F09810B)　L=1184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B70" t="str">
            <v>ﾏｴｶﾊﾞｰ(17F09810C)　L=1494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B71" t="str">
            <v>MDP-688A L4　L=2570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B72" t="str">
            <v>MDPQ-688A L4　L=2570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B73" t="str">
            <v>照明ｶﾊﾞｰS15　L=550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B74" t="str">
            <v>照明ｶﾊﾞｰS　L=560.4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B75" t="str">
            <v>照明ｶﾊﾞｰL15　L=820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B76" t="str">
            <v>照明ｶﾊﾞｰL　L=830.4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B77" t="str">
            <v>L型ｱﾝｸﾞﾙ　P-VH-A　L=1018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B78" t="str">
            <v>L型ｱﾝｸﾞﾙ　P-VH-C　L=530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B79" t="str">
            <v>L型ｱﾝｸﾞﾙ　P-VH-E　L=600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B80" t="str">
            <v>L型ｱﾝｸﾞﾙ　P-VH-42D　L=520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B81" t="str">
            <v>L型ｱﾝｸﾞﾙ　P-VH-56D　L=690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B82" t="str">
            <v>L型ｱﾝｸﾞﾙ　WT-28B　L=420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B83" t="str">
            <v>L型ｱﾝｸﾞﾙ　WT-42B　L=590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B84" t="str">
            <v>L型ｱﾝｸﾞﾙ　WT-56B　L=760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B85" t="str">
            <v>GA-770 BK(BD)　L=730.5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B86" t="str">
            <v>GA-770 BK(BD)　L=745.5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B87" t="str">
            <v>GA-770 BR　L=730.5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B88" t="str">
            <v>GA-770 BR　L=745.5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B89" t="str">
            <v>WD3104A KC L=409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B90" t="str">
            <v>WD3104A KC　L=500.5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B91" t="str">
            <v>WD3104A BK　L=409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B92" t="str">
            <v>WD3104A BR(BK)　L=500.5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B93" t="str">
            <v>WD3104A BR(BK)　L=900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B94" t="str">
            <v>WD3104A BR(BK)　L=689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B95" t="str">
            <v>GA9344/PYTB554K　L=336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B96" t="str">
            <v>GA9344/PYTB554K　L=386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B97" t="str">
            <v>ｼﾞｮｲﾝﾄﾁｭ-ﾌﾞ5号　L=710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B98" t="str">
            <v>ｼﾞｮｲﾝﾄﾁｭ-ﾌﾞ2号　L=340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B99" t="str">
            <v>ｼﾞｮｲﾝﾄﾁｭ-ﾌﾞ3号　L=420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B100" t="str">
            <v>ｼﾞｮｲﾝﾄﾁｭ-ﾌﾞ1号　L=250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B101" t="str">
            <v>991HDP　198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B102" t="str">
            <v>991GPK　264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B103" t="str">
            <v>991GPK　268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B104" t="str">
            <v>991GPK　414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B105" t="str">
            <v>991GPK　418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B106" t="str">
            <v>991GPK　565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B107" t="str">
            <v>991GPK　568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B108" t="str">
            <v>991GPK　715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B109" t="str">
            <v>991GPK　718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B110" t="str">
            <v>991GPK　865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B111" t="str">
            <v>991GPK　868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B112" t="str">
            <v>991GPK　1015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B113" t="str">
            <v>991GPK　1018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B114" t="str">
            <v>752GPSB　265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B115" t="str">
            <v>752GPSB　415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B116" t="str">
            <v>752GPSB　565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B117" t="str">
            <v>752GPSB　665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B118" t="str">
            <v>752GPSB　715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B119" t="str">
            <v>752GPSB　865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B120" t="str">
            <v>003GPDG　414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B121" t="str">
            <v>002EGAW　519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B122" t="str">
            <v>002EGAW　631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B123" t="str">
            <v>002EGDG　204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B124" t="str">
            <v>051GPW　269(ｽﾀ)　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B125" t="str">
            <v>051GPW　419(ｽﾀ)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B126" t="str">
            <v>051GPW　567(ｽﾀ)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B127" t="str">
            <v>051GPW　569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B128" t="str">
            <v>051GPW　715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B129" t="str">
            <v>051GPW　719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B130" t="str">
            <v>051GPW　868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B131" t="str">
            <v>051GPW　1014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B132" t="str">
            <v>051GPW　1018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B133" t="str">
            <v>051GPW　1164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B134" t="str">
            <v>001EGAW　415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B135" t="str">
            <v>001EGAW　508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B136" t="str">
            <v>001EGAW　565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B137" t="str">
            <v>001EGAW　633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B138" t="str">
            <v>001EGAW　652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B139" t="str">
            <v>001EGAW　665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B140" t="str">
            <v>001EGAW　715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B141" t="str">
            <v>GA-770 (特注)BR</v>
          </cell>
          <cell r="J141" t="str">
            <v>-</v>
          </cell>
          <cell r="K141">
            <v>-1</v>
          </cell>
          <cell r="L141">
            <v>0</v>
          </cell>
          <cell r="P141" t="str">
            <v xml:space="preserve"> 図面確認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B142" t="str">
            <v>GA-770 (特注)BK</v>
          </cell>
          <cell r="J142" t="str">
            <v>-</v>
          </cell>
          <cell r="K142">
            <v>-1</v>
          </cell>
          <cell r="L142">
            <v>0</v>
          </cell>
          <cell r="P142" t="str">
            <v xml:space="preserve"> 図面確認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B143" t="str">
            <v>BMPU-245　L=100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B144" t="str">
            <v>PRPU-418　L=100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B145" t="str">
            <v>QDNT-284A L2　L=2281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B146" t="str">
            <v>QDNT-284A L1　L=2315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B147" t="str">
            <v>QDNT-284A LT　L=2398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B148" t="str">
            <v>QDNT-284A LT2　L=2740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B149" t="str">
            <v>DHCT-147 L1　L=2266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B150" t="str">
            <v>DHCT-147 L3　L=2297.5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B151" t="str">
            <v>DHCT-136　L=2267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B152" t="str">
            <v>DHCT-136 L1　L=2298.5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B153" t="str">
            <v>DHCT-328RL1　L=1994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B154" t="str">
            <v>DHCT-329L1　L=79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B155" t="str">
            <v>DHCT-329L2　L=103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B156" t="str">
            <v>DHCT-397 L1　L=1995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B157" t="str">
            <v>DHCT-397 LL2　L=1888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B158" t="str">
            <v>DHCT-398　L=86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B159" t="str">
            <v>DHCT-409 L1　L=2308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B160" t="str">
            <v>DHCT-397 RL2　L=1888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B161" t="str">
            <v>DHCT-548L3　L=99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B162" t="str">
            <v>DHCT-548L1　L=107.5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B163" t="str">
            <v>DHCT-548L4　L=123.5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B164" t="str">
            <v>DHCT-548L2　L=132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B165" t="str">
            <v>DHCT-547L1　L=334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B166" t="str">
            <v>DHCT-547L2　L=346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B167" t="str">
            <v>DHCT-691 L1　L=224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B168" t="str">
            <v>DHDT-186　L=2360.5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B169" t="str">
            <v>QDQT-509 L1　L=116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B170" t="str">
            <v>QDQT-509 L2　L=238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B171" t="str">
            <v>QDQT-515 L3   L=78  　　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B172" t="str">
            <v>QDQT-515 L2   L=128     　　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B173" t="str">
            <v>QDQT-515 L1　L=544　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B174" t="str">
            <v>QDN-487　L=200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B175" t="str">
            <v>AM-O-0744-KC1　L=414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B176" t="str">
            <v>AM-O-0807-KC1　L=769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B177" t="str">
            <v>脚ﾊﾟｲﾌﾟPVC　L=525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B178" t="str">
            <v>脚ﾊﾟｲﾌﾟPVC　L=575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4"/>
  <sheetViews>
    <sheetView tabSelected="1" topLeftCell="A89" workbookViewId="0">
      <selection activeCell="T103" sqref="T103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59" t="s">
        <v>0</v>
      </c>
      <c r="C1" s="103"/>
      <c r="D1" s="103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03"/>
      <c r="C2" s="103"/>
      <c r="D2" s="103"/>
      <c r="E2" s="12"/>
      <c r="F2" s="12"/>
      <c r="G2" s="12"/>
      <c r="H2" s="12"/>
      <c r="I2" s="12"/>
      <c r="J2" s="12"/>
    </row>
    <row r="3" spans="1:10" ht="14.25" customHeight="1">
      <c r="A3" s="139" t="s">
        <v>1</v>
      </c>
      <c r="B3" s="139" t="s">
        <v>2</v>
      </c>
      <c r="C3" s="139" t="s">
        <v>3</v>
      </c>
      <c r="D3" s="130">
        <v>500</v>
      </c>
      <c r="E3" s="139" t="s">
        <v>4</v>
      </c>
      <c r="F3" s="164" t="s">
        <v>5</v>
      </c>
      <c r="G3" s="103"/>
      <c r="H3" s="158"/>
      <c r="I3" s="13" t="s">
        <v>6</v>
      </c>
      <c r="J3" s="13" t="s">
        <v>7</v>
      </c>
    </row>
    <row r="4" spans="1:10" ht="14.25" customHeight="1">
      <c r="A4" s="103"/>
      <c r="B4" s="103"/>
      <c r="C4" s="103"/>
      <c r="D4" s="103"/>
      <c r="E4" s="103"/>
      <c r="F4" s="103"/>
      <c r="G4" s="103"/>
      <c r="H4" s="158"/>
      <c r="I4" s="142"/>
      <c r="J4" s="142"/>
    </row>
    <row r="5" spans="1:10" ht="17.45" customHeight="1">
      <c r="A5" s="102" t="s">
        <v>8</v>
      </c>
      <c r="B5" s="102" t="s">
        <v>9</v>
      </c>
      <c r="E5" s="102" t="s">
        <v>10</v>
      </c>
      <c r="F5" s="160" t="s">
        <v>11</v>
      </c>
      <c r="G5" s="103"/>
      <c r="H5" s="158"/>
      <c r="I5" s="143"/>
      <c r="J5" s="143"/>
    </row>
    <row r="6" spans="1:10" ht="17.45" customHeight="1">
      <c r="A6" s="103"/>
      <c r="B6" s="103"/>
      <c r="E6" s="103"/>
      <c r="F6" s="103"/>
      <c r="G6" s="103"/>
      <c r="H6" s="158"/>
      <c r="I6" s="14"/>
      <c r="J6" s="14"/>
    </row>
    <row r="7" spans="1:10" ht="17.45" customHeight="1">
      <c r="A7" s="102" t="s">
        <v>12</v>
      </c>
      <c r="B7" s="102" t="s">
        <v>13</v>
      </c>
      <c r="E7" s="2" t="s">
        <v>14</v>
      </c>
      <c r="F7" s="156" t="s">
        <v>15</v>
      </c>
      <c r="G7" s="103"/>
      <c r="H7" s="21"/>
    </row>
    <row r="8" spans="1:10" ht="17.45" customHeight="1">
      <c r="A8" s="103"/>
      <c r="B8" s="103"/>
      <c r="E8" s="2" t="s">
        <v>16</v>
      </c>
      <c r="F8" s="21" t="s">
        <v>17</v>
      </c>
      <c r="G8" s="21"/>
      <c r="H8" s="21"/>
    </row>
    <row r="9" spans="1:10" ht="17.45" customHeight="1">
      <c r="A9" s="2" t="s">
        <v>18</v>
      </c>
      <c r="B9" s="4">
        <v>45924</v>
      </c>
      <c r="E9" s="2" t="s">
        <v>19</v>
      </c>
      <c r="F9" s="162">
        <v>34</v>
      </c>
      <c r="G9" s="103"/>
      <c r="H9" s="21"/>
    </row>
    <row r="10" spans="1:10" ht="17.45" customHeight="1">
      <c r="A10" s="2" t="s">
        <v>20</v>
      </c>
      <c r="B10" s="4">
        <v>45924</v>
      </c>
      <c r="E10" s="2" t="s">
        <v>21</v>
      </c>
      <c r="F10" s="21">
        <v>22.058823529411761</v>
      </c>
      <c r="G10" s="163" t="s">
        <v>22</v>
      </c>
      <c r="H10" s="147">
        <v>750</v>
      </c>
      <c r="I10" s="148"/>
      <c r="J10" s="149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50"/>
      <c r="H11" s="150"/>
      <c r="I11" s="145"/>
      <c r="J11" s="151"/>
    </row>
    <row r="12" spans="1:10" ht="13.5" customHeight="1">
      <c r="A12" s="141" t="s">
        <v>25</v>
      </c>
      <c r="B12" s="103"/>
      <c r="C12" s="103"/>
      <c r="D12" s="20"/>
      <c r="F12" s="3"/>
      <c r="G12" s="152" t="s">
        <v>26</v>
      </c>
      <c r="H12" s="161" t="s">
        <v>27</v>
      </c>
      <c r="I12" s="157" t="s">
        <v>28</v>
      </c>
      <c r="J12" s="158"/>
    </row>
    <row r="13" spans="1:10" ht="13.5" customHeight="1">
      <c r="A13" s="103"/>
      <c r="B13" s="103"/>
      <c r="C13" s="103"/>
      <c r="D13" s="20"/>
      <c r="F13" s="3"/>
      <c r="G13" s="153"/>
      <c r="H13" s="153"/>
      <c r="I13" s="145"/>
      <c r="J13" s="151"/>
    </row>
    <row r="14" spans="1:10" ht="13.5" customHeight="1">
      <c r="A14" s="1" t="s">
        <v>29</v>
      </c>
    </row>
    <row r="15" spans="1:10" ht="63" customHeight="1" thickBot="1">
      <c r="A15" s="154"/>
      <c r="B15" s="155"/>
      <c r="C15" s="155"/>
      <c r="D15" s="155"/>
      <c r="E15" s="155"/>
      <c r="F15" s="155"/>
      <c r="G15" s="155"/>
      <c r="H15" s="155"/>
      <c r="I15" s="155"/>
      <c r="J15" s="155"/>
    </row>
    <row r="16" spans="1:10" ht="18.75">
      <c r="A16" s="23" t="s">
        <v>30</v>
      </c>
      <c r="B16" s="16" t="s">
        <v>31</v>
      </c>
      <c r="C16" s="107" t="s">
        <v>32</v>
      </c>
      <c r="D16" s="108"/>
      <c r="E16" s="16" t="s">
        <v>33</v>
      </c>
      <c r="F16" s="107" t="s">
        <v>34</v>
      </c>
      <c r="G16" s="108"/>
      <c r="H16" s="108"/>
      <c r="I16" s="146" t="s">
        <v>35</v>
      </c>
      <c r="J16" s="108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36</v>
      </c>
      <c r="C18" s="104" t="s">
        <v>37</v>
      </c>
      <c r="D18" s="105"/>
      <c r="E18" s="24" t="s">
        <v>38</v>
      </c>
      <c r="F18" s="104" t="s">
        <v>39</v>
      </c>
      <c r="G18" s="105"/>
      <c r="H18" s="105"/>
      <c r="I18" s="129"/>
      <c r="J18" s="105"/>
    </row>
    <row r="19" spans="1:10" s="7" customFormat="1" ht="16.5" customHeight="1">
      <c r="A19" s="22">
        <v>1</v>
      </c>
      <c r="B19" s="25" t="s">
        <v>36</v>
      </c>
      <c r="C19" s="104" t="s">
        <v>37</v>
      </c>
      <c r="D19" s="105"/>
      <c r="E19" s="24" t="s">
        <v>40</v>
      </c>
      <c r="F19" s="104" t="s">
        <v>41</v>
      </c>
      <c r="G19" s="105"/>
      <c r="H19" s="105"/>
      <c r="I19" s="129"/>
      <c r="J19" s="105"/>
    </row>
    <row r="20" spans="1:10" s="7" customFormat="1" ht="16.5" customHeight="1">
      <c r="A20" s="22"/>
      <c r="B20" s="25"/>
      <c r="C20" s="104"/>
      <c r="D20" s="105"/>
      <c r="E20" s="24"/>
      <c r="F20" s="104"/>
      <c r="G20" s="105"/>
      <c r="H20" s="105"/>
      <c r="I20" s="129"/>
      <c r="J20" s="105"/>
    </row>
    <row r="21" spans="1:10" s="7" customFormat="1" ht="16.5" customHeight="1">
      <c r="A21" s="22"/>
      <c r="B21" s="25"/>
      <c r="C21" s="104"/>
      <c r="D21" s="105"/>
      <c r="E21" s="24"/>
      <c r="F21" s="104"/>
      <c r="G21" s="105"/>
      <c r="H21" s="105"/>
      <c r="I21" s="129"/>
      <c r="J21" s="105"/>
    </row>
    <row r="22" spans="1:10" s="7" customFormat="1" ht="16.5" customHeight="1">
      <c r="A22" s="22"/>
      <c r="B22" s="25"/>
      <c r="C22" s="104"/>
      <c r="D22" s="105"/>
      <c r="E22" s="24"/>
      <c r="F22" s="104"/>
      <c r="G22" s="105"/>
      <c r="H22" s="105"/>
      <c r="I22" s="129"/>
      <c r="J22" s="105"/>
    </row>
    <row r="23" spans="1:10" s="7" customFormat="1" ht="16.5" customHeight="1">
      <c r="A23" s="22"/>
      <c r="B23" s="25"/>
      <c r="C23" s="104"/>
      <c r="D23" s="105"/>
      <c r="E23" s="24"/>
      <c r="F23" s="104"/>
      <c r="G23" s="105"/>
      <c r="H23" s="105"/>
      <c r="I23" s="129"/>
      <c r="J23" s="105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31" t="s">
        <v>42</v>
      </c>
      <c r="B25" s="132"/>
      <c r="C25" s="131" t="s">
        <v>43</v>
      </c>
      <c r="D25" s="132"/>
      <c r="E25" s="132"/>
      <c r="F25" s="17" t="s">
        <v>44</v>
      </c>
      <c r="G25" s="131" t="s">
        <v>45</v>
      </c>
      <c r="H25" s="132"/>
      <c r="I25" s="131" t="s">
        <v>46</v>
      </c>
      <c r="J25" s="132"/>
    </row>
    <row r="26" spans="1:10" ht="14.25" customHeight="1">
      <c r="A26" s="8"/>
      <c r="B26" s="18"/>
      <c r="C26" s="144" t="s">
        <v>47</v>
      </c>
      <c r="D26" s="145"/>
      <c r="E26" s="18"/>
      <c r="F26" s="144" t="s">
        <v>29</v>
      </c>
      <c r="G26" s="145"/>
      <c r="H26" s="145"/>
      <c r="I26" s="145"/>
      <c r="J26" s="145"/>
    </row>
    <row r="27" spans="1:10">
      <c r="A27" s="9"/>
      <c r="C27" s="7"/>
      <c r="D27" s="7"/>
      <c r="E27" s="7"/>
    </row>
    <row r="28" spans="1:10" s="5" customFormat="1" ht="14.25" customHeight="1">
      <c r="A28" s="104" t="s">
        <v>48</v>
      </c>
      <c r="B28" s="140"/>
      <c r="C28" s="104" t="s">
        <v>49</v>
      </c>
      <c r="D28" s="140"/>
      <c r="E28" s="140"/>
      <c r="F28" s="26" t="s">
        <v>27</v>
      </c>
      <c r="G28" s="128">
        <v>249.75</v>
      </c>
      <c r="H28" s="140"/>
      <c r="I28" s="128">
        <v>7.3455882352941178</v>
      </c>
      <c r="J28" s="140"/>
    </row>
    <row r="29" spans="1:10" s="7" customFormat="1" ht="24.95" customHeight="1">
      <c r="A29" s="106" t="s">
        <v>50</v>
      </c>
      <c r="B29" s="105"/>
      <c r="C29" s="104" t="s">
        <v>11</v>
      </c>
      <c r="D29" s="105"/>
      <c r="E29" s="105"/>
      <c r="F29" s="104"/>
      <c r="G29" s="105"/>
      <c r="H29" s="105"/>
      <c r="I29" s="105"/>
      <c r="J29" s="105"/>
    </row>
    <row r="30" spans="1:10" s="5" customFormat="1" ht="14.25" customHeight="1">
      <c r="A30" s="104" t="s">
        <v>51</v>
      </c>
      <c r="B30" s="140"/>
      <c r="C30" s="104" t="s">
        <v>52</v>
      </c>
      <c r="D30" s="140"/>
      <c r="E30" s="140"/>
      <c r="F30" s="26" t="s">
        <v>27</v>
      </c>
      <c r="G30" s="128">
        <v>21.75</v>
      </c>
      <c r="H30" s="140"/>
      <c r="I30" s="128">
        <v>0.63970588235294112</v>
      </c>
      <c r="J30" s="140"/>
    </row>
    <row r="31" spans="1:10" s="7" customFormat="1" ht="24.95" customHeight="1">
      <c r="A31" s="106" t="s">
        <v>53</v>
      </c>
      <c r="B31" s="105"/>
      <c r="C31" s="104"/>
      <c r="D31" s="105"/>
      <c r="E31" s="105"/>
      <c r="F31" s="104"/>
      <c r="G31" s="105"/>
      <c r="H31" s="105"/>
      <c r="I31" s="105"/>
      <c r="J31" s="105"/>
    </row>
    <row r="32" spans="1:10" s="5" customFormat="1" ht="14.25" customHeight="1">
      <c r="A32" s="104" t="s">
        <v>54</v>
      </c>
      <c r="B32" s="140"/>
      <c r="C32" s="104" t="s">
        <v>55</v>
      </c>
      <c r="D32" s="140"/>
      <c r="E32" s="140"/>
      <c r="F32" s="26"/>
      <c r="G32" s="128">
        <v>0.75</v>
      </c>
      <c r="H32" s="140"/>
      <c r="I32" s="128">
        <v>2.205882352941177E-2</v>
      </c>
      <c r="J32" s="140"/>
    </row>
    <row r="33" spans="1:14" s="7" customFormat="1" ht="24.95" customHeight="1">
      <c r="A33" s="106" t="s">
        <v>56</v>
      </c>
      <c r="B33" s="105"/>
      <c r="C33" s="104" t="s">
        <v>57</v>
      </c>
      <c r="D33" s="105"/>
      <c r="E33" s="105"/>
      <c r="F33" s="104"/>
      <c r="G33" s="105"/>
      <c r="H33" s="105"/>
      <c r="I33" s="105"/>
      <c r="J33" s="105"/>
    </row>
    <row r="34" spans="1:14" s="5" customFormat="1" ht="14.25" customHeight="1">
      <c r="A34" s="104"/>
      <c r="B34" s="140"/>
      <c r="C34" s="104"/>
      <c r="D34" s="140"/>
      <c r="E34" s="140"/>
      <c r="F34" s="26"/>
      <c r="G34" s="128"/>
      <c r="H34" s="140"/>
      <c r="I34" s="128"/>
      <c r="J34" s="140"/>
    </row>
    <row r="35" spans="1:14" s="7" customFormat="1" ht="24.95" customHeight="1">
      <c r="A35" s="106"/>
      <c r="B35" s="105"/>
      <c r="C35" s="104"/>
      <c r="D35" s="105"/>
      <c r="E35" s="105"/>
      <c r="F35" s="104"/>
      <c r="G35" s="105"/>
      <c r="H35" s="105"/>
      <c r="I35" s="105"/>
      <c r="J35" s="105"/>
    </row>
    <row r="36" spans="1:14" s="5" customFormat="1" ht="14.25" customHeight="1">
      <c r="A36" s="104"/>
      <c r="B36" s="140"/>
      <c r="C36" s="104"/>
      <c r="D36" s="140"/>
      <c r="E36" s="140"/>
      <c r="F36" s="26"/>
      <c r="G36" s="128"/>
      <c r="H36" s="140"/>
      <c r="I36" s="128"/>
      <c r="J36" s="140"/>
    </row>
    <row r="37" spans="1:14" s="7" customFormat="1" ht="24.95" customHeight="1" thickBot="1">
      <c r="A37" s="106"/>
      <c r="B37" s="105"/>
      <c r="C37" s="104"/>
      <c r="D37" s="105"/>
      <c r="E37" s="105"/>
      <c r="F37" s="104"/>
      <c r="G37" s="105"/>
      <c r="H37" s="105"/>
      <c r="I37" s="105"/>
      <c r="J37" s="105"/>
    </row>
    <row r="38" spans="1:14" s="5" customFormat="1" ht="18" customHeight="1">
      <c r="A38" s="109" t="s">
        <v>69</v>
      </c>
      <c r="B38" s="110"/>
      <c r="C38" s="110"/>
      <c r="D38" s="110"/>
      <c r="E38" s="111" t="s">
        <v>70</v>
      </c>
      <c r="F38" s="112"/>
      <c r="G38" s="27" t="s">
        <v>71</v>
      </c>
      <c r="H38" s="113" t="s">
        <v>72</v>
      </c>
      <c r="I38" s="114"/>
      <c r="J38" s="28" t="s">
        <v>73</v>
      </c>
    </row>
    <row r="39" spans="1:14" s="7" customFormat="1" ht="18" customHeight="1">
      <c r="A39" s="115" t="str">
        <f>_xlfn.XLOOKUP(B3,[1]VFDB2!A:A,[1]VFDB2!B:B)</f>
        <v>PK-59827 L=500</v>
      </c>
      <c r="B39" s="116"/>
      <c r="C39" s="116"/>
      <c r="D39" s="116"/>
      <c r="E39" s="96" t="str" cm="1">
        <f t="array" ref="E39">IFERROR(IF(ISBLANK(INDEX(_xlfn._xlws.FILTER([1]加工記録２!$C$3:$C$99695, [1]加工記録２!$T$3:$T$99695=B5), 6)), "", INDEX(_xlfn._xlws.FILTER([1]加工記録２!$C$3:$C$99695, [1]加工記録２!$T$3:$T$99695=B5), 6)),"")</f>
        <v>PK-59827 L=500用</v>
      </c>
      <c r="F39" s="97"/>
      <c r="G39" s="119" cm="1">
        <f t="array" ref="G39">IFERROR(IF(ISBLANK(INDEX(_xlfn._xlws.FILTER([1]加工記録２!$C$3:$C$99695, [1]加工記録２!$T$3:$T$99695=B5), 7)), " ", INDEX(_xlfn._xlws.FILTER([1]加工記録２!$C$3:$C$99695, [1]加工記録２!$T$3:$T$99695=B5), 7))," ")</f>
        <v>19</v>
      </c>
      <c r="H39" s="29" t="s">
        <v>74</v>
      </c>
      <c r="I39" s="30" cm="1">
        <f t="array" ref="I39:J39">IFERROR(IF(ISBLANK(INDEX(_xlfn._xlws.FILTER([1]加工記録２!$O$3:$P$99695, [1]加工記録２!$T$3:$T$99695=B5), 1)), "", INDEX(_xlfn._xlws.FILTER([1]加工記録２!$O$3:$P$99695, [1]加工記録２!$T$3:$T$99695=B5), 1)),"")</f>
        <v>45918</v>
      </c>
      <c r="J39" s="31">
        <v>113</v>
      </c>
    </row>
    <row r="40" spans="1:14" s="5" customFormat="1" ht="18" customHeight="1">
      <c r="A40" s="117"/>
      <c r="B40" s="118"/>
      <c r="C40" s="118"/>
      <c r="D40" s="118"/>
      <c r="E40" s="96"/>
      <c r="F40" s="97"/>
      <c r="G40" s="119"/>
      <c r="H40" s="29" t="s">
        <v>75</v>
      </c>
      <c r="I40" s="32" cm="1">
        <f t="array" ref="I40:J40">IFERROR(IF(ISBLANK(INDEX(_xlfn._xlws.FILTER([1]加工記録２!$O$3:$P$99695, [1]加工記録２!$T$3:$T$99695=B5), 2)), "", INDEX(_xlfn._xlws.FILTER([1]加工記録２!$O$3:$P$99695, [1]加工記録２!$T$3:$T$99695=B5), 2)),"")</f>
        <v>646</v>
      </c>
      <c r="J40" s="33">
        <v>3</v>
      </c>
      <c r="K40" s="34"/>
    </row>
    <row r="41" spans="1:14" s="7" customFormat="1" ht="18" customHeight="1">
      <c r="A41" s="88" t="s">
        <v>76</v>
      </c>
      <c r="B41" s="133" t="str">
        <f>_xlfn.XLOOKUP(B3,[1]VFDB2!A:A,[1]VFDB2!J:J)</f>
        <v>〇</v>
      </c>
      <c r="C41" s="135" t="s">
        <v>77</v>
      </c>
      <c r="D41" s="137">
        <f>_xlfn.XLOOKUP(B3,[1]VFDB2!A:A,[1]VFDB2!P:P)</f>
        <v>3</v>
      </c>
      <c r="E41" s="96" t="str">
        <f>_xlfn.XLOOKUP(B3,[1]VFDB2!A:A,[1]VFDB2!V:V)</f>
        <v>11×２束+12✕1束＝34本</v>
      </c>
      <c r="F41" s="97"/>
      <c r="G41" s="98"/>
      <c r="H41" s="35" t="s">
        <v>78</v>
      </c>
      <c r="I41" s="32" cm="1">
        <f t="array" ref="I41:J41">IFERROR(IF(ISBLANK(INDEX(_xlfn._xlws.FILTER([1]加工記録２!$O$3:$P$99695, [1]加工記録２!$T$3:$T$99695=B5), 3)), "", INDEX(_xlfn._xlws.FILTER([1]加工記録２!$O$3:$P$99695, [1]加工記録２!$T$3:$T$99695=B5), 3)),"")</f>
        <v>254</v>
      </c>
      <c r="J41" s="36" t="str">
        <v/>
      </c>
      <c r="K41" s="37"/>
    </row>
    <row r="42" spans="1:14" s="5" customFormat="1" ht="18" customHeight="1">
      <c r="A42" s="120"/>
      <c r="B42" s="134"/>
      <c r="C42" s="136"/>
      <c r="D42" s="138"/>
      <c r="E42" s="96"/>
      <c r="F42" s="97"/>
      <c r="G42" s="98"/>
      <c r="H42" s="35" t="s">
        <v>79</v>
      </c>
      <c r="I42" s="32" cm="1">
        <f t="array" ref="I42:J42">IFERROR(IF(ISBLANK(INDEX(_xlfn._xlws.FILTER([1]加工記録２!$O$3:$P$99695, [1]加工記録２!$T$3:$T$99695=B5), 4)), "", INDEX(_xlfn._xlws.FILTER([1]加工記録２!$O$3:$P$99695, [1]加工記録２!$T$3:$T$99695=B5), 4)),"")</f>
        <v>39</v>
      </c>
      <c r="J42" s="38" t="str">
        <v/>
      </c>
      <c r="K42" s="34"/>
    </row>
    <row r="43" spans="1:14" s="7" customFormat="1" ht="18" customHeight="1">
      <c r="A43" s="121" t="s">
        <v>80</v>
      </c>
      <c r="B43" s="123">
        <f>D3</f>
        <v>500</v>
      </c>
      <c r="C43" s="125" t="s">
        <v>81</v>
      </c>
      <c r="D43" s="94" t="str">
        <f>_xlfn.XLOOKUP(B3,[1]VFDB2!A:A,[1]VFDB2!L:L)</f>
        <v>+1</v>
      </c>
      <c r="E43" s="96" t="str">
        <f>_xlfn.XLOOKUP(B3,[1]VFDB2!A:A,[1]VFDB2!W:W)</f>
        <v>両端5cm以上ラップ</v>
      </c>
      <c r="F43" s="97"/>
      <c r="G43" s="98"/>
      <c r="H43" s="35" t="s">
        <v>82</v>
      </c>
      <c r="I43" s="32" cm="1">
        <f t="array" ref="I43:J43">IFERROR(IF(ISBLANK(INDEX(_xlfn._xlws.FILTER([1]加工記録２!$O$3:$P$99695, [1]加工記録２!$T$3:$T$99695=B5), 5)), "", INDEX(_xlfn._xlws.FILTER([1]加工記録２!$O$3:$P$99695, [1]加工記録２!$T$3:$T$99695=B5), 5)),"")</f>
        <v>116</v>
      </c>
      <c r="J43" s="39" t="str">
        <v/>
      </c>
      <c r="K43" s="37"/>
    </row>
    <row r="44" spans="1:14" s="5" customFormat="1" ht="18" customHeight="1">
      <c r="A44" s="122"/>
      <c r="B44" s="124"/>
      <c r="C44" s="126"/>
      <c r="D44" s="127"/>
      <c r="E44" s="96"/>
      <c r="F44" s="97"/>
      <c r="G44" s="98"/>
      <c r="H44" s="35" t="s">
        <v>83</v>
      </c>
      <c r="I44" s="32" cm="1">
        <f t="array" ref="I44:J44">IFERROR(IF(ISBLANK(INDEX(_xlfn._xlws.FILTER([1]加工記録２!$O$3:$P$99695, [1]加工記録２!$T$3:$T$99695=B5), 6)), "", INDEX(_xlfn._xlws.FILTER([1]加工記録２!$O$3:$P$99695, [1]加工記録２!$T$3:$T$99695=B5), 6)),"")</f>
        <v>0</v>
      </c>
      <c r="J44" s="40" t="str">
        <v/>
      </c>
      <c r="K44" s="34"/>
    </row>
    <row r="45" spans="1:14" s="7" customFormat="1" ht="18" customHeight="1">
      <c r="A45" s="88" t="s">
        <v>84</v>
      </c>
      <c r="B45" s="90" t="str">
        <f>_xlfn.XLOOKUP(B3,[1]VFDB2!A:A,[1]VFDB2!AC:AC)</f>
        <v>換算表確認</v>
      </c>
      <c r="C45" s="92" t="s">
        <v>85</v>
      </c>
      <c r="D45" s="94">
        <f>_xlfn.XLOOKUP(B3,[1]VFDB2!A:A,[1]VFDB2!K:K)</f>
        <v>-1</v>
      </c>
      <c r="E45" s="96" t="str">
        <f>_xlfn.XLOOKUP(B3,[1]VFDB2!A:A,[1]VFDB2!R:R)</f>
        <v>ラベル2枚　長手 中央部分のみ貼付</v>
      </c>
      <c r="F45" s="97"/>
      <c r="G45" s="98"/>
      <c r="H45" s="35" t="s">
        <v>86</v>
      </c>
      <c r="I45" s="32" t="str" cm="1">
        <f t="array" ref="I45:J45">IFERROR(IF(ISBLANK(INDEX(_xlfn._xlws.FILTER([1]加工記録２!$O$3:$P$99695, [1]加工記録２!$T$3:$T$99695=B5), 7)), "", INDEX(_xlfn._xlws.FILTER([1]加工記録２!$O$3:$P$99695, [1]加工記録２!$T$3:$T$99695=B5), 7)),"")</f>
        <v>M/C</v>
      </c>
      <c r="J45" s="41" t="str">
        <v/>
      </c>
      <c r="K45" s="37"/>
    </row>
    <row r="46" spans="1:14" s="5" customFormat="1" ht="18" customHeight="1" thickBot="1">
      <c r="A46" s="89"/>
      <c r="B46" s="91"/>
      <c r="C46" s="93"/>
      <c r="D46" s="95"/>
      <c r="E46" s="99"/>
      <c r="F46" s="100"/>
      <c r="G46" s="101"/>
      <c r="H46" s="42" t="s">
        <v>87</v>
      </c>
      <c r="I46" s="43" t="str" cm="1">
        <f t="array" ref="I46:J46">IFERROR(IF(ISBLANK(INDEX(_xlfn._xlws.FILTER([1]加工記録２!$O$3:$P$99695, [1]加工記録２!$T$3:$T$99695=B5), 8)), "", INDEX(_xlfn._xlws.FILTER([1]加工記録２!$O$3:$P$99695, [1]加工記録２!$T$3:$T$99695=B5), 8)),"")</f>
        <v>U</v>
      </c>
      <c r="J46" s="44">
        <v>116</v>
      </c>
    </row>
    <row r="47" spans="1:14" s="55" customFormat="1" ht="18.95" customHeight="1">
      <c r="A47" s="45" t="s">
        <v>88</v>
      </c>
      <c r="B47" s="46" t="s">
        <v>89</v>
      </c>
      <c r="C47" s="47" t="s">
        <v>90</v>
      </c>
      <c r="D47" s="47" t="s">
        <v>91</v>
      </c>
      <c r="E47" s="48" t="s">
        <v>92</v>
      </c>
      <c r="F47" s="49" t="s">
        <v>93</v>
      </c>
      <c r="G47" s="50" t="s">
        <v>94</v>
      </c>
      <c r="H47" s="51" t="s">
        <v>95</v>
      </c>
      <c r="I47" s="52" t="s">
        <v>96</v>
      </c>
      <c r="J47" s="53" t="s">
        <v>97</v>
      </c>
      <c r="K47" s="54"/>
      <c r="L47" s="54"/>
      <c r="M47" s="54"/>
      <c r="N47" s="54"/>
    </row>
    <row r="48" spans="1:14" s="66" customFormat="1" ht="18.95" customHeight="1">
      <c r="A48" s="56" cm="1">
        <f t="array" ref="A48:J48">IFERROR(IF(ISBLANK(INDEX(_xlfn._xlws.FILTER([1]加工記録２!$D$3:$M$99695, [1]加工記録２!$T$3:$T$99695=B5), 1)), "", INDEX(_xlfn._xlws.FILTER([1]加工記録２!$D$3:$M$99695, [1]加工記録２!$T$3:$T$99695=B5), 1)),"")</f>
        <v>45891</v>
      </c>
      <c r="B48" s="57" t="str">
        <v>25H18-01</v>
      </c>
      <c r="C48" s="58" t="str">
        <v/>
      </c>
      <c r="D48" s="58" t="str">
        <v/>
      </c>
      <c r="E48" s="59" t="str">
        <v/>
      </c>
      <c r="F48" s="60" t="str">
        <v>25H18-01</v>
      </c>
      <c r="G48" s="61">
        <v>21</v>
      </c>
      <c r="H48" s="62">
        <v>7</v>
      </c>
      <c r="I48" s="63">
        <v>45917</v>
      </c>
      <c r="J48" s="64">
        <v>12</v>
      </c>
      <c r="K48" s="65"/>
      <c r="L48" s="65"/>
      <c r="M48" s="65"/>
      <c r="N48" s="65"/>
    </row>
    <row r="49" spans="1:14" s="66" customFormat="1" ht="18.95" customHeight="1">
      <c r="A49" s="67" cm="1">
        <f t="array" ref="A49:J49">IFERROR(IF(ISBLANK(INDEX(_xlfn._xlws.FILTER([1]加工記録２!$D$3:$M$99695, [1]加工記録２!$T$3:$T$99695=B5), 2)), "", INDEX(_xlfn._xlws.FILTER([1]加工記録２!$D$3:$M$99695, [1]加工記録２!$T$3:$T$99695=B5), 2)),"")</f>
        <v>45916</v>
      </c>
      <c r="B49" s="68" t="str">
        <v>25H28-01</v>
      </c>
      <c r="C49" s="68">
        <v>29</v>
      </c>
      <c r="D49" s="68">
        <v>500.21</v>
      </c>
      <c r="E49" s="69">
        <v>500.32</v>
      </c>
      <c r="F49" s="70" t="str">
        <v>25H28-01</v>
      </c>
      <c r="G49" s="71">
        <v>741</v>
      </c>
      <c r="H49" s="72">
        <v>247</v>
      </c>
      <c r="I49" s="63">
        <v>45918</v>
      </c>
      <c r="J49" s="64">
        <v>7</v>
      </c>
      <c r="K49" s="65"/>
      <c r="L49" s="65"/>
      <c r="M49" s="65"/>
      <c r="N49" s="65"/>
    </row>
    <row r="50" spans="1:14" s="66" customFormat="1" ht="18.95" customHeight="1">
      <c r="A50" s="67" cm="1">
        <f t="array" ref="A50:J50">IFERROR(IF(ISBLANK(INDEX(_xlfn._xlws.FILTER([1]加工記録２!$D$3:$M$99695, [1]加工記録２!$T$3:$T$99695=B5), 3)), "", INDEX(_xlfn._xlws.FILTER([1]加工記録２!$D$3:$M$99695, [1]加工記録２!$T$3:$T$99695=B5), 3)),"")</f>
        <v>45916</v>
      </c>
      <c r="B50" s="68" t="str">
        <v>25H28-01</v>
      </c>
      <c r="C50" s="68">
        <v>29</v>
      </c>
      <c r="D50" s="68">
        <v>500.21</v>
      </c>
      <c r="E50" s="69">
        <v>500.29</v>
      </c>
      <c r="F50" s="70" t="str">
        <v/>
      </c>
      <c r="G50" s="71" t="str">
        <v/>
      </c>
      <c r="H50" s="72">
        <v>0</v>
      </c>
      <c r="I50" s="63" t="str">
        <v/>
      </c>
      <c r="J50" s="64" t="str">
        <v/>
      </c>
      <c r="K50" s="65"/>
      <c r="L50" s="65"/>
      <c r="M50" s="65"/>
      <c r="N50" s="65"/>
    </row>
    <row r="51" spans="1:14" s="66" customFormat="1" ht="18.95" customHeight="1">
      <c r="A51" s="67" cm="1">
        <f t="array" ref="A51:J51">IFERROR(IF(ISBLANK(INDEX(_xlfn._xlws.FILTER([1]加工記録２!$D$3:$M$99695, [1]加工記録２!$T$3:$T$99695=B5), 4)), "", INDEX(_xlfn._xlws.FILTER([1]加工記録２!$D$3:$M$99695, [1]加工記録２!$T$3:$T$99695=B5), 4)),"")</f>
        <v>45917</v>
      </c>
      <c r="B51" s="68" t="str">
        <v>25H28-01</v>
      </c>
      <c r="C51" s="68">
        <v>27</v>
      </c>
      <c r="D51" s="68">
        <v>500.14</v>
      </c>
      <c r="E51" s="69">
        <v>500.39</v>
      </c>
      <c r="F51" s="70" t="str">
        <v/>
      </c>
      <c r="G51" s="71" t="str">
        <v/>
      </c>
      <c r="H51" s="72">
        <v>0</v>
      </c>
      <c r="I51" s="63" t="str">
        <v/>
      </c>
      <c r="J51" s="64" t="str">
        <v/>
      </c>
      <c r="K51" s="65"/>
      <c r="L51" s="65"/>
      <c r="M51" s="65"/>
      <c r="N51" s="65"/>
    </row>
    <row r="52" spans="1:14" s="66" customFormat="1" ht="18.95" customHeight="1">
      <c r="A52" s="67" cm="1">
        <f t="array" ref="A52:J52">IFERROR(IF(ISBLANK(INDEX(_xlfn._xlws.FILTER([1]加工記録２!$D$3:$M$99695, [1]加工記録２!$T$3:$T$99695=B5), 5)), "", INDEX(_xlfn._xlws.FILTER([1]加工記録２!$D$3:$M$99695, [1]加工記録２!$T$3:$T$99695=B5), 5)),"")</f>
        <v>45917</v>
      </c>
      <c r="B52" s="68" t="str">
        <v>25H28-01</v>
      </c>
      <c r="C52" s="68">
        <v>29</v>
      </c>
      <c r="D52" s="68">
        <v>500.21</v>
      </c>
      <c r="E52" s="69">
        <v>500.41</v>
      </c>
      <c r="F52" s="70" t="str">
        <v/>
      </c>
      <c r="G52" s="71" t="str">
        <v/>
      </c>
      <c r="H52" s="72">
        <v>0</v>
      </c>
      <c r="I52" s="73" t="str">
        <v/>
      </c>
      <c r="J52" s="74" t="str">
        <v/>
      </c>
      <c r="K52" s="65"/>
      <c r="L52" s="65"/>
      <c r="M52" s="65"/>
      <c r="N52" s="65"/>
    </row>
    <row r="53" spans="1:14" s="66" customFormat="1" ht="18.95" customHeight="1">
      <c r="A53" s="67" cm="1">
        <f t="array" ref="A53:J53">IFERROR(IF(ISBLANK(INDEX(_xlfn._xlws.FILTER([1]加工記録２!$D$3:$M$99695, [1]加工記録２!$T$3:$T$99695=B5), 6)), "", INDEX(_xlfn._xlws.FILTER([1]加工記録２!$D$3:$M$99695, [1]加工記録２!$T$3:$T$99695=B5), 6)),"")</f>
        <v>45917</v>
      </c>
      <c r="B53" s="68" t="str">
        <v>25H28-01</v>
      </c>
      <c r="C53" s="68">
        <v>29</v>
      </c>
      <c r="D53" s="68">
        <v>500.21</v>
      </c>
      <c r="E53" s="69">
        <v>500.32</v>
      </c>
      <c r="F53" s="70" t="str">
        <v/>
      </c>
      <c r="G53" s="71" t="str">
        <v/>
      </c>
      <c r="H53" s="75">
        <v>0</v>
      </c>
      <c r="I53" s="76" t="str">
        <v>旧品加工</v>
      </c>
      <c r="J53" s="77">
        <v>21</v>
      </c>
      <c r="K53" s="65"/>
      <c r="L53" s="65"/>
      <c r="M53" s="65"/>
      <c r="N53" s="65"/>
    </row>
    <row r="54" spans="1:14" s="66" customFormat="1" ht="18.95" customHeight="1">
      <c r="A54" s="67" t="str" cm="1">
        <f t="array" ref="A54:J54">IFERROR(IF(ISBLANK(INDEX(_xlfn._xlws.FILTER([1]加工記録２!$D$3:$M$99695, [1]加工記録２!$T$3:$T$99695=B5), 7)), "", INDEX(_xlfn._xlws.FILTER([1]加工記録２!$D$3:$M$99695, [1]加工記録２!$T$3:$T$99695=B5), 7)),"")</f>
        <v/>
      </c>
      <c r="B54" s="68" t="str">
        <v/>
      </c>
      <c r="C54" s="68" t="str">
        <v/>
      </c>
      <c r="D54" s="68" t="str">
        <v/>
      </c>
      <c r="E54" s="69" t="str">
        <v/>
      </c>
      <c r="F54" s="70" t="str">
        <v/>
      </c>
      <c r="G54" s="71" t="str">
        <v/>
      </c>
      <c r="H54" s="75">
        <v>0</v>
      </c>
      <c r="I54" s="78" t="str">
        <v>持出端材</v>
      </c>
      <c r="J54" s="79" t="str">
        <v/>
      </c>
      <c r="K54" s="65"/>
      <c r="L54" s="65"/>
      <c r="M54" s="65"/>
      <c r="N54" s="65"/>
    </row>
    <row r="55" spans="1:14" s="66" customFormat="1" ht="18.95" customHeight="1" thickBot="1">
      <c r="A55" s="80" t="str" cm="1">
        <f t="array" ref="A55:J55">IFERROR(IF(ISBLANK(INDEX(_xlfn._xlws.FILTER([1]加工記録２!$D$3:$M$99695, [1]加工記録２!$T$3:$T$99695=B5), 8)), "", INDEX(_xlfn._xlws.FILTER([1]加工記録２!$D$3:$M$99695, [1]加工記録２!$T$3:$T$99695=B5), 8)),"")</f>
        <v/>
      </c>
      <c r="B55" s="81" t="str">
        <v/>
      </c>
      <c r="C55" s="81" t="str">
        <v/>
      </c>
      <c r="D55" s="81" t="str">
        <v/>
      </c>
      <c r="E55" s="82" t="str">
        <v/>
      </c>
      <c r="F55" s="83" t="str">
        <v/>
      </c>
      <c r="G55" s="84" t="str">
        <v/>
      </c>
      <c r="H55" s="85">
        <v>0</v>
      </c>
      <c r="I55" s="86" t="str">
        <v>α端材</v>
      </c>
      <c r="J55" s="87">
        <v>0</v>
      </c>
      <c r="K55" s="65"/>
      <c r="L55" s="65"/>
      <c r="M55" s="65"/>
      <c r="N55" s="65"/>
    </row>
    <row r="56" spans="1:14" ht="6" customHeight="1" thickBot="1"/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59" t="s">
        <v>0</v>
      </c>
      <c r="C58" s="103"/>
      <c r="D58" s="103"/>
      <c r="E58" s="11"/>
      <c r="F58" s="11"/>
      <c r="G58" s="11"/>
      <c r="H58" s="11"/>
      <c r="I58" s="11"/>
      <c r="J58" s="11"/>
    </row>
    <row r="59" spans="1:14" ht="14.25" customHeight="1">
      <c r="A59" s="12"/>
      <c r="B59" s="103"/>
      <c r="C59" s="103"/>
      <c r="D59" s="103"/>
      <c r="E59" s="12"/>
      <c r="F59" s="12"/>
      <c r="G59" s="12"/>
      <c r="H59" s="12"/>
      <c r="I59" s="12"/>
      <c r="J59" s="12"/>
    </row>
    <row r="60" spans="1:14" ht="14.25" customHeight="1">
      <c r="A60" s="139" t="s">
        <v>1</v>
      </c>
      <c r="B60" s="139" t="s">
        <v>58</v>
      </c>
      <c r="C60" s="139" t="s">
        <v>3</v>
      </c>
      <c r="D60" s="130">
        <v>700</v>
      </c>
      <c r="E60" s="139" t="s">
        <v>4</v>
      </c>
      <c r="F60" s="164" t="s">
        <v>59</v>
      </c>
      <c r="G60" s="103"/>
      <c r="H60" s="158"/>
      <c r="I60" s="13" t="s">
        <v>6</v>
      </c>
      <c r="J60" s="13" t="s">
        <v>7</v>
      </c>
    </row>
    <row r="61" spans="1:14" ht="14.25" customHeight="1">
      <c r="A61" s="103"/>
      <c r="B61" s="103"/>
      <c r="C61" s="103"/>
      <c r="D61" s="103"/>
      <c r="E61" s="103"/>
      <c r="F61" s="103"/>
      <c r="G61" s="103"/>
      <c r="H61" s="158"/>
      <c r="I61" s="142"/>
      <c r="J61" s="142"/>
    </row>
    <row r="62" spans="1:14" ht="17.45" customHeight="1">
      <c r="A62" s="102" t="s">
        <v>8</v>
      </c>
      <c r="B62" s="102" t="s">
        <v>60</v>
      </c>
      <c r="E62" s="102" t="s">
        <v>10</v>
      </c>
      <c r="F62" s="160" t="s">
        <v>11</v>
      </c>
      <c r="G62" s="103"/>
      <c r="H62" s="158"/>
      <c r="I62" s="143"/>
      <c r="J62" s="143"/>
    </row>
    <row r="63" spans="1:14" ht="17.45" customHeight="1">
      <c r="A63" s="103"/>
      <c r="B63" s="103"/>
      <c r="E63" s="103"/>
      <c r="F63" s="103"/>
      <c r="G63" s="103"/>
      <c r="H63" s="158"/>
      <c r="I63" s="14"/>
      <c r="J63" s="14"/>
    </row>
    <row r="64" spans="1:14" ht="17.45" customHeight="1">
      <c r="A64" s="102" t="s">
        <v>12</v>
      </c>
      <c r="B64" s="102" t="s">
        <v>61</v>
      </c>
      <c r="E64" s="2" t="s">
        <v>14</v>
      </c>
      <c r="F64" s="156" t="s">
        <v>15</v>
      </c>
      <c r="G64" s="103"/>
      <c r="H64" s="21"/>
    </row>
    <row r="65" spans="1:10" ht="17.45" customHeight="1">
      <c r="A65" s="103"/>
      <c r="B65" s="103"/>
      <c r="E65" s="2" t="s">
        <v>16</v>
      </c>
      <c r="F65" s="21" t="s">
        <v>17</v>
      </c>
      <c r="G65" s="21"/>
      <c r="H65" s="21"/>
    </row>
    <row r="66" spans="1:10" ht="17.45" customHeight="1">
      <c r="A66" s="2" t="s">
        <v>18</v>
      </c>
      <c r="B66" s="4">
        <v>45924</v>
      </c>
      <c r="E66" s="2" t="s">
        <v>19</v>
      </c>
      <c r="F66" s="162">
        <v>34</v>
      </c>
      <c r="G66" s="103"/>
      <c r="H66" s="21"/>
    </row>
    <row r="67" spans="1:10" ht="17.45" customHeight="1">
      <c r="A67" s="2" t="s">
        <v>20</v>
      </c>
      <c r="B67" s="4">
        <v>45924</v>
      </c>
      <c r="E67" s="2" t="s">
        <v>21</v>
      </c>
      <c r="F67" s="21">
        <v>32.352941176470587</v>
      </c>
      <c r="G67" s="163" t="s">
        <v>22</v>
      </c>
      <c r="H67" s="147">
        <v>1100</v>
      </c>
      <c r="I67" s="148"/>
      <c r="J67" s="149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150"/>
      <c r="H68" s="150"/>
      <c r="I68" s="145"/>
      <c r="J68" s="151"/>
    </row>
    <row r="69" spans="1:10" ht="13.5" customHeight="1">
      <c r="A69" s="141" t="s">
        <v>62</v>
      </c>
      <c r="B69" s="103"/>
      <c r="C69" s="103"/>
      <c r="D69" s="20"/>
      <c r="F69" s="3"/>
      <c r="G69" s="152" t="s">
        <v>26</v>
      </c>
      <c r="H69" s="161" t="s">
        <v>27</v>
      </c>
      <c r="I69" s="157" t="s">
        <v>28</v>
      </c>
      <c r="J69" s="158"/>
    </row>
    <row r="70" spans="1:10" ht="13.5" customHeight="1">
      <c r="A70" s="103"/>
      <c r="B70" s="103"/>
      <c r="C70" s="103"/>
      <c r="D70" s="20"/>
      <c r="F70" s="3"/>
      <c r="G70" s="153"/>
      <c r="H70" s="153"/>
      <c r="I70" s="145"/>
      <c r="J70" s="151"/>
    </row>
    <row r="71" spans="1:10" ht="13.5" customHeight="1">
      <c r="A71" s="1" t="s">
        <v>29</v>
      </c>
    </row>
    <row r="72" spans="1:10" ht="63" customHeight="1">
      <c r="A72" s="154"/>
      <c r="B72" s="155"/>
      <c r="C72" s="155"/>
      <c r="D72" s="155"/>
      <c r="E72" s="155"/>
      <c r="F72" s="155"/>
      <c r="G72" s="155"/>
      <c r="H72" s="155"/>
      <c r="I72" s="155"/>
      <c r="J72" s="155"/>
    </row>
    <row r="73" spans="1:10" ht="18.75">
      <c r="A73" s="23" t="s">
        <v>30</v>
      </c>
      <c r="B73" s="16" t="s">
        <v>31</v>
      </c>
      <c r="C73" s="107" t="s">
        <v>32</v>
      </c>
      <c r="D73" s="108"/>
      <c r="E73" s="16" t="s">
        <v>33</v>
      </c>
      <c r="F73" s="107" t="s">
        <v>34</v>
      </c>
      <c r="G73" s="108"/>
      <c r="H73" s="108"/>
      <c r="I73" s="146" t="s">
        <v>35</v>
      </c>
      <c r="J73" s="108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4" t="s">
        <v>36</v>
      </c>
      <c r="C75" s="104" t="s">
        <v>37</v>
      </c>
      <c r="D75" s="103"/>
      <c r="E75" s="24" t="s">
        <v>38</v>
      </c>
      <c r="F75" s="104" t="s">
        <v>39</v>
      </c>
      <c r="G75" s="103"/>
      <c r="H75" s="103"/>
      <c r="I75" s="129"/>
      <c r="J75" s="103"/>
    </row>
    <row r="76" spans="1:10" ht="16.5" customHeight="1">
      <c r="A76" s="22">
        <v>1</v>
      </c>
      <c r="B76" s="25" t="s">
        <v>36</v>
      </c>
      <c r="C76" s="104" t="s">
        <v>37</v>
      </c>
      <c r="D76" s="103"/>
      <c r="E76" s="24" t="s">
        <v>40</v>
      </c>
      <c r="F76" s="104" t="s">
        <v>41</v>
      </c>
      <c r="G76" s="103"/>
      <c r="H76" s="103"/>
      <c r="I76" s="129"/>
      <c r="J76" s="103"/>
    </row>
    <row r="77" spans="1:10" ht="16.5" customHeight="1">
      <c r="A77" s="22"/>
      <c r="B77" s="25"/>
      <c r="C77" s="104"/>
      <c r="D77" s="103"/>
      <c r="E77" s="24"/>
      <c r="F77" s="104"/>
      <c r="G77" s="103"/>
      <c r="H77" s="103"/>
      <c r="I77" s="129"/>
      <c r="J77" s="103"/>
    </row>
    <row r="78" spans="1:10" ht="16.5" customHeight="1">
      <c r="A78" s="22"/>
      <c r="B78" s="25"/>
      <c r="C78" s="104"/>
      <c r="D78" s="103"/>
      <c r="E78" s="24"/>
      <c r="F78" s="104"/>
      <c r="G78" s="103"/>
      <c r="H78" s="103"/>
      <c r="I78" s="129"/>
      <c r="J78" s="103"/>
    </row>
    <row r="79" spans="1:10" ht="16.5" customHeight="1">
      <c r="A79" s="22"/>
      <c r="B79" s="25"/>
      <c r="C79" s="104"/>
      <c r="D79" s="103"/>
      <c r="E79" s="24"/>
      <c r="F79" s="104"/>
      <c r="G79" s="103"/>
      <c r="H79" s="103"/>
      <c r="I79" s="129"/>
      <c r="J79" s="103"/>
    </row>
    <row r="80" spans="1:10" ht="16.5" customHeight="1">
      <c r="A80" s="22"/>
      <c r="B80" s="25"/>
      <c r="C80" s="104"/>
      <c r="D80" s="103"/>
      <c r="E80" s="24"/>
      <c r="F80" s="104"/>
      <c r="G80" s="103"/>
      <c r="H80" s="103"/>
      <c r="I80" s="129"/>
      <c r="J80" s="103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31" t="s">
        <v>42</v>
      </c>
      <c r="B82" s="132"/>
      <c r="C82" s="131" t="s">
        <v>43</v>
      </c>
      <c r="D82" s="132"/>
      <c r="E82" s="132"/>
      <c r="F82" s="17" t="s">
        <v>44</v>
      </c>
      <c r="G82" s="131" t="s">
        <v>45</v>
      </c>
      <c r="H82" s="132"/>
      <c r="I82" s="131" t="s">
        <v>46</v>
      </c>
      <c r="J82" s="132"/>
    </row>
    <row r="83" spans="1:10" ht="14.25" customHeight="1">
      <c r="A83" s="8"/>
      <c r="B83" s="18"/>
      <c r="C83" s="144" t="s">
        <v>47</v>
      </c>
      <c r="D83" s="145"/>
      <c r="E83" s="18"/>
      <c r="F83" s="144" t="s">
        <v>29</v>
      </c>
      <c r="G83" s="145"/>
      <c r="H83" s="145"/>
      <c r="I83" s="145"/>
      <c r="J83" s="145"/>
    </row>
    <row r="84" spans="1:10">
      <c r="A84" s="9"/>
      <c r="C84" s="7"/>
      <c r="D84" s="7"/>
      <c r="E84" s="7"/>
    </row>
    <row r="85" spans="1:10" ht="14.25" customHeight="1">
      <c r="A85" s="104" t="s">
        <v>63</v>
      </c>
      <c r="B85" s="103"/>
      <c r="C85" s="104" t="s">
        <v>64</v>
      </c>
      <c r="D85" s="103"/>
      <c r="E85" s="103"/>
      <c r="F85" s="26" t="s">
        <v>27</v>
      </c>
      <c r="G85" s="128">
        <v>550</v>
      </c>
      <c r="H85" s="103"/>
      <c r="I85" s="128">
        <v>16.17647058823529</v>
      </c>
      <c r="J85" s="103"/>
    </row>
    <row r="86" spans="1:10" ht="24.95" customHeight="1">
      <c r="A86" s="106" t="s">
        <v>65</v>
      </c>
      <c r="B86" s="103"/>
      <c r="C86" s="104" t="s">
        <v>11</v>
      </c>
      <c r="D86" s="103"/>
      <c r="E86" s="103"/>
      <c r="F86" s="104"/>
      <c r="G86" s="103"/>
      <c r="H86" s="103"/>
      <c r="I86" s="103"/>
      <c r="J86" s="103"/>
    </row>
    <row r="87" spans="1:10" ht="14.25" customHeight="1">
      <c r="A87" s="104" t="s">
        <v>66</v>
      </c>
      <c r="B87" s="103"/>
      <c r="C87" s="104" t="s">
        <v>67</v>
      </c>
      <c r="D87" s="103"/>
      <c r="E87" s="103"/>
      <c r="F87" s="26" t="s">
        <v>27</v>
      </c>
      <c r="G87" s="128">
        <v>31.9</v>
      </c>
      <c r="H87" s="103"/>
      <c r="I87" s="128">
        <v>0.93823529411764706</v>
      </c>
      <c r="J87" s="103"/>
    </row>
    <row r="88" spans="1:10" ht="24.95" customHeight="1">
      <c r="A88" s="106" t="s">
        <v>68</v>
      </c>
      <c r="B88" s="103"/>
      <c r="C88" s="104"/>
      <c r="D88" s="103"/>
      <c r="E88" s="103"/>
      <c r="F88" s="104"/>
      <c r="G88" s="103"/>
      <c r="H88" s="103"/>
      <c r="I88" s="103"/>
      <c r="J88" s="103"/>
    </row>
    <row r="89" spans="1:10" ht="14.25" customHeight="1">
      <c r="A89" s="104" t="s">
        <v>54</v>
      </c>
      <c r="B89" s="103"/>
      <c r="C89" s="104" t="s">
        <v>55</v>
      </c>
      <c r="D89" s="103"/>
      <c r="E89" s="103"/>
      <c r="F89" s="26"/>
      <c r="G89" s="128">
        <v>1.1000000000000001</v>
      </c>
      <c r="H89" s="103"/>
      <c r="I89" s="128">
        <v>3.2352941176470591E-2</v>
      </c>
      <c r="J89" s="103"/>
    </row>
    <row r="90" spans="1:10" ht="24.95" customHeight="1">
      <c r="A90" s="106" t="s">
        <v>56</v>
      </c>
      <c r="B90" s="103"/>
      <c r="C90" s="104" t="s">
        <v>57</v>
      </c>
      <c r="D90" s="103"/>
      <c r="E90" s="103"/>
      <c r="F90" s="104"/>
      <c r="G90" s="103"/>
      <c r="H90" s="103"/>
      <c r="I90" s="103"/>
      <c r="J90" s="103"/>
    </row>
    <row r="91" spans="1:10" ht="14.25" customHeight="1">
      <c r="A91" s="104"/>
      <c r="B91" s="103"/>
      <c r="C91" s="104"/>
      <c r="D91" s="103"/>
      <c r="E91" s="103"/>
      <c r="F91" s="26"/>
      <c r="G91" s="128"/>
      <c r="H91" s="103"/>
      <c r="I91" s="128"/>
      <c r="J91" s="103"/>
    </row>
    <row r="92" spans="1:10" ht="24.95" customHeight="1">
      <c r="A92" s="106"/>
      <c r="B92" s="103"/>
      <c r="C92" s="104"/>
      <c r="D92" s="103"/>
      <c r="E92" s="103"/>
      <c r="F92" s="104"/>
      <c r="G92" s="103"/>
      <c r="H92" s="103"/>
      <c r="I92" s="103"/>
      <c r="J92" s="103"/>
    </row>
    <row r="93" spans="1:10" ht="14.25" customHeight="1">
      <c r="A93" s="104"/>
      <c r="B93" s="103"/>
      <c r="C93" s="104"/>
      <c r="D93" s="103"/>
      <c r="E93" s="103"/>
      <c r="F93" s="26"/>
      <c r="G93" s="128"/>
      <c r="H93" s="103"/>
      <c r="I93" s="128"/>
      <c r="J93" s="103"/>
    </row>
    <row r="94" spans="1:10" ht="24.95" customHeight="1" thickBot="1">
      <c r="A94" s="106"/>
      <c r="B94" s="103"/>
      <c r="C94" s="104"/>
      <c r="D94" s="103"/>
      <c r="E94" s="103"/>
      <c r="F94" s="104"/>
      <c r="G94" s="103"/>
      <c r="H94" s="103"/>
      <c r="I94" s="103"/>
      <c r="J94" s="103"/>
    </row>
    <row r="95" spans="1:10" s="5" customFormat="1" ht="18" customHeight="1">
      <c r="A95" s="109" t="s">
        <v>69</v>
      </c>
      <c r="B95" s="110"/>
      <c r="C95" s="110"/>
      <c r="D95" s="110"/>
      <c r="E95" s="111" t="s">
        <v>70</v>
      </c>
      <c r="F95" s="112"/>
      <c r="G95" s="27" t="s">
        <v>71</v>
      </c>
      <c r="H95" s="113" t="s">
        <v>72</v>
      </c>
      <c r="I95" s="114"/>
      <c r="J95" s="28" t="s">
        <v>73</v>
      </c>
    </row>
    <row r="96" spans="1:10" s="7" customFormat="1" ht="18" customHeight="1">
      <c r="A96" s="115" t="s">
        <v>59</v>
      </c>
      <c r="B96" s="116"/>
      <c r="C96" s="116"/>
      <c r="D96" s="116"/>
      <c r="E96" s="96" t="s">
        <v>98</v>
      </c>
      <c r="F96" s="97"/>
      <c r="G96" s="119">
        <v>32</v>
      </c>
      <c r="H96" s="29" t="s">
        <v>74</v>
      </c>
      <c r="I96" s="30">
        <v>45922</v>
      </c>
      <c r="J96" s="31">
        <v>100</v>
      </c>
    </row>
    <row r="97" spans="1:14" s="5" customFormat="1" ht="18" customHeight="1">
      <c r="A97" s="117"/>
      <c r="B97" s="118"/>
      <c r="C97" s="118"/>
      <c r="D97" s="118"/>
      <c r="E97" s="96"/>
      <c r="F97" s="97"/>
      <c r="G97" s="119"/>
      <c r="H97" s="29" t="s">
        <v>75</v>
      </c>
      <c r="I97" s="32">
        <v>1088</v>
      </c>
      <c r="J97" s="33">
        <v>3</v>
      </c>
      <c r="K97" s="34"/>
    </row>
    <row r="98" spans="1:14" s="7" customFormat="1" ht="18" customHeight="1">
      <c r="A98" s="88" t="s">
        <v>76</v>
      </c>
      <c r="B98" s="133" t="s">
        <v>99</v>
      </c>
      <c r="C98" s="135" t="s">
        <v>77</v>
      </c>
      <c r="D98" s="137">
        <v>2</v>
      </c>
      <c r="E98" s="96" t="s">
        <v>100</v>
      </c>
      <c r="F98" s="97"/>
      <c r="G98" s="98"/>
      <c r="H98" s="35" t="s">
        <v>78</v>
      </c>
      <c r="I98" s="32">
        <v>596</v>
      </c>
      <c r="J98" s="36" t="s">
        <v>101</v>
      </c>
      <c r="K98" s="37"/>
    </row>
    <row r="99" spans="1:14" s="5" customFormat="1" ht="18" customHeight="1">
      <c r="A99" s="120"/>
      <c r="B99" s="134"/>
      <c r="C99" s="136"/>
      <c r="D99" s="138"/>
      <c r="E99" s="96"/>
      <c r="F99" s="97"/>
      <c r="G99" s="98"/>
      <c r="H99" s="35" t="s">
        <v>79</v>
      </c>
      <c r="I99" s="32">
        <v>53</v>
      </c>
      <c r="J99" s="38" t="s">
        <v>101</v>
      </c>
      <c r="K99" s="34"/>
    </row>
    <row r="100" spans="1:14" s="7" customFormat="1" ht="18" customHeight="1">
      <c r="A100" s="121" t="s">
        <v>80</v>
      </c>
      <c r="B100" s="123">
        <v>700</v>
      </c>
      <c r="C100" s="125" t="s">
        <v>81</v>
      </c>
      <c r="D100" s="94" t="s">
        <v>102</v>
      </c>
      <c r="E100" s="96" t="s">
        <v>103</v>
      </c>
      <c r="F100" s="97"/>
      <c r="G100" s="98"/>
      <c r="H100" s="35" t="s">
        <v>82</v>
      </c>
      <c r="I100" s="32">
        <v>105</v>
      </c>
      <c r="J100" s="39" t="s">
        <v>101</v>
      </c>
      <c r="K100" s="37"/>
    </row>
    <row r="101" spans="1:14" s="5" customFormat="1" ht="18" customHeight="1">
      <c r="A101" s="122"/>
      <c r="B101" s="124"/>
      <c r="C101" s="126"/>
      <c r="D101" s="127"/>
      <c r="E101" s="96"/>
      <c r="F101" s="97"/>
      <c r="G101" s="98"/>
      <c r="H101" s="35" t="s">
        <v>83</v>
      </c>
      <c r="I101" s="32">
        <v>1</v>
      </c>
      <c r="J101" s="40" t="s">
        <v>101</v>
      </c>
      <c r="K101" s="34"/>
    </row>
    <row r="102" spans="1:14" s="7" customFormat="1" ht="18" customHeight="1">
      <c r="A102" s="88" t="s">
        <v>84</v>
      </c>
      <c r="B102" s="90" t="s">
        <v>104</v>
      </c>
      <c r="C102" s="92" t="s">
        <v>85</v>
      </c>
      <c r="D102" s="94">
        <v>-1</v>
      </c>
      <c r="E102" s="96" t="s">
        <v>105</v>
      </c>
      <c r="F102" s="97"/>
      <c r="G102" s="98"/>
      <c r="H102" s="35" t="s">
        <v>86</v>
      </c>
      <c r="I102" s="32" t="s">
        <v>106</v>
      </c>
      <c r="J102" s="41">
        <v>2</v>
      </c>
      <c r="K102" s="37"/>
    </row>
    <row r="103" spans="1:14" s="5" customFormat="1" ht="18" customHeight="1" thickBot="1">
      <c r="A103" s="89"/>
      <c r="B103" s="91"/>
      <c r="C103" s="93"/>
      <c r="D103" s="95"/>
      <c r="E103" s="99"/>
      <c r="F103" s="100"/>
      <c r="G103" s="101"/>
      <c r="H103" s="42" t="s">
        <v>87</v>
      </c>
      <c r="I103" s="43" t="s">
        <v>107</v>
      </c>
      <c r="J103" s="44">
        <v>105</v>
      </c>
    </row>
    <row r="104" spans="1:14" s="55" customFormat="1" ht="18.95" customHeight="1">
      <c r="A104" s="45" t="s">
        <v>88</v>
      </c>
      <c r="B104" s="46" t="s">
        <v>89</v>
      </c>
      <c r="C104" s="47" t="s">
        <v>90</v>
      </c>
      <c r="D104" s="47" t="s">
        <v>91</v>
      </c>
      <c r="E104" s="48" t="s">
        <v>92</v>
      </c>
      <c r="F104" s="49" t="s">
        <v>93</v>
      </c>
      <c r="G104" s="50" t="s">
        <v>94</v>
      </c>
      <c r="H104" s="51" t="s">
        <v>95</v>
      </c>
      <c r="I104" s="52" t="s">
        <v>96</v>
      </c>
      <c r="J104" s="53" t="s">
        <v>97</v>
      </c>
      <c r="K104" s="54"/>
      <c r="L104" s="54"/>
      <c r="M104" s="54"/>
      <c r="N104" s="54"/>
    </row>
    <row r="105" spans="1:14" s="66" customFormat="1" ht="18.95" customHeight="1">
      <c r="A105" s="56">
        <v>45890</v>
      </c>
      <c r="B105" s="57" t="s">
        <v>108</v>
      </c>
      <c r="C105" s="58" t="s">
        <v>101</v>
      </c>
      <c r="D105" s="58" t="s">
        <v>101</v>
      </c>
      <c r="E105" s="59" t="s">
        <v>101</v>
      </c>
      <c r="F105" s="60" t="s">
        <v>108</v>
      </c>
      <c r="G105" s="61">
        <v>10</v>
      </c>
      <c r="H105" s="62">
        <v>5</v>
      </c>
      <c r="I105" s="63">
        <v>45918</v>
      </c>
      <c r="J105" s="64">
        <v>2</v>
      </c>
      <c r="K105" s="65"/>
      <c r="L105" s="65"/>
      <c r="M105" s="65"/>
      <c r="N105" s="65"/>
    </row>
    <row r="106" spans="1:14" s="66" customFormat="1" ht="18.95" customHeight="1">
      <c r="A106" s="67">
        <v>45918</v>
      </c>
      <c r="B106" s="68" t="s">
        <v>109</v>
      </c>
      <c r="C106" s="68">
        <v>25</v>
      </c>
      <c r="D106" s="68">
        <v>700.1</v>
      </c>
      <c r="E106" s="69">
        <v>700.41</v>
      </c>
      <c r="F106" s="70" t="s">
        <v>109</v>
      </c>
      <c r="G106" s="71">
        <v>600</v>
      </c>
      <c r="H106" s="72">
        <v>300</v>
      </c>
      <c r="I106" s="63">
        <v>45919</v>
      </c>
      <c r="J106" s="64">
        <v>10</v>
      </c>
      <c r="K106" s="65"/>
      <c r="L106" s="65"/>
      <c r="M106" s="65"/>
      <c r="N106" s="65"/>
    </row>
    <row r="107" spans="1:14" s="66" customFormat="1" ht="18.95" customHeight="1">
      <c r="A107" s="67">
        <v>45918</v>
      </c>
      <c r="B107" s="68" t="s">
        <v>109</v>
      </c>
      <c r="C107" s="68">
        <v>25</v>
      </c>
      <c r="D107" s="68">
        <v>700.1</v>
      </c>
      <c r="E107" s="69">
        <v>700.38</v>
      </c>
      <c r="F107" s="70" t="s">
        <v>110</v>
      </c>
      <c r="G107" s="71">
        <v>581</v>
      </c>
      <c r="H107" s="72">
        <v>291</v>
      </c>
      <c r="I107" s="63">
        <v>45920</v>
      </c>
      <c r="J107" s="64">
        <v>8</v>
      </c>
      <c r="K107" s="65"/>
      <c r="L107" s="65"/>
      <c r="M107" s="65"/>
      <c r="N107" s="65"/>
    </row>
    <row r="108" spans="1:14" s="66" customFormat="1" ht="18.95" customHeight="1">
      <c r="A108" s="67">
        <v>45919</v>
      </c>
      <c r="B108" s="68" t="s">
        <v>109</v>
      </c>
      <c r="C108" s="68">
        <v>25</v>
      </c>
      <c r="D108" s="68">
        <v>700.1</v>
      </c>
      <c r="E108" s="69">
        <v>700.5</v>
      </c>
      <c r="F108" s="70" t="s">
        <v>101</v>
      </c>
      <c r="G108" s="71" t="s">
        <v>101</v>
      </c>
      <c r="H108" s="72">
        <v>0</v>
      </c>
      <c r="I108" s="63">
        <v>45922</v>
      </c>
      <c r="J108" s="64">
        <v>12</v>
      </c>
      <c r="K108" s="65"/>
      <c r="L108" s="65"/>
      <c r="M108" s="65"/>
      <c r="N108" s="65"/>
    </row>
    <row r="109" spans="1:14" s="66" customFormat="1" ht="18.95" customHeight="1">
      <c r="A109" s="67">
        <v>45919</v>
      </c>
      <c r="B109" s="68" t="s">
        <v>109</v>
      </c>
      <c r="C109" s="68">
        <v>27</v>
      </c>
      <c r="D109" s="68">
        <v>700.2</v>
      </c>
      <c r="E109" s="69">
        <v>700.51</v>
      </c>
      <c r="F109" s="70" t="s">
        <v>101</v>
      </c>
      <c r="G109" s="71" t="s">
        <v>101</v>
      </c>
      <c r="H109" s="72">
        <v>0</v>
      </c>
      <c r="I109" s="73" t="s">
        <v>101</v>
      </c>
      <c r="J109" s="74" t="s">
        <v>101</v>
      </c>
      <c r="K109" s="65"/>
      <c r="L109" s="65"/>
      <c r="M109" s="65"/>
      <c r="N109" s="65"/>
    </row>
    <row r="110" spans="1:14" s="66" customFormat="1" ht="18.95" customHeight="1">
      <c r="A110" s="67">
        <v>45920</v>
      </c>
      <c r="B110" s="68" t="s">
        <v>109</v>
      </c>
      <c r="C110" s="68">
        <v>27</v>
      </c>
      <c r="D110" s="68">
        <v>700.2</v>
      </c>
      <c r="E110" s="69">
        <v>700.41</v>
      </c>
      <c r="F110" s="70" t="s">
        <v>101</v>
      </c>
      <c r="G110" s="71" t="s">
        <v>101</v>
      </c>
      <c r="H110" s="75">
        <v>0</v>
      </c>
      <c r="I110" s="76" t="s">
        <v>111</v>
      </c>
      <c r="J110" s="77">
        <v>11</v>
      </c>
      <c r="K110" s="65"/>
      <c r="L110" s="65"/>
      <c r="M110" s="65"/>
      <c r="N110" s="65"/>
    </row>
    <row r="111" spans="1:14" s="66" customFormat="1" ht="18.95" customHeight="1">
      <c r="A111" s="67">
        <v>45920</v>
      </c>
      <c r="B111" s="68" t="s">
        <v>110</v>
      </c>
      <c r="C111" s="68">
        <v>25</v>
      </c>
      <c r="D111" s="68">
        <v>700.1</v>
      </c>
      <c r="E111" s="69">
        <v>700.5</v>
      </c>
      <c r="F111" s="70" t="s">
        <v>101</v>
      </c>
      <c r="G111" s="71" t="s">
        <v>101</v>
      </c>
      <c r="H111" s="75">
        <v>0</v>
      </c>
      <c r="I111" s="78" t="s">
        <v>112</v>
      </c>
      <c r="J111" s="79" t="s">
        <v>101</v>
      </c>
      <c r="K111" s="65"/>
      <c r="L111" s="65"/>
      <c r="M111" s="65"/>
      <c r="N111" s="65"/>
    </row>
    <row r="112" spans="1:14" s="66" customFormat="1" ht="18.95" customHeight="1" thickBot="1">
      <c r="A112" s="80">
        <v>45922</v>
      </c>
      <c r="B112" s="81" t="s">
        <v>110</v>
      </c>
      <c r="C112" s="81">
        <v>23</v>
      </c>
      <c r="D112" s="81">
        <v>700</v>
      </c>
      <c r="E112" s="82">
        <v>700.52</v>
      </c>
      <c r="F112" s="83" t="s">
        <v>101</v>
      </c>
      <c r="G112" s="84" t="s">
        <v>101</v>
      </c>
      <c r="H112" s="85">
        <v>0</v>
      </c>
      <c r="I112" s="86" t="s">
        <v>113</v>
      </c>
      <c r="J112" s="87">
        <v>1</v>
      </c>
      <c r="K112" s="65"/>
      <c r="L112" s="65"/>
      <c r="M112" s="65"/>
      <c r="N112" s="65"/>
    </row>
    <row r="113" spans="1:10" ht="6" customHeight="1" thickBot="1"/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</sheetData>
  <mergeCells count="214">
    <mergeCell ref="I87:J87"/>
    <mergeCell ref="C28:E28"/>
    <mergeCell ref="G32:H32"/>
    <mergeCell ref="A38:D38"/>
    <mergeCell ref="E38:F38"/>
    <mergeCell ref="H38:I38"/>
    <mergeCell ref="A39:D40"/>
    <mergeCell ref="E39:F40"/>
    <mergeCell ref="G39:G40"/>
    <mergeCell ref="A41:A42"/>
    <mergeCell ref="B41:B42"/>
    <mergeCell ref="A43:A44"/>
    <mergeCell ref="B43:B44"/>
    <mergeCell ref="C43:C44"/>
    <mergeCell ref="D43:D44"/>
    <mergeCell ref="E43:G44"/>
    <mergeCell ref="A45:A46"/>
    <mergeCell ref="B45:B46"/>
    <mergeCell ref="C45:C46"/>
    <mergeCell ref="D45:D46"/>
    <mergeCell ref="E45:G46"/>
    <mergeCell ref="F76:H76"/>
    <mergeCell ref="J4:J5"/>
    <mergeCell ref="A90:B90"/>
    <mergeCell ref="F33:J33"/>
    <mergeCell ref="C91:E91"/>
    <mergeCell ref="F3:H4"/>
    <mergeCell ref="I18:J18"/>
    <mergeCell ref="G34:H34"/>
    <mergeCell ref="A33:B33"/>
    <mergeCell ref="C76:D76"/>
    <mergeCell ref="A85:B85"/>
    <mergeCell ref="B64:B65"/>
    <mergeCell ref="F31:J31"/>
    <mergeCell ref="A35:B35"/>
    <mergeCell ref="G91:H91"/>
    <mergeCell ref="A7:A8"/>
    <mergeCell ref="A88:B88"/>
    <mergeCell ref="F60:H61"/>
    <mergeCell ref="C79:D79"/>
    <mergeCell ref="G10:G11"/>
    <mergeCell ref="C73:D73"/>
    <mergeCell ref="F83:J83"/>
    <mergeCell ref="F22:H22"/>
    <mergeCell ref="I16:J16"/>
    <mergeCell ref="I76:J76"/>
    <mergeCell ref="B1:D2"/>
    <mergeCell ref="I20:J20"/>
    <mergeCell ref="G85:H85"/>
    <mergeCell ref="G12:G13"/>
    <mergeCell ref="C19:D19"/>
    <mergeCell ref="A28:B28"/>
    <mergeCell ref="C3:C4"/>
    <mergeCell ref="E3:E4"/>
    <mergeCell ref="B7:B8"/>
    <mergeCell ref="A34:B34"/>
    <mergeCell ref="C77:D77"/>
    <mergeCell ref="E5:E6"/>
    <mergeCell ref="G67:G68"/>
    <mergeCell ref="F29:J29"/>
    <mergeCell ref="I12:J13"/>
    <mergeCell ref="I19:J19"/>
    <mergeCell ref="C18:D18"/>
    <mergeCell ref="C35:E35"/>
    <mergeCell ref="F64:G64"/>
    <mergeCell ref="C37:E37"/>
    <mergeCell ref="F5:H6"/>
    <mergeCell ref="A32:B32"/>
    <mergeCell ref="I23:J23"/>
    <mergeCell ref="C30:E30"/>
    <mergeCell ref="B3:B4"/>
    <mergeCell ref="I80:J80"/>
    <mergeCell ref="A87:B87"/>
    <mergeCell ref="H10:J11"/>
    <mergeCell ref="I32:J32"/>
    <mergeCell ref="H69:H70"/>
    <mergeCell ref="B60:B61"/>
    <mergeCell ref="A37:B37"/>
    <mergeCell ref="D3:D4"/>
    <mergeCell ref="A15:J15"/>
    <mergeCell ref="H12:H13"/>
    <mergeCell ref="C87:E87"/>
    <mergeCell ref="F9:G9"/>
    <mergeCell ref="I82:J82"/>
    <mergeCell ref="C33:E33"/>
    <mergeCell ref="F21:H21"/>
    <mergeCell ref="C25:E25"/>
    <mergeCell ref="C85:E85"/>
    <mergeCell ref="I30:J30"/>
    <mergeCell ref="C83:D83"/>
    <mergeCell ref="A30:B30"/>
    <mergeCell ref="F35:J35"/>
    <mergeCell ref="F77:H77"/>
    <mergeCell ref="F66:G66"/>
    <mergeCell ref="F7:G7"/>
    <mergeCell ref="F23:H23"/>
    <mergeCell ref="C20:D20"/>
    <mergeCell ref="C78:D78"/>
    <mergeCell ref="C36:E36"/>
    <mergeCell ref="I69:J70"/>
    <mergeCell ref="F88:J88"/>
    <mergeCell ref="C75:D75"/>
    <mergeCell ref="C22:D22"/>
    <mergeCell ref="C80:D80"/>
    <mergeCell ref="F26:J26"/>
    <mergeCell ref="C21:D21"/>
    <mergeCell ref="I77:J77"/>
    <mergeCell ref="C32:E32"/>
    <mergeCell ref="B58:D59"/>
    <mergeCell ref="C60:C61"/>
    <mergeCell ref="G25:H25"/>
    <mergeCell ref="C88:E88"/>
    <mergeCell ref="F62:H63"/>
    <mergeCell ref="I25:J25"/>
    <mergeCell ref="F78:H78"/>
    <mergeCell ref="C34:E34"/>
    <mergeCell ref="I61:I62"/>
    <mergeCell ref="C31:E31"/>
    <mergeCell ref="F16:H16"/>
    <mergeCell ref="I73:J73"/>
    <mergeCell ref="F37:J37"/>
    <mergeCell ref="J61:J62"/>
    <mergeCell ref="F20:H20"/>
    <mergeCell ref="I34:J34"/>
    <mergeCell ref="B62:B63"/>
    <mergeCell ref="F80:H80"/>
    <mergeCell ref="A82:B82"/>
    <mergeCell ref="A60:A61"/>
    <mergeCell ref="H67:J68"/>
    <mergeCell ref="F75:H75"/>
    <mergeCell ref="G36:H36"/>
    <mergeCell ref="C41:C42"/>
    <mergeCell ref="D41:D42"/>
    <mergeCell ref="E41:G42"/>
    <mergeCell ref="E60:E61"/>
    <mergeCell ref="A36:B36"/>
    <mergeCell ref="G69:G70"/>
    <mergeCell ref="A72:J72"/>
    <mergeCell ref="F79:H79"/>
    <mergeCell ref="I21:J21"/>
    <mergeCell ref="C23:D23"/>
    <mergeCell ref="F18:H18"/>
    <mergeCell ref="A3:A4"/>
    <mergeCell ref="F86:J86"/>
    <mergeCell ref="G28:H28"/>
    <mergeCell ref="I75:J75"/>
    <mergeCell ref="I22:J22"/>
    <mergeCell ref="I28:J28"/>
    <mergeCell ref="C82:E82"/>
    <mergeCell ref="G93:H93"/>
    <mergeCell ref="A69:C70"/>
    <mergeCell ref="I93:J93"/>
    <mergeCell ref="A5:A6"/>
    <mergeCell ref="A86:B86"/>
    <mergeCell ref="G30:H30"/>
    <mergeCell ref="I4:I5"/>
    <mergeCell ref="I36:J36"/>
    <mergeCell ref="C90:E90"/>
    <mergeCell ref="C26:D26"/>
    <mergeCell ref="G82:H82"/>
    <mergeCell ref="I91:J91"/>
    <mergeCell ref="A12:C13"/>
    <mergeCell ref="B5:B6"/>
    <mergeCell ref="A62:A63"/>
    <mergeCell ref="C16:D16"/>
    <mergeCell ref="I79:J79"/>
    <mergeCell ref="F19:H19"/>
    <mergeCell ref="A29:B29"/>
    <mergeCell ref="I78:J78"/>
    <mergeCell ref="D60:D61"/>
    <mergeCell ref="A25:B25"/>
    <mergeCell ref="I85:J85"/>
    <mergeCell ref="F94:J94"/>
    <mergeCell ref="B98:B99"/>
    <mergeCell ref="C98:C99"/>
    <mergeCell ref="D98:D99"/>
    <mergeCell ref="E98:G99"/>
    <mergeCell ref="E62:E63"/>
    <mergeCell ref="C93:E93"/>
    <mergeCell ref="A94:B94"/>
    <mergeCell ref="A91:B91"/>
    <mergeCell ref="C89:E89"/>
    <mergeCell ref="C94:E94"/>
    <mergeCell ref="A89:B89"/>
    <mergeCell ref="A93:B93"/>
    <mergeCell ref="F92:J92"/>
    <mergeCell ref="A92:B92"/>
    <mergeCell ref="F90:J90"/>
    <mergeCell ref="G89:H89"/>
    <mergeCell ref="C92:E92"/>
    <mergeCell ref="A102:A103"/>
    <mergeCell ref="B102:B103"/>
    <mergeCell ref="C102:C103"/>
    <mergeCell ref="D102:D103"/>
    <mergeCell ref="E102:G103"/>
    <mergeCell ref="A64:A65"/>
    <mergeCell ref="C29:E29"/>
    <mergeCell ref="A31:B31"/>
    <mergeCell ref="F73:H73"/>
    <mergeCell ref="C86:E86"/>
    <mergeCell ref="A95:D95"/>
    <mergeCell ref="E95:F95"/>
    <mergeCell ref="H95:I95"/>
    <mergeCell ref="A96:D97"/>
    <mergeCell ref="E96:F97"/>
    <mergeCell ref="G96:G97"/>
    <mergeCell ref="A98:A99"/>
    <mergeCell ref="A100:A101"/>
    <mergeCell ref="B100:B101"/>
    <mergeCell ref="C100:C101"/>
    <mergeCell ref="D100:D101"/>
    <mergeCell ref="E100:G101"/>
    <mergeCell ref="I89:J89"/>
    <mergeCell ref="G87:H87"/>
  </mergeCells>
  <phoneticPr fontId="2"/>
  <conditionalFormatting sqref="D50:D55">
    <cfRule type="cellIs" dxfId="5" priority="3" operator="equal">
      <formula>$D49</formula>
    </cfRule>
  </conditionalFormatting>
  <conditionalFormatting sqref="D107:D112">
    <cfRule type="cellIs" dxfId="4" priority="6" operator="equal">
      <formula>$D106</formula>
    </cfRule>
  </conditionalFormatting>
  <conditionalFormatting sqref="I39">
    <cfRule type="cellIs" dxfId="3" priority="1" operator="lessThan">
      <formula>45658</formula>
    </cfRule>
  </conditionalFormatting>
  <conditionalFormatting sqref="I96">
    <cfRule type="cellIs" dxfId="2" priority="4" operator="lessThan">
      <formula>45658</formula>
    </cfRule>
  </conditionalFormatting>
  <conditionalFormatting sqref="J46">
    <cfRule type="cellIs" dxfId="1" priority="2" operator="equal">
      <formula>0</formula>
    </cfRule>
  </conditionalFormatting>
  <conditionalFormatting sqref="J103">
    <cfRule type="cellIs" dxfId="0" priority="5" operator="equal">
      <formula>0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1" manualBreakCount="1">
    <brk id="5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k3358</cp:lastModifiedBy>
  <cp:lastPrinted>2025-09-04T05:41:45Z</cp:lastPrinted>
  <dcterms:created xsi:type="dcterms:W3CDTF">2024-07-11T02:08:33Z</dcterms:created>
  <dcterms:modified xsi:type="dcterms:W3CDTF">2025-09-22T07:49:18Z</dcterms:modified>
</cp:coreProperties>
</file>