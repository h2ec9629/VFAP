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E7588EAB-40D5-42AC-B341-A8729F97B1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/>
  <c r="I43" i="1" a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/>
  <c r="I39" i="1" a="1"/>
  <c r="G39" i="1" a="1"/>
  <c r="G39" i="1" s="1"/>
  <c r="E39" i="1" a="1"/>
  <c r="E39" i="1" s="1"/>
  <c r="A3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<sst xmlns="http://schemas.openxmlformats.org/spreadsheetml/2006/main" count="93" uniqueCount="89">
  <si>
    <t>検査梱包指示書</t>
  </si>
  <si>
    <t>品目番号</t>
  </si>
  <si>
    <t>J1JAPAB00419960</t>
  </si>
  <si>
    <t>Ｌ寸</t>
  </si>
  <si>
    <t>名称</t>
  </si>
  <si>
    <t>採光ﾙｰﾊﾞｰﾊﾟﾈﾙB</t>
  </si>
  <si>
    <t>上長</t>
  </si>
  <si>
    <t>係員</t>
  </si>
  <si>
    <t>製造指図№</t>
  </si>
  <si>
    <t>000000000007383</t>
  </si>
  <si>
    <t>原料名</t>
  </si>
  <si>
    <t>(J6VZ027)(J6AH0460)</t>
  </si>
  <si>
    <t>発注明細№</t>
  </si>
  <si>
    <t>000000000790865</t>
  </si>
  <si>
    <t>色　名</t>
  </si>
  <si>
    <t>WMC(ｸﾘｱ色)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</si>
  <si>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</si>
  <si>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</si>
  <si>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</si>
  <si>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</si>
  <si>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</si>
  <si>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</si>
  <si>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</si>
  <si>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</si>
  <si>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4345</t>
  </si>
  <si>
    <t>*J1JAPAB00419960*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</si>
  <si>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</si>
  <si>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</si>
  <si>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</si>
  <si>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</si>
  <si>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</si>
  <si>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</si>
  <si>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</si>
  <si>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</si>
  <si>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</si>
  <si>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</si>
  <si>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</si>
  <si>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</si>
  <si>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</si>
  <si>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</si>
  <si>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</si>
  <si>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</si>
  <si>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</si>
  <si>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</si>
  <si>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</si>
  <si>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</si>
  <si>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</si>
  <si>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</si>
  <si>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J1JAPAA00420400</t>
  </si>
  <si>
    <t>@採光ﾙｰﾊﾞｰﾊﾟﾈﾙB</t>
  </si>
  <si>
    <t>V3W04</t>
  </si>
  <si>
    <t>*J1JAPAA00420400*</t>
  </si>
  <si>
    <t>J6DK0011</t>
  </si>
  <si>
    <t>上-1</t>
  </si>
  <si>
    <t>V3J03</t>
  </si>
  <si>
    <t>*J6DK0011*</t>
  </si>
  <si>
    <t>J6XX0017</t>
  </si>
  <si>
    <t>(管理外)筋入ｸﾗﾌﾄ紙</t>
  </si>
  <si>
    <t>*J6XX0017*</t>
  </si>
  <si>
    <t>600＊100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</si>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</sst>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5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2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2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19" fillId="5" borderId="22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2" xfId="0" applyNumberFormat="1" applyFont="1" applyFill="1" applyBorder="1" applyAlignment="1">
      <alignment horizontal="left" vertical="center" shrinkToFit="1"/>
    </xf>
    <xf numFmtId="187" fontId="19" fillId="5" borderId="22" xfId="0" applyNumberFormat="1" applyFont="1" applyFill="1" applyBorder="1" applyAlignment="1">
      <alignment horizontal="left" vertical="center" shrinkToFit="1"/>
    </xf>
    <xf numFmtId="188" fontId="19" fillId="5" borderId="22" xfId="0" applyNumberFormat="1" applyFont="1" applyFill="1" applyBorder="1" applyAlignment="1">
      <alignment horizontal="left" vertical="center" shrinkToFit="1"/>
    </xf>
    <xf numFmtId="190" fontId="19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79" fontId="25" fillId="0" borderId="31" xfId="1" applyNumberFormat="1" applyFont="1" applyBorder="1" applyAlignment="1">
      <alignment horizontal="center" vertical="center" shrinkToFit="1"/>
    </xf>
    <xf numFmtId="191" fontId="19" fillId="5" borderId="32" xfId="0" applyNumberFormat="1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1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1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92" fontId="15" fillId="0" borderId="21" xfId="0" applyNumberFormat="1" applyFont="1" applyBorder="1" applyAlignment="1">
      <alignment horizontal="center" vertical="center"/>
    </xf>
    <xf numFmtId="193" fontId="15" fillId="0" borderId="2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vertical="center"/>
    </xf>
    <xf numFmtId="179" fontId="15" fillId="0" borderId="21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92" fontId="15" fillId="0" borderId="24" xfId="0" applyNumberFormat="1" applyFont="1" applyBorder="1" applyAlignment="1">
      <alignment horizontal="center" vertical="center"/>
    </xf>
    <xf numFmtId="193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4" xfId="0" applyNumberFormat="1" applyFont="1" applyBorder="1" applyAlignment="1">
      <alignment horizontal="center" vertical="center"/>
    </xf>
    <xf numFmtId="193" fontId="14" fillId="0" borderId="37" xfId="0" applyNumberFormat="1" applyFont="1" applyBorder="1" applyAlignment="1">
      <alignment horizontal="center" vertical="center"/>
    </xf>
    <xf numFmtId="192" fontId="14" fillId="5" borderId="24" xfId="0" applyNumberFormat="1" applyFont="1" applyFill="1" applyBorder="1" applyAlignment="1">
      <alignment horizontal="center" vertical="center"/>
    </xf>
    <xf numFmtId="193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2" fontId="14" fillId="5" borderId="30" xfId="0" applyNumberFormat="1" applyFont="1" applyFill="1" applyBorder="1" applyAlignment="1">
      <alignment horizontal="center" vertical="center"/>
    </xf>
    <xf numFmtId="193" fontId="14" fillId="5" borderId="32" xfId="0" applyNumberFormat="1" applyFont="1" applyFill="1" applyBorder="1" applyAlignment="1">
      <alignment horizontal="center" vertical="center"/>
    </xf>
    <xf numFmtId="49" fontId="8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0" xfId="0" applyBorder="1" applyAlignment="1"/>
    <xf numFmtId="0" fontId="0" fillId="0" borderId="12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10" xfId="1" applyNumberFormat="1" applyFont="1" applyBorder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5" xfId="0" applyBorder="1" applyAlignment="1"/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4" fillId="2" borderId="25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5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133350</xdr:colOff>
      <xdr:row>3</xdr:row>
      <xdr:rowOff>66675</xdr:rowOff>
    </xdr:from>
    <xdr:to>
      <xdr:col>9</xdr:col>
      <xdr:colOff>638175</xdr:colOff>
      <xdr:row>5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5AAD451-0E26-4002-F3D3-FF8ADE02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609600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3</xdr:row>
      <xdr:rowOff>66675</xdr:rowOff>
    </xdr:from>
    <xdr:to>
      <xdr:col>8</xdr:col>
      <xdr:colOff>609600</xdr:colOff>
      <xdr:row>5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F33009D-DD1E-AFDF-3250-0897CD600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609600"/>
          <a:ext cx="485775" cy="4857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0.xlsm" TargetMode="External"/><Relationship Id="rId1" Type="http://schemas.openxmlformats.org/officeDocument/2006/relationships/externalLinkPath" Target="/Users/user/Desktop/sgt25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Sheet1"/>
      <sheetName val="取引"/>
      <sheetName val="加工記録２"/>
      <sheetName val="依頼書保管"/>
      <sheetName val="8FL基材M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/>
      <sheetData sheetId="3">
        <row r="3">
          <cell r="C3" t="str">
            <v>8FL281304 4810　L=297</v>
          </cell>
          <cell r="I3">
            <v>0</v>
          </cell>
          <cell r="J3">
            <v>0</v>
          </cell>
          <cell r="K3">
            <v>0</v>
          </cell>
          <cell r="L3">
            <v>45929</v>
          </cell>
          <cell r="M3">
            <v>3</v>
          </cell>
          <cell r="O3">
            <v>45929</v>
          </cell>
          <cell r="P3">
            <v>4</v>
          </cell>
          <cell r="T3" t="str">
            <v>000000000007053</v>
          </cell>
        </row>
        <row r="4">
          <cell r="D4">
            <v>45926</v>
          </cell>
          <cell r="E4" t="str">
            <v>25I20-08</v>
          </cell>
          <cell r="F4">
            <v>28</v>
          </cell>
          <cell r="G4">
            <v>297.14999999999998</v>
          </cell>
          <cell r="H4">
            <v>297.27999999999997</v>
          </cell>
          <cell r="I4" t="str">
            <v>25I20-08</v>
          </cell>
          <cell r="J4">
            <v>306</v>
          </cell>
          <cell r="K4">
            <v>51</v>
          </cell>
          <cell r="O4">
            <v>300</v>
          </cell>
          <cell r="T4" t="str">
            <v>000000000007053</v>
          </cell>
        </row>
        <row r="5">
          <cell r="C5">
            <v>300</v>
          </cell>
          <cell r="D5">
            <v>45926</v>
          </cell>
          <cell r="E5" t="str">
            <v>25I20-08</v>
          </cell>
          <cell r="F5">
            <v>28</v>
          </cell>
          <cell r="G5">
            <v>297.14999999999998</v>
          </cell>
          <cell r="H5">
            <v>297.36</v>
          </cell>
          <cell r="K5">
            <v>0</v>
          </cell>
          <cell r="O5">
            <v>51</v>
          </cell>
          <cell r="T5" t="str">
            <v>000000000007053</v>
          </cell>
        </row>
        <row r="6">
          <cell r="G6" t="str">
            <v/>
          </cell>
          <cell r="K6">
            <v>0</v>
          </cell>
          <cell r="O6">
            <v>1</v>
          </cell>
          <cell r="T6" t="str">
            <v>000000000007053</v>
          </cell>
        </row>
        <row r="7">
          <cell r="C7">
            <v>6</v>
          </cell>
          <cell r="G7" t="str">
            <v/>
          </cell>
          <cell r="K7">
            <v>0</v>
          </cell>
          <cell r="O7">
            <v>6</v>
          </cell>
          <cell r="T7" t="str">
            <v>000000000007053</v>
          </cell>
        </row>
        <row r="8">
          <cell r="C8" t="str">
            <v>LED-A300</v>
          </cell>
          <cell r="G8" t="str">
            <v/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000000000007053</v>
          </cell>
        </row>
        <row r="9">
          <cell r="C9">
            <v>3</v>
          </cell>
          <cell r="G9" t="str">
            <v/>
          </cell>
          <cell r="K9">
            <v>0</v>
          </cell>
          <cell r="L9" t="str">
            <v>持出端材</v>
          </cell>
          <cell r="O9" t="str">
            <v>M</v>
          </cell>
          <cell r="P9">
            <v>2</v>
          </cell>
          <cell r="T9" t="str">
            <v>000000000007053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 t="str">
            <v>T</v>
          </cell>
          <cell r="P10">
            <v>6</v>
          </cell>
          <cell r="T10" t="str">
            <v>000000000007053</v>
          </cell>
        </row>
        <row r="11">
          <cell r="C11" t="str">
            <v>8FL281304 4910　L=592</v>
          </cell>
          <cell r="D11">
            <v>45926</v>
          </cell>
          <cell r="E11" t="str">
            <v>25I20-08</v>
          </cell>
          <cell r="I11" t="str">
            <v>25I20-08</v>
          </cell>
          <cell r="J11">
            <v>3</v>
          </cell>
          <cell r="K11">
            <v>1</v>
          </cell>
          <cell r="L11">
            <v>45929</v>
          </cell>
          <cell r="M11">
            <v>3</v>
          </cell>
          <cell r="O11">
            <v>45929</v>
          </cell>
          <cell r="P11">
            <v>3</v>
          </cell>
          <cell r="T11" t="str">
            <v>000000000007055</v>
          </cell>
        </row>
        <row r="12">
          <cell r="D12">
            <v>45926</v>
          </cell>
          <cell r="E12" t="str">
            <v>25I20-08</v>
          </cell>
          <cell r="F12">
            <v>28</v>
          </cell>
          <cell r="G12">
            <v>592.30999999999995</v>
          </cell>
          <cell r="H12">
            <v>591.75</v>
          </cell>
          <cell r="I12" t="str">
            <v>25I20-08</v>
          </cell>
          <cell r="J12">
            <v>296</v>
          </cell>
          <cell r="K12">
            <v>99</v>
          </cell>
          <cell r="O12">
            <v>300</v>
          </cell>
          <cell r="T12" t="str">
            <v>000000000007055</v>
          </cell>
        </row>
        <row r="13">
          <cell r="C13">
            <v>300</v>
          </cell>
          <cell r="D13">
            <v>45926</v>
          </cell>
          <cell r="E13" t="str">
            <v>25I20-08</v>
          </cell>
          <cell r="F13">
            <v>26</v>
          </cell>
          <cell r="G13">
            <v>592.23</v>
          </cell>
          <cell r="H13">
            <v>591.79</v>
          </cell>
          <cell r="K13">
            <v>0</v>
          </cell>
          <cell r="O13">
            <v>100</v>
          </cell>
          <cell r="T13" t="str">
            <v>000000000007055</v>
          </cell>
        </row>
        <row r="14">
          <cell r="G14" t="str">
            <v/>
          </cell>
          <cell r="K14">
            <v>0</v>
          </cell>
          <cell r="O14">
            <v>1</v>
          </cell>
          <cell r="T14" t="str">
            <v>000000000007055</v>
          </cell>
        </row>
        <row r="15">
          <cell r="C15">
            <v>3</v>
          </cell>
          <cell r="G15" t="str">
            <v/>
          </cell>
          <cell r="K15">
            <v>0</v>
          </cell>
          <cell r="O15">
            <v>3</v>
          </cell>
          <cell r="T15" t="str">
            <v>000000000007055</v>
          </cell>
        </row>
        <row r="16">
          <cell r="C16" t="str">
            <v>LED-A592</v>
          </cell>
          <cell r="G16" t="str">
            <v/>
          </cell>
          <cell r="K16">
            <v>0</v>
          </cell>
          <cell r="L16" t="str">
            <v>旧品加工</v>
          </cell>
          <cell r="M16">
            <v>5</v>
          </cell>
          <cell r="O16">
            <v>2</v>
          </cell>
          <cell r="T16" t="str">
            <v>000000000007055</v>
          </cell>
        </row>
        <row r="17">
          <cell r="C17">
            <v>3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M</v>
          </cell>
          <cell r="T17" t="str">
            <v>000000000007055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2</v>
          </cell>
          <cell r="O18" t="str">
            <v>T</v>
          </cell>
          <cell r="P18">
            <v>3</v>
          </cell>
          <cell r="T18" t="str">
            <v>000000000007055</v>
          </cell>
        </row>
        <row r="19">
          <cell r="C19" t="str">
            <v>8FL281304 5010　L=888</v>
          </cell>
          <cell r="I19">
            <v>0</v>
          </cell>
          <cell r="J19">
            <v>0</v>
          </cell>
          <cell r="K19">
            <v>0</v>
          </cell>
          <cell r="L19">
            <v>45929</v>
          </cell>
          <cell r="M19">
            <v>4</v>
          </cell>
          <cell r="O19">
            <v>45932</v>
          </cell>
          <cell r="P19">
            <v>24</v>
          </cell>
          <cell r="T19" t="str">
            <v>000000000007061</v>
          </cell>
        </row>
        <row r="20">
          <cell r="D20">
            <v>45929</v>
          </cell>
          <cell r="E20" t="str">
            <v>25I20-08</v>
          </cell>
          <cell r="F20">
            <v>24</v>
          </cell>
          <cell r="G20">
            <v>888.23</v>
          </cell>
          <cell r="H20">
            <v>888.37</v>
          </cell>
          <cell r="I20" t="str">
            <v>25I20-08</v>
          </cell>
          <cell r="J20">
            <v>562</v>
          </cell>
          <cell r="K20">
            <v>281</v>
          </cell>
          <cell r="L20">
            <v>45930</v>
          </cell>
          <cell r="M20">
            <v>10</v>
          </cell>
          <cell r="O20">
            <v>3000</v>
          </cell>
          <cell r="T20" t="str">
            <v>000000000007061</v>
          </cell>
        </row>
        <row r="21">
          <cell r="C21">
            <v>3000</v>
          </cell>
          <cell r="D21">
            <v>45929</v>
          </cell>
          <cell r="E21" t="str">
            <v>25I20-08</v>
          </cell>
          <cell r="F21">
            <v>26</v>
          </cell>
          <cell r="G21">
            <v>888.35</v>
          </cell>
          <cell r="H21">
            <v>888.38</v>
          </cell>
          <cell r="I21" t="str">
            <v>25I09-07</v>
          </cell>
          <cell r="J21">
            <v>394</v>
          </cell>
          <cell r="K21">
            <v>197</v>
          </cell>
          <cell r="L21">
            <v>45931</v>
          </cell>
          <cell r="M21">
            <v>14</v>
          </cell>
          <cell r="O21">
            <v>1516</v>
          </cell>
          <cell r="T21" t="str">
            <v>000000000007061</v>
          </cell>
        </row>
        <row r="22">
          <cell r="D22">
            <v>45929</v>
          </cell>
          <cell r="E22" t="str">
            <v>25I09-07</v>
          </cell>
          <cell r="F22">
            <v>26</v>
          </cell>
          <cell r="G22">
            <v>888.35</v>
          </cell>
          <cell r="H22">
            <v>888.52</v>
          </cell>
          <cell r="I22" t="str">
            <v>25I21-09</v>
          </cell>
          <cell r="J22">
            <v>1600</v>
          </cell>
          <cell r="K22">
            <v>800</v>
          </cell>
          <cell r="L22">
            <v>45932</v>
          </cell>
          <cell r="M22">
            <v>2</v>
          </cell>
          <cell r="O22">
            <v>16</v>
          </cell>
          <cell r="T22" t="str">
            <v>000000000007061</v>
          </cell>
        </row>
        <row r="23">
          <cell r="C23">
            <v>2</v>
          </cell>
          <cell r="D23">
            <v>45929</v>
          </cell>
          <cell r="E23" t="str">
            <v>25I21-09</v>
          </cell>
          <cell r="F23">
            <v>26</v>
          </cell>
          <cell r="G23">
            <v>888.35</v>
          </cell>
          <cell r="H23">
            <v>888.54</v>
          </cell>
          <cell r="I23" t="str">
            <v>25I22-10</v>
          </cell>
          <cell r="J23">
            <v>476</v>
          </cell>
          <cell r="K23">
            <v>238</v>
          </cell>
          <cell r="O23">
            <v>32</v>
          </cell>
          <cell r="P23">
            <v>6</v>
          </cell>
          <cell r="T23" t="str">
            <v>000000000007061</v>
          </cell>
        </row>
        <row r="24">
          <cell r="C24" t="str">
            <v>LED-A888</v>
          </cell>
          <cell r="D24">
            <v>45930</v>
          </cell>
          <cell r="E24" t="str">
            <v>25I21-09</v>
          </cell>
          <cell r="F24">
            <v>22</v>
          </cell>
          <cell r="G24">
            <v>888.12</v>
          </cell>
          <cell r="H24">
            <v>888.41</v>
          </cell>
          <cell r="K24">
            <v>0</v>
          </cell>
          <cell r="L24" t="str">
            <v>旧品加工</v>
          </cell>
          <cell r="O24">
            <v>0</v>
          </cell>
          <cell r="T24" t="str">
            <v>000000000007061</v>
          </cell>
        </row>
        <row r="25">
          <cell r="C25">
            <v>30</v>
          </cell>
          <cell r="D25">
            <v>45930</v>
          </cell>
          <cell r="E25" t="str">
            <v>25I21-09</v>
          </cell>
          <cell r="F25">
            <v>26</v>
          </cell>
          <cell r="G25">
            <v>888.35</v>
          </cell>
          <cell r="H25">
            <v>888.43</v>
          </cell>
          <cell r="K25">
            <v>0</v>
          </cell>
          <cell r="L25" t="str">
            <v>持出端材</v>
          </cell>
          <cell r="O25" t="str">
            <v>C/M</v>
          </cell>
          <cell r="P25">
            <v>2</v>
          </cell>
          <cell r="T25" t="str">
            <v>000000000007061</v>
          </cell>
        </row>
        <row r="26">
          <cell r="D26">
            <v>45930</v>
          </cell>
          <cell r="E26" t="str">
            <v>25I22-10</v>
          </cell>
          <cell r="F26">
            <v>26</v>
          </cell>
          <cell r="G26">
            <v>888.35</v>
          </cell>
          <cell r="H26">
            <v>888.37</v>
          </cell>
          <cell r="K26">
            <v>0</v>
          </cell>
          <cell r="L26" t="str">
            <v>α端材</v>
          </cell>
          <cell r="M26">
            <v>0</v>
          </cell>
          <cell r="O26" t="str">
            <v>T/U</v>
          </cell>
          <cell r="P26">
            <v>32</v>
          </cell>
          <cell r="T26" t="str">
            <v>000000000007061</v>
          </cell>
        </row>
        <row r="27">
          <cell r="C27" t="str">
            <v>灯具カバーPC IN 2070　L=1966</v>
          </cell>
          <cell r="D27">
            <v>45909</v>
          </cell>
          <cell r="E27" t="str">
            <v>25I05-02</v>
          </cell>
          <cell r="I27" t="str">
            <v>25I05-02</v>
          </cell>
          <cell r="J27">
            <v>15</v>
          </cell>
          <cell r="K27">
            <v>15</v>
          </cell>
          <cell r="L27">
            <v>45930</v>
          </cell>
          <cell r="M27">
            <v>3</v>
          </cell>
          <cell r="O27">
            <v>45930</v>
          </cell>
          <cell r="P27">
            <v>1</v>
          </cell>
          <cell r="T27" t="str">
            <v>000000000007426</v>
          </cell>
        </row>
        <row r="28">
          <cell r="D28">
            <v>45930</v>
          </cell>
          <cell r="E28" t="str">
            <v>25I25-01</v>
          </cell>
          <cell r="G28" t="str">
            <v/>
          </cell>
          <cell r="I28" t="str">
            <v>25I25-01</v>
          </cell>
          <cell r="J28">
            <v>114</v>
          </cell>
          <cell r="K28">
            <v>114</v>
          </cell>
          <cell r="O28">
            <v>48</v>
          </cell>
          <cell r="P28">
            <v>79</v>
          </cell>
          <cell r="T28" t="str">
            <v>000000000007426</v>
          </cell>
        </row>
        <row r="29">
          <cell r="C29">
            <v>48</v>
          </cell>
          <cell r="G29" t="str">
            <v/>
          </cell>
          <cell r="K29">
            <v>0</v>
          </cell>
          <cell r="O29">
            <v>129</v>
          </cell>
          <cell r="P29">
            <v>1</v>
          </cell>
          <cell r="T29" t="str">
            <v>000000000007426</v>
          </cell>
        </row>
        <row r="30">
          <cell r="G30" t="str">
            <v/>
          </cell>
          <cell r="K30">
            <v>0</v>
          </cell>
          <cell r="O30">
            <v>81</v>
          </cell>
          <cell r="T30" t="str">
            <v>000000000007426</v>
          </cell>
        </row>
        <row r="31">
          <cell r="C31">
            <v>1</v>
          </cell>
          <cell r="G31" t="str">
            <v/>
          </cell>
          <cell r="K31">
            <v>0</v>
          </cell>
          <cell r="O31">
            <v>81</v>
          </cell>
          <cell r="T31" t="str">
            <v>000000000007426</v>
          </cell>
        </row>
        <row r="32">
          <cell r="C32" t="str">
            <v>灯具-2　L＝1996</v>
          </cell>
          <cell r="G32" t="str">
            <v/>
          </cell>
          <cell r="K32">
            <v>0</v>
          </cell>
          <cell r="L32" t="str">
            <v>旧品加工</v>
          </cell>
          <cell r="M32">
            <v>15</v>
          </cell>
          <cell r="O32">
            <v>0</v>
          </cell>
          <cell r="T32" t="str">
            <v>000000000007426</v>
          </cell>
        </row>
        <row r="33">
          <cell r="C33">
            <v>3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-</v>
          </cell>
          <cell r="T33" t="str">
            <v>000000000007426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0</v>
          </cell>
          <cell r="O34" t="str">
            <v>C</v>
          </cell>
          <cell r="P34">
            <v>81</v>
          </cell>
          <cell r="T34" t="str">
            <v>000000000007426</v>
          </cell>
        </row>
        <row r="35">
          <cell r="C35" t="str">
            <v>8FL281304 5010　L=888</v>
          </cell>
          <cell r="I35">
            <v>0</v>
          </cell>
          <cell r="J35">
            <v>0</v>
          </cell>
          <cell r="K35">
            <v>0</v>
          </cell>
          <cell r="L35">
            <v>45932</v>
          </cell>
          <cell r="M35">
            <v>1</v>
          </cell>
          <cell r="O35">
            <v>45932</v>
          </cell>
          <cell r="P35">
            <v>1</v>
          </cell>
          <cell r="T35" t="str">
            <v>000000000007286</v>
          </cell>
        </row>
        <row r="36">
          <cell r="D36">
            <v>45931</v>
          </cell>
          <cell r="E36" t="str">
            <v>25I22-10</v>
          </cell>
          <cell r="F36">
            <v>26</v>
          </cell>
          <cell r="G36">
            <v>888.35</v>
          </cell>
          <cell r="H36">
            <v>888.41</v>
          </cell>
          <cell r="I36" t="str">
            <v>25I22-10</v>
          </cell>
          <cell r="J36">
            <v>104</v>
          </cell>
          <cell r="K36">
            <v>52</v>
          </cell>
          <cell r="O36">
            <v>100</v>
          </cell>
          <cell r="T36" t="str">
            <v>000000000007286</v>
          </cell>
        </row>
        <row r="37">
          <cell r="C37">
            <v>100</v>
          </cell>
          <cell r="D37">
            <v>45931</v>
          </cell>
          <cell r="E37" t="str">
            <v>25I22-10</v>
          </cell>
          <cell r="F37">
            <v>26</v>
          </cell>
          <cell r="G37">
            <v>888.35</v>
          </cell>
          <cell r="H37">
            <v>888.15</v>
          </cell>
          <cell r="K37">
            <v>0</v>
          </cell>
          <cell r="O37">
            <v>52</v>
          </cell>
          <cell r="P37">
            <v>2</v>
          </cell>
          <cell r="T37" t="str">
            <v>000000000007286</v>
          </cell>
        </row>
        <row r="38">
          <cell r="G38" t="str">
            <v/>
          </cell>
          <cell r="K38">
            <v>0</v>
          </cell>
          <cell r="O38">
            <v>2</v>
          </cell>
          <cell r="T38" t="str">
            <v>000000000007286</v>
          </cell>
        </row>
        <row r="39">
          <cell r="C39">
            <v>2</v>
          </cell>
          <cell r="G39" t="str">
            <v/>
          </cell>
          <cell r="K39">
            <v>0</v>
          </cell>
          <cell r="O39">
            <v>4</v>
          </cell>
          <cell r="T39" t="str">
            <v>000000000007286</v>
          </cell>
        </row>
        <row r="40">
          <cell r="C40" t="str">
            <v>LED-A888</v>
          </cell>
          <cell r="G40" t="str">
            <v/>
          </cell>
          <cell r="K40">
            <v>0</v>
          </cell>
          <cell r="L40" t="str">
            <v>旧品加工</v>
          </cell>
          <cell r="O40">
            <v>0</v>
          </cell>
          <cell r="T40" t="str">
            <v>000000000007286</v>
          </cell>
        </row>
        <row r="41">
          <cell r="C41">
            <v>1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M</v>
          </cell>
          <cell r="P41">
            <v>1</v>
          </cell>
          <cell r="T41" t="str">
            <v>000000000007286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0</v>
          </cell>
          <cell r="O42" t="str">
            <v>T</v>
          </cell>
          <cell r="P42">
            <v>4</v>
          </cell>
          <cell r="T42" t="str">
            <v>000000000007286</v>
          </cell>
        </row>
        <row r="43">
          <cell r="C43" t="str">
            <v>8FL281304 5010　L=888</v>
          </cell>
          <cell r="I43">
            <v>0</v>
          </cell>
          <cell r="J43">
            <v>0</v>
          </cell>
          <cell r="K43">
            <v>0</v>
          </cell>
          <cell r="L43">
            <v>45932</v>
          </cell>
          <cell r="M43">
            <v>9</v>
          </cell>
          <cell r="O43">
            <v>45932</v>
          </cell>
          <cell r="P43">
            <v>1</v>
          </cell>
          <cell r="T43" t="str">
            <v>000000000007058</v>
          </cell>
        </row>
        <row r="44">
          <cell r="D44">
            <v>45931</v>
          </cell>
          <cell r="E44" t="str">
            <v>25I22-10</v>
          </cell>
          <cell r="F44">
            <v>26</v>
          </cell>
          <cell r="G44">
            <v>888.35</v>
          </cell>
          <cell r="H44">
            <v>888.15</v>
          </cell>
          <cell r="I44" t="str">
            <v>25I22-10</v>
          </cell>
          <cell r="J44">
            <v>901</v>
          </cell>
          <cell r="K44">
            <v>451</v>
          </cell>
          <cell r="O44">
            <v>900</v>
          </cell>
          <cell r="T44" t="str">
            <v>000000000007058</v>
          </cell>
        </row>
        <row r="45">
          <cell r="C45">
            <v>900</v>
          </cell>
          <cell r="D45">
            <v>45931</v>
          </cell>
          <cell r="E45" t="str">
            <v>25I22-10</v>
          </cell>
          <cell r="F45">
            <v>26</v>
          </cell>
          <cell r="G45">
            <v>888.35</v>
          </cell>
          <cell r="H45">
            <v>888.4</v>
          </cell>
          <cell r="K45">
            <v>0</v>
          </cell>
          <cell r="O45">
            <v>451</v>
          </cell>
          <cell r="T45" t="str">
            <v>000000000007058</v>
          </cell>
        </row>
        <row r="46">
          <cell r="D46">
            <v>45931</v>
          </cell>
          <cell r="E46" t="str">
            <v>25I22-10</v>
          </cell>
          <cell r="F46">
            <v>26</v>
          </cell>
          <cell r="G46">
            <v>888.35</v>
          </cell>
          <cell r="H46">
            <v>888.39</v>
          </cell>
          <cell r="K46">
            <v>0</v>
          </cell>
          <cell r="O46">
            <v>1</v>
          </cell>
          <cell r="T46" t="str">
            <v>000000000007058</v>
          </cell>
        </row>
        <row r="47">
          <cell r="C47">
            <v>2</v>
          </cell>
          <cell r="G47" t="str">
            <v/>
          </cell>
          <cell r="K47">
            <v>0</v>
          </cell>
          <cell r="O47">
            <v>1</v>
          </cell>
          <cell r="T47" t="str">
            <v>000000000007058</v>
          </cell>
        </row>
        <row r="48">
          <cell r="C48" t="str">
            <v>LED-A888</v>
          </cell>
          <cell r="G48" t="str">
            <v/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000000000007058</v>
          </cell>
        </row>
        <row r="49">
          <cell r="C49">
            <v>9</v>
          </cell>
          <cell r="G49" t="str">
            <v/>
          </cell>
          <cell r="K49">
            <v>0</v>
          </cell>
          <cell r="L49" t="str">
            <v>持出端材</v>
          </cell>
          <cell r="O49" t="str">
            <v>M</v>
          </cell>
          <cell r="T49" t="str">
            <v>000000000007058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O50" t="str">
            <v>T</v>
          </cell>
          <cell r="P50">
            <v>1</v>
          </cell>
          <cell r="T50" t="str">
            <v>000000000007058</v>
          </cell>
        </row>
        <row r="51">
          <cell r="C51" t="str">
            <v>8FL281304 8310　L=748</v>
          </cell>
          <cell r="D51">
            <v>45926</v>
          </cell>
          <cell r="E51" t="str">
            <v>25I09-06</v>
          </cell>
          <cell r="I51" t="str">
            <v>25I09-06</v>
          </cell>
          <cell r="J51">
            <v>4</v>
          </cell>
          <cell r="K51">
            <v>2</v>
          </cell>
          <cell r="L51">
            <v>45932</v>
          </cell>
          <cell r="M51">
            <v>2</v>
          </cell>
          <cell r="O51">
            <v>45932</v>
          </cell>
          <cell r="P51">
            <v>3</v>
          </cell>
          <cell r="T51" t="str">
            <v>000000000007057</v>
          </cell>
        </row>
        <row r="52">
          <cell r="D52">
            <v>45932</v>
          </cell>
          <cell r="E52" t="str">
            <v>25I22-10</v>
          </cell>
          <cell r="F52">
            <v>22</v>
          </cell>
          <cell r="G52">
            <v>748.1</v>
          </cell>
          <cell r="H52">
            <v>748.44</v>
          </cell>
          <cell r="I52" t="str">
            <v>25I22-10</v>
          </cell>
          <cell r="J52">
            <v>111</v>
          </cell>
          <cell r="K52">
            <v>56</v>
          </cell>
          <cell r="O52">
            <v>200</v>
          </cell>
          <cell r="T52" t="str">
            <v>000000000007057</v>
          </cell>
        </row>
        <row r="53">
          <cell r="C53">
            <v>200</v>
          </cell>
          <cell r="D53">
            <v>45932</v>
          </cell>
          <cell r="E53" t="str">
            <v>25I23-11</v>
          </cell>
          <cell r="F53">
            <v>26</v>
          </cell>
          <cell r="G53">
            <v>748.29</v>
          </cell>
          <cell r="H53">
            <v>748.39</v>
          </cell>
          <cell r="I53" t="str">
            <v>25I23-11</v>
          </cell>
          <cell r="J53">
            <v>86</v>
          </cell>
          <cell r="K53">
            <v>43</v>
          </cell>
          <cell r="O53">
            <v>101</v>
          </cell>
          <cell r="T53" t="str">
            <v>000000000007057</v>
          </cell>
        </row>
        <row r="54">
          <cell r="G54" t="str">
            <v/>
          </cell>
          <cell r="K54">
            <v>0</v>
          </cell>
          <cell r="O54">
            <v>2</v>
          </cell>
          <cell r="T54" t="str">
            <v>000000000007057</v>
          </cell>
        </row>
        <row r="55">
          <cell r="C55">
            <v>2</v>
          </cell>
          <cell r="G55" t="str">
            <v/>
          </cell>
          <cell r="K55">
            <v>0</v>
          </cell>
          <cell r="O55">
            <v>3</v>
          </cell>
          <cell r="T55" t="str">
            <v>000000000007057</v>
          </cell>
        </row>
        <row r="56">
          <cell r="C56" t="str">
            <v>LED-A888</v>
          </cell>
          <cell r="G56" t="str">
            <v/>
          </cell>
          <cell r="K56">
            <v>0</v>
          </cell>
          <cell r="L56" t="str">
            <v>旧品加工</v>
          </cell>
          <cell r="M56">
            <v>5</v>
          </cell>
          <cell r="O56">
            <v>1</v>
          </cell>
          <cell r="T56" t="str">
            <v>000000000007057</v>
          </cell>
        </row>
        <row r="57">
          <cell r="C57">
            <v>2</v>
          </cell>
          <cell r="G57" t="str">
            <v/>
          </cell>
          <cell r="K57">
            <v>0</v>
          </cell>
          <cell r="L57" t="str">
            <v>持出端材</v>
          </cell>
          <cell r="O57" t="str">
            <v>M/C</v>
          </cell>
          <cell r="T57" t="str">
            <v>000000000007057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1</v>
          </cell>
          <cell r="O58" t="str">
            <v>U</v>
          </cell>
          <cell r="P58">
            <v>3</v>
          </cell>
          <cell r="T58" t="str">
            <v>000000000007057</v>
          </cell>
        </row>
        <row r="59">
          <cell r="C59" t="str">
            <v>8FL281304 6110　L=1478</v>
          </cell>
          <cell r="D59">
            <v>45916</v>
          </cell>
          <cell r="E59" t="str">
            <v>25I06-03</v>
          </cell>
          <cell r="I59" t="str">
            <v>25I06-03</v>
          </cell>
          <cell r="J59">
            <v>3</v>
          </cell>
          <cell r="K59">
            <v>3</v>
          </cell>
          <cell r="L59">
            <v>45933</v>
          </cell>
          <cell r="M59">
            <v>6</v>
          </cell>
          <cell r="O59">
            <v>45933</v>
          </cell>
          <cell r="P59">
            <v>3</v>
          </cell>
          <cell r="T59" t="str">
            <v>000000000007059</v>
          </cell>
        </row>
        <row r="60">
          <cell r="D60">
            <v>45932</v>
          </cell>
          <cell r="E60" t="str">
            <v>25I23-11</v>
          </cell>
          <cell r="F60">
            <v>26</v>
          </cell>
          <cell r="G60">
            <v>1478.58</v>
          </cell>
          <cell r="H60">
            <v>1478.56</v>
          </cell>
          <cell r="I60" t="str">
            <v>25I23-11</v>
          </cell>
          <cell r="J60">
            <v>600</v>
          </cell>
          <cell r="K60">
            <v>600</v>
          </cell>
          <cell r="O60">
            <v>600</v>
          </cell>
          <cell r="T60" t="str">
            <v>000000000007059</v>
          </cell>
        </row>
        <row r="61">
          <cell r="C61">
            <v>600</v>
          </cell>
          <cell r="D61">
            <v>45932</v>
          </cell>
          <cell r="E61" t="str">
            <v>25I23-11</v>
          </cell>
          <cell r="F61">
            <v>26</v>
          </cell>
          <cell r="G61">
            <v>1478.58</v>
          </cell>
          <cell r="H61">
            <v>1478.76</v>
          </cell>
          <cell r="K61">
            <v>0</v>
          </cell>
          <cell r="O61">
            <v>603</v>
          </cell>
          <cell r="T61" t="str">
            <v>000000000007059</v>
          </cell>
        </row>
        <row r="62">
          <cell r="D62">
            <v>45932</v>
          </cell>
          <cell r="E62" t="str">
            <v>25I23-11</v>
          </cell>
          <cell r="F62">
            <v>26</v>
          </cell>
          <cell r="G62">
            <v>1478.58</v>
          </cell>
          <cell r="H62">
            <v>1478.68</v>
          </cell>
          <cell r="K62">
            <v>0</v>
          </cell>
          <cell r="O62">
            <v>3</v>
          </cell>
          <cell r="T62" t="str">
            <v>000000000007059</v>
          </cell>
        </row>
        <row r="63">
          <cell r="C63">
            <v>1</v>
          </cell>
          <cell r="G63" t="str">
            <v/>
          </cell>
          <cell r="K63">
            <v>0</v>
          </cell>
          <cell r="O63">
            <v>3</v>
          </cell>
          <cell r="T63" t="str">
            <v>000000000007059</v>
          </cell>
        </row>
        <row r="64">
          <cell r="C64" t="str">
            <v>LED-A1478</v>
          </cell>
          <cell r="G64" t="str">
            <v/>
          </cell>
          <cell r="K64">
            <v>0</v>
          </cell>
          <cell r="L64" t="str">
            <v>旧品加工</v>
          </cell>
          <cell r="M64">
            <v>3</v>
          </cell>
          <cell r="O64">
            <v>0</v>
          </cell>
          <cell r="T64" t="str">
            <v>000000000007059</v>
          </cell>
        </row>
        <row r="65">
          <cell r="C65">
            <v>6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C/M</v>
          </cell>
          <cell r="T65" t="str">
            <v>000000000007059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U/T</v>
          </cell>
          <cell r="P66">
            <v>3</v>
          </cell>
          <cell r="T66" t="str">
            <v>000000000007059</v>
          </cell>
        </row>
        <row r="67">
          <cell r="C67" t="str">
            <v>8FL281304 5010　L=888</v>
          </cell>
          <cell r="D67">
            <v>45932</v>
          </cell>
          <cell r="E67" t="str">
            <v>25I22-10</v>
          </cell>
          <cell r="I67" t="str">
            <v>25I22-10</v>
          </cell>
          <cell r="J67">
            <v>10</v>
          </cell>
          <cell r="K67">
            <v>5</v>
          </cell>
          <cell r="L67">
            <v>45933</v>
          </cell>
          <cell r="M67">
            <v>7</v>
          </cell>
          <cell r="O67">
            <v>45936</v>
          </cell>
          <cell r="P67">
            <v>6</v>
          </cell>
          <cell r="T67" t="str">
            <v>000000000007287</v>
          </cell>
        </row>
        <row r="68">
          <cell r="D68">
            <v>45933</v>
          </cell>
          <cell r="E68" t="str">
            <v>25I23-11</v>
          </cell>
          <cell r="F68">
            <v>24</v>
          </cell>
          <cell r="G68">
            <v>888.23</v>
          </cell>
          <cell r="H68">
            <v>888.17</v>
          </cell>
          <cell r="I68" t="str">
            <v>25I23-11</v>
          </cell>
          <cell r="J68">
            <v>296</v>
          </cell>
          <cell r="K68">
            <v>148</v>
          </cell>
          <cell r="L68">
            <v>45936</v>
          </cell>
          <cell r="M68">
            <v>3</v>
          </cell>
          <cell r="O68">
            <v>1000</v>
          </cell>
          <cell r="P68">
            <v>2</v>
          </cell>
          <cell r="T68" t="str">
            <v>000000000007287</v>
          </cell>
        </row>
        <row r="69">
          <cell r="C69">
            <v>1000</v>
          </cell>
          <cell r="D69">
            <v>45933</v>
          </cell>
          <cell r="E69" t="str">
            <v>25I24-12</v>
          </cell>
          <cell r="F69">
            <v>26</v>
          </cell>
          <cell r="G69">
            <v>888.35</v>
          </cell>
          <cell r="H69">
            <v>888.2</v>
          </cell>
          <cell r="I69" t="str">
            <v>25I24-12</v>
          </cell>
          <cell r="J69">
            <v>705</v>
          </cell>
          <cell r="K69">
            <v>353</v>
          </cell>
          <cell r="O69">
            <v>506</v>
          </cell>
          <cell r="T69" t="str">
            <v>000000000007287</v>
          </cell>
        </row>
        <row r="70">
          <cell r="D70">
            <v>45933</v>
          </cell>
          <cell r="E70" t="str">
            <v>25I24-12</v>
          </cell>
          <cell r="F70">
            <v>26</v>
          </cell>
          <cell r="G70">
            <v>888.35</v>
          </cell>
          <cell r="H70">
            <v>888.4</v>
          </cell>
          <cell r="K70">
            <v>0</v>
          </cell>
          <cell r="O70">
            <v>7</v>
          </cell>
          <cell r="T70" t="str">
            <v>000000000007287</v>
          </cell>
        </row>
        <row r="71">
          <cell r="C71">
            <v>2</v>
          </cell>
          <cell r="D71">
            <v>45933</v>
          </cell>
          <cell r="E71" t="str">
            <v>25I24-12</v>
          </cell>
          <cell r="F71">
            <v>26</v>
          </cell>
          <cell r="G71">
            <v>888.35</v>
          </cell>
          <cell r="H71">
            <v>888.35</v>
          </cell>
          <cell r="K71">
            <v>0</v>
          </cell>
          <cell r="O71">
            <v>13</v>
          </cell>
          <cell r="T71" t="str">
            <v>000000000007287</v>
          </cell>
        </row>
        <row r="72">
          <cell r="C72" t="str">
            <v>LED-A888</v>
          </cell>
          <cell r="G72" t="str">
            <v/>
          </cell>
          <cell r="K72">
            <v>0</v>
          </cell>
          <cell r="L72" t="str">
            <v>旧品加工</v>
          </cell>
          <cell r="M72">
            <v>11</v>
          </cell>
          <cell r="O72">
            <v>1</v>
          </cell>
          <cell r="T72" t="str">
            <v>000000000007287</v>
          </cell>
        </row>
        <row r="73">
          <cell r="C73">
            <v>10</v>
          </cell>
          <cell r="G73" t="str">
            <v/>
          </cell>
          <cell r="K73">
            <v>0</v>
          </cell>
          <cell r="L73" t="str">
            <v>持出端材</v>
          </cell>
          <cell r="O73" t="str">
            <v>C/M</v>
          </cell>
          <cell r="P73">
            <v>5</v>
          </cell>
          <cell r="T73" t="str">
            <v>000000000007287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1</v>
          </cell>
          <cell r="O74" t="str">
            <v>C/T/U</v>
          </cell>
          <cell r="P74">
            <v>13</v>
          </cell>
          <cell r="T74" t="str">
            <v>000000000007287</v>
          </cell>
        </row>
        <row r="75">
          <cell r="C75" t="str">
            <v>8FL281304 5010　L=888</v>
          </cell>
          <cell r="I75">
            <v>0</v>
          </cell>
          <cell r="J75">
            <v>0</v>
          </cell>
          <cell r="K75">
            <v>0</v>
          </cell>
          <cell r="L75">
            <v>45936</v>
          </cell>
          <cell r="M75">
            <v>4</v>
          </cell>
          <cell r="O75">
            <v>45936</v>
          </cell>
          <cell r="P75">
            <v>5</v>
          </cell>
          <cell r="T75" t="str">
            <v>000000000007288</v>
          </cell>
        </row>
        <row r="76">
          <cell r="D76">
            <v>45933</v>
          </cell>
          <cell r="E76" t="str">
            <v>25I24-12</v>
          </cell>
          <cell r="F76">
            <v>26</v>
          </cell>
          <cell r="G76">
            <v>888.35</v>
          </cell>
          <cell r="H76">
            <v>888.35</v>
          </cell>
          <cell r="I76" t="str">
            <v>25I24-12</v>
          </cell>
          <cell r="J76">
            <v>409</v>
          </cell>
          <cell r="K76">
            <v>205</v>
          </cell>
          <cell r="O76">
            <v>400</v>
          </cell>
          <cell r="T76" t="str">
            <v>000000000007288</v>
          </cell>
        </row>
        <row r="77">
          <cell r="C77">
            <v>400</v>
          </cell>
          <cell r="D77">
            <v>45933</v>
          </cell>
          <cell r="E77" t="str">
            <v>25I24-12</v>
          </cell>
          <cell r="F77">
            <v>26</v>
          </cell>
          <cell r="G77">
            <v>888.35</v>
          </cell>
          <cell r="H77">
            <v>888.32</v>
          </cell>
          <cell r="K77">
            <v>0</v>
          </cell>
          <cell r="O77">
            <v>205</v>
          </cell>
          <cell r="P77">
            <v>2</v>
          </cell>
          <cell r="T77" t="str">
            <v>000000000007288</v>
          </cell>
        </row>
        <row r="78">
          <cell r="G78" t="str">
            <v/>
          </cell>
          <cell r="K78">
            <v>0</v>
          </cell>
          <cell r="O78">
            <v>5</v>
          </cell>
          <cell r="T78" t="str">
            <v>000000000007288</v>
          </cell>
        </row>
        <row r="79">
          <cell r="C79">
            <v>2</v>
          </cell>
          <cell r="G79" t="str">
            <v/>
          </cell>
          <cell r="K79">
            <v>0</v>
          </cell>
          <cell r="O79">
            <v>9</v>
          </cell>
          <cell r="T79" t="str">
            <v>000000000007288</v>
          </cell>
        </row>
        <row r="80">
          <cell r="C80" t="str">
            <v>LED-A888</v>
          </cell>
          <cell r="G80" t="str">
            <v/>
          </cell>
          <cell r="K80">
            <v>0</v>
          </cell>
          <cell r="L80" t="str">
            <v>旧品加工</v>
          </cell>
          <cell r="O80">
            <v>0</v>
          </cell>
          <cell r="T80" t="str">
            <v>000000000007288</v>
          </cell>
        </row>
        <row r="81">
          <cell r="C81">
            <v>4</v>
          </cell>
          <cell r="G81" t="str">
            <v/>
          </cell>
          <cell r="K81">
            <v>0</v>
          </cell>
          <cell r="L81" t="str">
            <v>持出端材</v>
          </cell>
          <cell r="O81" t="str">
            <v>M</v>
          </cell>
          <cell r="P81">
            <v>2</v>
          </cell>
          <cell r="T81" t="str">
            <v>000000000007288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T</v>
          </cell>
          <cell r="P82">
            <v>9</v>
          </cell>
          <cell r="T82" t="str">
            <v>000000000007288</v>
          </cell>
        </row>
        <row r="83">
          <cell r="C83" t="str">
            <v>8FL281304 8110　L=444</v>
          </cell>
          <cell r="D83">
            <v>45910</v>
          </cell>
          <cell r="E83" t="str">
            <v>25I05-02</v>
          </cell>
          <cell r="I83" t="str">
            <v>25I05-02</v>
          </cell>
          <cell r="J83">
            <v>12</v>
          </cell>
          <cell r="K83">
            <v>3</v>
          </cell>
          <cell r="L83">
            <v>45937</v>
          </cell>
          <cell r="M83">
            <v>1</v>
          </cell>
          <cell r="O83">
            <v>45937</v>
          </cell>
          <cell r="P83">
            <v>1</v>
          </cell>
          <cell r="T83" t="str">
            <v>000000000007283</v>
          </cell>
        </row>
        <row r="84">
          <cell r="D84">
            <v>45936</v>
          </cell>
          <cell r="E84" t="str">
            <v>25I24-12</v>
          </cell>
          <cell r="F84">
            <v>26</v>
          </cell>
          <cell r="G84">
            <v>444.17</v>
          </cell>
          <cell r="H84">
            <v>443.8</v>
          </cell>
          <cell r="I84" t="str">
            <v>25I24-12</v>
          </cell>
          <cell r="J84">
            <v>87</v>
          </cell>
          <cell r="K84">
            <v>22</v>
          </cell>
          <cell r="O84">
            <v>100</v>
          </cell>
          <cell r="T84" t="str">
            <v>000000000007283</v>
          </cell>
        </row>
        <row r="85">
          <cell r="C85">
            <v>100</v>
          </cell>
          <cell r="D85">
            <v>45936</v>
          </cell>
          <cell r="E85" t="str">
            <v>25I24-12</v>
          </cell>
          <cell r="F85">
            <v>26</v>
          </cell>
          <cell r="G85">
            <v>444.17</v>
          </cell>
          <cell r="H85">
            <v>443.91</v>
          </cell>
          <cell r="K85">
            <v>0</v>
          </cell>
          <cell r="O85">
            <v>25</v>
          </cell>
          <cell r="T85" t="str">
            <v>000000000007283</v>
          </cell>
        </row>
        <row r="86">
          <cell r="G86" t="str">
            <v/>
          </cell>
          <cell r="K86">
            <v>0</v>
          </cell>
          <cell r="O86">
            <v>1</v>
          </cell>
          <cell r="T86" t="str">
            <v>000000000007283</v>
          </cell>
        </row>
        <row r="87">
          <cell r="C87">
            <v>4</v>
          </cell>
          <cell r="G87" t="str">
            <v/>
          </cell>
          <cell r="K87">
            <v>0</v>
          </cell>
          <cell r="O87">
            <v>1</v>
          </cell>
          <cell r="T87" t="str">
            <v>000000000007283</v>
          </cell>
        </row>
        <row r="88">
          <cell r="C88" t="str">
            <v>LED-A444</v>
          </cell>
          <cell r="G88" t="str">
            <v/>
          </cell>
          <cell r="K88">
            <v>0</v>
          </cell>
          <cell r="L88" t="str">
            <v>旧品加工</v>
          </cell>
          <cell r="M88">
            <v>13</v>
          </cell>
          <cell r="O88">
            <v>1</v>
          </cell>
          <cell r="T88" t="str">
            <v>000000000007283</v>
          </cell>
        </row>
        <row r="89">
          <cell r="C89">
            <v>1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M</v>
          </cell>
          <cell r="T89" t="str">
            <v>000000000007283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1</v>
          </cell>
          <cell r="O90" t="str">
            <v>T</v>
          </cell>
          <cell r="P90">
            <v>1</v>
          </cell>
          <cell r="T90" t="str">
            <v>000000000007283</v>
          </cell>
        </row>
        <row r="91">
          <cell r="C91" t="str">
            <v>8FL281304 4910　L=592</v>
          </cell>
          <cell r="D91">
            <v>45929</v>
          </cell>
          <cell r="E91" t="str">
            <v>25I20-08</v>
          </cell>
          <cell r="I91" t="str">
            <v>25I20-08</v>
          </cell>
          <cell r="J91">
            <v>0</v>
          </cell>
          <cell r="K91">
            <v>0</v>
          </cell>
          <cell r="L91">
            <v>45937</v>
          </cell>
          <cell r="M91">
            <v>4</v>
          </cell>
          <cell r="O91">
            <v>45937</v>
          </cell>
          <cell r="P91">
            <v>2</v>
          </cell>
          <cell r="T91" t="str">
            <v>000000000007284</v>
          </cell>
        </row>
        <row r="92">
          <cell r="D92">
            <v>45933</v>
          </cell>
          <cell r="E92" t="str">
            <v>25I24-12</v>
          </cell>
          <cell r="F92">
            <v>26</v>
          </cell>
          <cell r="G92">
            <v>592.23</v>
          </cell>
          <cell r="H92">
            <v>591.72</v>
          </cell>
          <cell r="I92" t="str">
            <v>25I24-12</v>
          </cell>
          <cell r="J92">
            <v>352</v>
          </cell>
          <cell r="K92">
            <v>118</v>
          </cell>
          <cell r="O92">
            <v>400</v>
          </cell>
          <cell r="T92" t="str">
            <v>000000000007284</v>
          </cell>
        </row>
        <row r="93">
          <cell r="C93">
            <v>400</v>
          </cell>
          <cell r="D93">
            <v>45933</v>
          </cell>
          <cell r="E93" t="str">
            <v>25I24-12</v>
          </cell>
          <cell r="F93">
            <v>26</v>
          </cell>
          <cell r="G93">
            <v>592.23</v>
          </cell>
          <cell r="H93">
            <v>591.97</v>
          </cell>
          <cell r="K93">
            <v>0</v>
          </cell>
          <cell r="O93">
            <v>118</v>
          </cell>
          <cell r="P93">
            <v>1</v>
          </cell>
          <cell r="T93" t="str">
            <v>000000000007284</v>
          </cell>
        </row>
        <row r="94">
          <cell r="G94" t="str">
            <v/>
          </cell>
          <cell r="K94">
            <v>0</v>
          </cell>
          <cell r="O94">
            <v>2</v>
          </cell>
          <cell r="T94" t="str">
            <v>000000000007284</v>
          </cell>
        </row>
        <row r="95">
          <cell r="C95">
            <v>3</v>
          </cell>
          <cell r="G95" t="str">
            <v/>
          </cell>
          <cell r="K95">
            <v>0</v>
          </cell>
          <cell r="O95">
            <v>4</v>
          </cell>
          <cell r="T95" t="str">
            <v>000000000007284</v>
          </cell>
        </row>
        <row r="96">
          <cell r="C96" t="str">
            <v>LED-A592</v>
          </cell>
          <cell r="G96" t="str">
            <v/>
          </cell>
          <cell r="K96">
            <v>0</v>
          </cell>
          <cell r="L96" t="str">
            <v>旧品加工</v>
          </cell>
          <cell r="M96">
            <v>2</v>
          </cell>
          <cell r="O96">
            <v>50</v>
          </cell>
          <cell r="T96" t="str">
            <v>000000000007284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持出端材</v>
          </cell>
          <cell r="M97">
            <v>48</v>
          </cell>
          <cell r="O97" t="str">
            <v>M</v>
          </cell>
          <cell r="P97">
            <v>1</v>
          </cell>
          <cell r="T97" t="str">
            <v>000000000007284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2</v>
          </cell>
          <cell r="O98" t="str">
            <v>T/U</v>
          </cell>
          <cell r="P98">
            <v>4</v>
          </cell>
          <cell r="T98" t="str">
            <v>000000000007284</v>
          </cell>
        </row>
        <row r="99">
          <cell r="C99" t="str">
            <v>8FL281304 4810　L=297</v>
          </cell>
          <cell r="D99">
            <v>45929</v>
          </cell>
          <cell r="E99" t="str">
            <v>25I20-08</v>
          </cell>
          <cell r="I99" t="str">
            <v>25I20-08</v>
          </cell>
          <cell r="J99">
            <v>6</v>
          </cell>
          <cell r="K99">
            <v>1</v>
          </cell>
          <cell r="L99">
            <v>45937</v>
          </cell>
          <cell r="M99">
            <v>2</v>
          </cell>
          <cell r="O99">
            <v>45937</v>
          </cell>
          <cell r="T99" t="str">
            <v>000000000007281</v>
          </cell>
        </row>
        <row r="100">
          <cell r="D100">
            <v>45936</v>
          </cell>
          <cell r="E100" t="str">
            <v>25I24-12</v>
          </cell>
          <cell r="F100">
            <v>26</v>
          </cell>
          <cell r="G100">
            <v>297.12</v>
          </cell>
          <cell r="H100">
            <v>297.22000000000003</v>
          </cell>
          <cell r="I100" t="str">
            <v>25I24-12</v>
          </cell>
          <cell r="J100">
            <v>144</v>
          </cell>
          <cell r="K100">
            <v>24</v>
          </cell>
          <cell r="O100">
            <v>200</v>
          </cell>
          <cell r="T100" t="str">
            <v>000000000007281</v>
          </cell>
        </row>
        <row r="101">
          <cell r="C101">
            <v>200</v>
          </cell>
          <cell r="D101">
            <v>45937</v>
          </cell>
          <cell r="E101" t="str">
            <v>25I24-12</v>
          </cell>
          <cell r="F101">
            <v>22</v>
          </cell>
          <cell r="G101">
            <v>297.04000000000002</v>
          </cell>
          <cell r="H101">
            <v>297.13</v>
          </cell>
          <cell r="K101">
            <v>0</v>
          </cell>
          <cell r="O101">
            <v>25</v>
          </cell>
          <cell r="T101" t="str">
            <v>000000000007281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000000000007281</v>
          </cell>
        </row>
        <row r="103">
          <cell r="C103">
            <v>6</v>
          </cell>
          <cell r="G103" t="str">
            <v/>
          </cell>
          <cell r="K103">
            <v>0</v>
          </cell>
          <cell r="O103">
            <v>0</v>
          </cell>
          <cell r="T103" t="str">
            <v>000000000007281</v>
          </cell>
        </row>
        <row r="104">
          <cell r="C104" t="str">
            <v>LED-A300</v>
          </cell>
          <cell r="G104" t="str">
            <v/>
          </cell>
          <cell r="K104">
            <v>0</v>
          </cell>
          <cell r="L104" t="str">
            <v>旧品加工</v>
          </cell>
          <cell r="M104">
            <v>10</v>
          </cell>
          <cell r="O104">
            <v>46</v>
          </cell>
          <cell r="T104" t="str">
            <v>000000000007281</v>
          </cell>
        </row>
        <row r="105">
          <cell r="C105">
            <v>2</v>
          </cell>
          <cell r="G105" t="str">
            <v/>
          </cell>
          <cell r="K105">
            <v>0</v>
          </cell>
          <cell r="L105" t="str">
            <v>持出端材</v>
          </cell>
          <cell r="M105">
            <v>42</v>
          </cell>
          <cell r="O105" t="str">
            <v>M</v>
          </cell>
          <cell r="T105" t="str">
            <v>000000000007281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4</v>
          </cell>
          <cell r="O106" t="str">
            <v>T</v>
          </cell>
          <cell r="P106">
            <v>0</v>
          </cell>
          <cell r="T106" t="str">
            <v>000000000007281</v>
          </cell>
        </row>
        <row r="107">
          <cell r="C107" t="str">
            <v>8FL281304 4810　L=297</v>
          </cell>
          <cell r="I107">
            <v>0</v>
          </cell>
          <cell r="J107">
            <v>0</v>
          </cell>
          <cell r="K107">
            <v>0</v>
          </cell>
          <cell r="L107">
            <v>45937</v>
          </cell>
          <cell r="M107">
            <v>3</v>
          </cell>
          <cell r="O107">
            <v>45937</v>
          </cell>
          <cell r="P107">
            <v>3</v>
          </cell>
          <cell r="T107" t="str">
            <v>000000000007282</v>
          </cell>
        </row>
        <row r="108">
          <cell r="D108">
            <v>45937</v>
          </cell>
          <cell r="E108" t="str">
            <v>25I24-12</v>
          </cell>
          <cell r="F108">
            <v>22</v>
          </cell>
          <cell r="G108">
            <v>297.04000000000002</v>
          </cell>
          <cell r="H108">
            <v>297.14</v>
          </cell>
          <cell r="I108" t="str">
            <v>25I24-12</v>
          </cell>
          <cell r="J108">
            <v>303</v>
          </cell>
          <cell r="K108">
            <v>51</v>
          </cell>
          <cell r="O108">
            <v>300</v>
          </cell>
          <cell r="T108" t="str">
            <v>000000000007282</v>
          </cell>
        </row>
        <row r="109">
          <cell r="C109">
            <v>300</v>
          </cell>
          <cell r="D109">
            <v>45937</v>
          </cell>
          <cell r="E109" t="str">
            <v>25I24-12</v>
          </cell>
          <cell r="F109">
            <v>24</v>
          </cell>
          <cell r="G109">
            <v>297.08</v>
          </cell>
          <cell r="H109">
            <v>297.17</v>
          </cell>
          <cell r="K109">
            <v>0</v>
          </cell>
          <cell r="O109">
            <v>51</v>
          </cell>
          <cell r="T109" t="str">
            <v>000000000007282</v>
          </cell>
        </row>
        <row r="110">
          <cell r="G110" t="str">
            <v/>
          </cell>
          <cell r="K110">
            <v>0</v>
          </cell>
          <cell r="O110">
            <v>1</v>
          </cell>
          <cell r="T110" t="str">
            <v>000000000007282</v>
          </cell>
        </row>
        <row r="111">
          <cell r="C111">
            <v>6</v>
          </cell>
          <cell r="G111" t="str">
            <v/>
          </cell>
          <cell r="K111">
            <v>0</v>
          </cell>
          <cell r="O111">
            <v>3</v>
          </cell>
          <cell r="T111" t="str">
            <v>000000000007282</v>
          </cell>
        </row>
        <row r="112">
          <cell r="C112" t="str">
            <v>LED-A300</v>
          </cell>
          <cell r="G112" t="str">
            <v/>
          </cell>
          <cell r="K112">
            <v>0</v>
          </cell>
          <cell r="L112" t="str">
            <v>旧品加工</v>
          </cell>
          <cell r="O112">
            <v>0</v>
          </cell>
          <cell r="T112" t="str">
            <v>000000000007282</v>
          </cell>
        </row>
        <row r="113">
          <cell r="C113">
            <v>3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M</v>
          </cell>
          <cell r="T113" t="str">
            <v>000000000007282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T</v>
          </cell>
          <cell r="P114">
            <v>3</v>
          </cell>
          <cell r="T114" t="str">
            <v>000000000007282</v>
          </cell>
        </row>
        <row r="115">
          <cell r="C115" t="str">
            <v>灯具カバーPC IN 2070　L=1966</v>
          </cell>
          <cell r="I115">
            <v>0</v>
          </cell>
          <cell r="J115">
            <v>0</v>
          </cell>
          <cell r="K115">
            <v>0</v>
          </cell>
          <cell r="L115">
            <v>45937</v>
          </cell>
          <cell r="M115">
            <v>2</v>
          </cell>
          <cell r="O115">
            <v>45937</v>
          </cell>
          <cell r="T115" t="str">
            <v>000000000007427</v>
          </cell>
        </row>
        <row r="116">
          <cell r="D116">
            <v>45937</v>
          </cell>
          <cell r="E116" t="str">
            <v>25I25-01</v>
          </cell>
          <cell r="G116" t="str">
            <v/>
          </cell>
          <cell r="I116" t="str">
            <v>25I25-01</v>
          </cell>
          <cell r="J116">
            <v>74</v>
          </cell>
          <cell r="K116">
            <v>74</v>
          </cell>
          <cell r="O116">
            <v>32</v>
          </cell>
          <cell r="P116">
            <v>42</v>
          </cell>
          <cell r="T116" t="str">
            <v>000000000007427</v>
          </cell>
        </row>
        <row r="117">
          <cell r="C117">
            <v>32</v>
          </cell>
          <cell r="G117" t="str">
            <v/>
          </cell>
          <cell r="K117">
            <v>0</v>
          </cell>
          <cell r="O117">
            <v>74</v>
          </cell>
          <cell r="T117" t="str">
            <v>000000000007427</v>
          </cell>
        </row>
        <row r="118">
          <cell r="G118" t="str">
            <v/>
          </cell>
          <cell r="K118">
            <v>0</v>
          </cell>
          <cell r="O118">
            <v>42</v>
          </cell>
          <cell r="T118" t="str">
            <v>000000000007427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42</v>
          </cell>
          <cell r="T119" t="str">
            <v>000000000007427</v>
          </cell>
        </row>
        <row r="120">
          <cell r="C120" t="str">
            <v>灯具-2　L＝1996</v>
          </cell>
          <cell r="G120" t="str">
            <v/>
          </cell>
          <cell r="K120">
            <v>0</v>
          </cell>
          <cell r="L120" t="str">
            <v>旧品加工</v>
          </cell>
          <cell r="O120">
            <v>0</v>
          </cell>
          <cell r="T120" t="str">
            <v>000000000007427</v>
          </cell>
        </row>
        <row r="121">
          <cell r="C121">
            <v>2</v>
          </cell>
          <cell r="G121" t="str">
            <v/>
          </cell>
          <cell r="K121">
            <v>0</v>
          </cell>
          <cell r="L121" t="str">
            <v>持出端材</v>
          </cell>
          <cell r="O121" t="str">
            <v>-</v>
          </cell>
          <cell r="T121" t="str">
            <v>000000000007427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O122" t="str">
            <v>C</v>
          </cell>
          <cell r="P122">
            <v>42</v>
          </cell>
          <cell r="T122" t="str">
            <v>000000000007427</v>
          </cell>
        </row>
        <row r="123">
          <cell r="C123" t="str">
            <v>灯具カバーPC IN 2070　L=1966</v>
          </cell>
          <cell r="I123">
            <v>0</v>
          </cell>
          <cell r="J123">
            <v>0</v>
          </cell>
          <cell r="K123">
            <v>0</v>
          </cell>
          <cell r="L123">
            <v>45937</v>
          </cell>
          <cell r="M123">
            <v>1</v>
          </cell>
          <cell r="O123">
            <v>45937</v>
          </cell>
          <cell r="P123">
            <v>3</v>
          </cell>
          <cell r="T123" t="str">
            <v>000000000007925</v>
          </cell>
        </row>
        <row r="124">
          <cell r="D124">
            <v>45937</v>
          </cell>
          <cell r="E124" t="str">
            <v>25I25-01</v>
          </cell>
          <cell r="G124" t="str">
            <v/>
          </cell>
          <cell r="I124" t="str">
            <v>25I25-01</v>
          </cell>
          <cell r="J124">
            <v>9</v>
          </cell>
          <cell r="K124">
            <v>9</v>
          </cell>
          <cell r="O124">
            <v>16</v>
          </cell>
          <cell r="P124">
            <v>4</v>
          </cell>
          <cell r="T124" t="str">
            <v>000000000007925</v>
          </cell>
        </row>
        <row r="125">
          <cell r="C125">
            <v>16</v>
          </cell>
          <cell r="D125">
            <v>45937</v>
          </cell>
          <cell r="E125" t="str">
            <v>25J01-01</v>
          </cell>
          <cell r="G125" t="str">
            <v/>
          </cell>
          <cell r="I125" t="str">
            <v>25J01-01</v>
          </cell>
          <cell r="J125">
            <v>14</v>
          </cell>
          <cell r="K125">
            <v>14</v>
          </cell>
          <cell r="O125">
            <v>23</v>
          </cell>
          <cell r="T125" t="str">
            <v>000000000007925</v>
          </cell>
        </row>
        <row r="126">
          <cell r="G126" t="str">
            <v/>
          </cell>
          <cell r="K126">
            <v>0</v>
          </cell>
          <cell r="O126">
            <v>7</v>
          </cell>
          <cell r="T126" t="str">
            <v>000000000007925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7</v>
          </cell>
          <cell r="T127" t="str">
            <v>000000000007925</v>
          </cell>
        </row>
        <row r="128">
          <cell r="C128" t="str">
            <v>灯具-2　L＝1996</v>
          </cell>
          <cell r="G128" t="str">
            <v/>
          </cell>
          <cell r="K128">
            <v>0</v>
          </cell>
          <cell r="L128" t="str">
            <v>旧品加工</v>
          </cell>
          <cell r="O128">
            <v>0</v>
          </cell>
          <cell r="T128" t="str">
            <v>000000000007925</v>
          </cell>
        </row>
        <row r="129">
          <cell r="C129">
            <v>1</v>
          </cell>
          <cell r="G129" t="str">
            <v/>
          </cell>
          <cell r="K129">
            <v>0</v>
          </cell>
          <cell r="L129" t="str">
            <v>持出端材</v>
          </cell>
          <cell r="O129" t="str">
            <v>-</v>
          </cell>
          <cell r="T129" t="str">
            <v>000000000007925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O130" t="str">
            <v>C</v>
          </cell>
          <cell r="P130">
            <v>7</v>
          </cell>
          <cell r="T130" t="str">
            <v>000000000007925</v>
          </cell>
        </row>
        <row r="131">
          <cell r="C131" t="str">
            <v>灯具カバーPC IN 2110　L=1815</v>
          </cell>
          <cell r="D131">
            <v>45920</v>
          </cell>
          <cell r="E131" t="str">
            <v>25I06-02</v>
          </cell>
          <cell r="I131" t="str">
            <v>25I06-02</v>
          </cell>
          <cell r="J131">
            <v>2</v>
          </cell>
          <cell r="K131">
            <v>2</v>
          </cell>
          <cell r="L131">
            <v>45937</v>
          </cell>
          <cell r="M131">
            <v>1</v>
          </cell>
          <cell r="O131">
            <v>45938</v>
          </cell>
          <cell r="P131">
            <v>1</v>
          </cell>
          <cell r="T131" t="str">
            <v>000000000007423-1</v>
          </cell>
        </row>
        <row r="132">
          <cell r="D132">
            <v>45938</v>
          </cell>
          <cell r="E132" t="str">
            <v>25I27-01</v>
          </cell>
          <cell r="G132" t="str">
            <v/>
          </cell>
          <cell r="I132" t="str">
            <v>25I27-01</v>
          </cell>
          <cell r="J132">
            <v>131</v>
          </cell>
          <cell r="K132">
            <v>131</v>
          </cell>
          <cell r="L132">
            <v>45938</v>
          </cell>
          <cell r="M132">
            <v>5</v>
          </cell>
          <cell r="O132">
            <v>96</v>
          </cell>
          <cell r="P132">
            <v>36</v>
          </cell>
          <cell r="T132" t="str">
            <v>000000000007423-1</v>
          </cell>
        </row>
        <row r="133">
          <cell r="C133">
            <v>96</v>
          </cell>
          <cell r="G133" t="str">
            <v/>
          </cell>
          <cell r="K133">
            <v>0</v>
          </cell>
          <cell r="O133">
            <v>133</v>
          </cell>
          <cell r="T133" t="str">
            <v>000000000007423-1</v>
          </cell>
        </row>
        <row r="134">
          <cell r="G134" t="str">
            <v/>
          </cell>
          <cell r="K134">
            <v>0</v>
          </cell>
          <cell r="O134">
            <v>37</v>
          </cell>
          <cell r="T134" t="str">
            <v>000000000007423-1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37</v>
          </cell>
          <cell r="T135" t="str">
            <v>000000000007423-1</v>
          </cell>
        </row>
        <row r="136">
          <cell r="C136" t="str">
            <v>灯具-2　L＝1996</v>
          </cell>
          <cell r="G136" t="str">
            <v/>
          </cell>
          <cell r="K136">
            <v>0</v>
          </cell>
          <cell r="L136" t="str">
            <v>旧品加工</v>
          </cell>
          <cell r="M136">
            <v>2</v>
          </cell>
          <cell r="O136">
            <v>0</v>
          </cell>
          <cell r="T136" t="str">
            <v>000000000007423-1</v>
          </cell>
        </row>
        <row r="137">
          <cell r="C137">
            <v>6</v>
          </cell>
          <cell r="G137" t="str">
            <v/>
          </cell>
          <cell r="K137">
            <v>0</v>
          </cell>
          <cell r="L137" t="str">
            <v>持出端材</v>
          </cell>
          <cell r="O137" t="str">
            <v>-</v>
          </cell>
          <cell r="T137" t="str">
            <v>000000000007423-1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C/T</v>
          </cell>
          <cell r="P138">
            <v>37</v>
          </cell>
          <cell r="T138" t="str">
            <v>000000000007423-1</v>
          </cell>
        </row>
        <row r="139">
          <cell r="C139" t="str">
            <v>灯具カバーPC IN 2090　L=840</v>
          </cell>
          <cell r="D139">
            <v>45908</v>
          </cell>
          <cell r="E139" t="str">
            <v>25I04-01</v>
          </cell>
          <cell r="I139" t="str">
            <v>25I04-01</v>
          </cell>
          <cell r="J139">
            <v>11</v>
          </cell>
          <cell r="K139">
            <v>11</v>
          </cell>
          <cell r="L139">
            <v>45938</v>
          </cell>
          <cell r="M139">
            <v>10</v>
          </cell>
          <cell r="O139">
            <v>45938</v>
          </cell>
          <cell r="P139">
            <v>14</v>
          </cell>
          <cell r="T139" t="str">
            <v>000000000007416</v>
          </cell>
        </row>
        <row r="140">
          <cell r="D140">
            <v>45938</v>
          </cell>
          <cell r="E140" t="str">
            <v>25I24-01</v>
          </cell>
          <cell r="G140" t="str">
            <v/>
          </cell>
          <cell r="I140" t="str">
            <v>25I24-01</v>
          </cell>
          <cell r="J140">
            <v>185</v>
          </cell>
          <cell r="K140">
            <v>185</v>
          </cell>
          <cell r="O140">
            <v>160</v>
          </cell>
          <cell r="P140">
            <v>21</v>
          </cell>
          <cell r="T140" t="str">
            <v>000000000007416</v>
          </cell>
        </row>
        <row r="141">
          <cell r="C141">
            <v>160</v>
          </cell>
          <cell r="G141" t="str">
            <v/>
          </cell>
          <cell r="K141">
            <v>0</v>
          </cell>
          <cell r="O141">
            <v>196</v>
          </cell>
          <cell r="P141">
            <v>1</v>
          </cell>
          <cell r="T141" t="str">
            <v>000000000007416</v>
          </cell>
        </row>
        <row r="142">
          <cell r="G142" t="str">
            <v/>
          </cell>
          <cell r="K142">
            <v>0</v>
          </cell>
          <cell r="O142">
            <v>36</v>
          </cell>
          <cell r="T142" t="str">
            <v>000000000007416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36</v>
          </cell>
          <cell r="T143" t="str">
            <v>000000000007416</v>
          </cell>
        </row>
        <row r="144">
          <cell r="C144" t="str">
            <v>灯具-2　L＝1996</v>
          </cell>
          <cell r="G144" t="str">
            <v/>
          </cell>
          <cell r="K144">
            <v>0</v>
          </cell>
          <cell r="L144" t="str">
            <v>旧品加工</v>
          </cell>
          <cell r="M144">
            <v>11</v>
          </cell>
          <cell r="O144">
            <v>0</v>
          </cell>
          <cell r="T144" t="str">
            <v>000000000007416</v>
          </cell>
        </row>
        <row r="145">
          <cell r="C145">
            <v>5</v>
          </cell>
          <cell r="G145" t="str">
            <v/>
          </cell>
          <cell r="K145">
            <v>0</v>
          </cell>
          <cell r="L145" t="str">
            <v>持出端材</v>
          </cell>
          <cell r="O145" t="str">
            <v>-</v>
          </cell>
          <cell r="T145" t="str">
            <v>000000000007416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O146" t="str">
            <v>T</v>
          </cell>
          <cell r="P146">
            <v>36</v>
          </cell>
          <cell r="T146" t="str">
            <v>000000000007416</v>
          </cell>
        </row>
        <row r="147">
          <cell r="C147" t="str">
            <v>灯具カバーPC IN 2140　L=547</v>
          </cell>
          <cell r="D147">
            <v>45881</v>
          </cell>
          <cell r="E147" t="str">
            <v>25G30-01</v>
          </cell>
          <cell r="I147" t="str">
            <v>25G30-01</v>
          </cell>
          <cell r="J147">
            <v>4</v>
          </cell>
          <cell r="K147">
            <v>4</v>
          </cell>
          <cell r="L147">
            <v>45938</v>
          </cell>
          <cell r="M147">
            <v>9</v>
          </cell>
          <cell r="O147">
            <v>45938</v>
          </cell>
          <cell r="P147">
            <v>6</v>
          </cell>
          <cell r="T147" t="str">
            <v>000000000007415</v>
          </cell>
        </row>
        <row r="148">
          <cell r="D148">
            <v>45938</v>
          </cell>
          <cell r="E148" t="str">
            <v>25I25-01</v>
          </cell>
          <cell r="G148" t="str">
            <v/>
          </cell>
          <cell r="I148" t="str">
            <v>25I25-01</v>
          </cell>
          <cell r="J148">
            <v>186</v>
          </cell>
          <cell r="K148">
            <v>186</v>
          </cell>
          <cell r="O148">
            <v>144</v>
          </cell>
          <cell r="P148">
            <v>40</v>
          </cell>
          <cell r="T148" t="str">
            <v>000000000007415</v>
          </cell>
        </row>
        <row r="149">
          <cell r="C149">
            <v>144</v>
          </cell>
          <cell r="G149" t="str">
            <v/>
          </cell>
          <cell r="K149">
            <v>0</v>
          </cell>
          <cell r="O149">
            <v>190</v>
          </cell>
          <cell r="T149" t="str">
            <v>000000000007415</v>
          </cell>
        </row>
        <row r="150">
          <cell r="G150" t="str">
            <v/>
          </cell>
          <cell r="K150">
            <v>0</v>
          </cell>
          <cell r="O150">
            <v>46</v>
          </cell>
          <cell r="T150" t="str">
            <v>000000000007415</v>
          </cell>
        </row>
        <row r="151">
          <cell r="C151">
            <v>1</v>
          </cell>
          <cell r="G151" t="str">
            <v/>
          </cell>
          <cell r="K151">
            <v>0</v>
          </cell>
          <cell r="O151">
            <v>46</v>
          </cell>
          <cell r="T151" t="str">
            <v>000000000007415</v>
          </cell>
        </row>
        <row r="152">
          <cell r="C152" t="str">
            <v>灯具-1　L=1370</v>
          </cell>
          <cell r="G152" t="str">
            <v/>
          </cell>
          <cell r="K152">
            <v>0</v>
          </cell>
          <cell r="L152" t="str">
            <v>旧品加工</v>
          </cell>
          <cell r="M152">
            <v>4</v>
          </cell>
          <cell r="O152">
            <v>0</v>
          </cell>
          <cell r="T152" t="str">
            <v>000000000007415</v>
          </cell>
        </row>
        <row r="153">
          <cell r="C153">
            <v>4.5</v>
          </cell>
          <cell r="G153" t="str">
            <v/>
          </cell>
          <cell r="K153">
            <v>0</v>
          </cell>
          <cell r="L153" t="str">
            <v>持出端材</v>
          </cell>
          <cell r="O153" t="str">
            <v>-</v>
          </cell>
          <cell r="T153" t="str">
            <v>000000000007415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 t="str">
            <v>C</v>
          </cell>
          <cell r="P154">
            <v>46</v>
          </cell>
          <cell r="T154" t="str">
            <v>000000000007415</v>
          </cell>
        </row>
        <row r="155">
          <cell r="C155" t="str">
            <v>灯具カバーPC IN 2130　L=908</v>
          </cell>
          <cell r="D155">
            <v>45918</v>
          </cell>
          <cell r="E155" t="str">
            <v>25I07-01</v>
          </cell>
          <cell r="I155" t="str">
            <v>25I07-01</v>
          </cell>
          <cell r="J155">
            <v>14</v>
          </cell>
          <cell r="K155">
            <v>14</v>
          </cell>
          <cell r="L155">
            <v>45939</v>
          </cell>
          <cell r="M155">
            <v>10</v>
          </cell>
          <cell r="O155">
            <v>45939</v>
          </cell>
          <cell r="P155">
            <v>5</v>
          </cell>
          <cell r="T155" t="str">
            <v>000000000007417</v>
          </cell>
        </row>
        <row r="156">
          <cell r="D156">
            <v>45939</v>
          </cell>
          <cell r="E156" t="str">
            <v>25I25-01</v>
          </cell>
          <cell r="G156" t="str">
            <v/>
          </cell>
          <cell r="I156" t="str">
            <v>25I25-01</v>
          </cell>
          <cell r="J156">
            <v>194</v>
          </cell>
          <cell r="K156">
            <v>194</v>
          </cell>
          <cell r="O156">
            <v>160</v>
          </cell>
          <cell r="P156">
            <v>39</v>
          </cell>
          <cell r="T156" t="str">
            <v>000000000007417</v>
          </cell>
        </row>
        <row r="157">
          <cell r="C157">
            <v>160</v>
          </cell>
          <cell r="G157" t="str">
            <v/>
          </cell>
          <cell r="K157">
            <v>0</v>
          </cell>
          <cell r="O157">
            <v>208</v>
          </cell>
          <cell r="P157">
            <v>4</v>
          </cell>
          <cell r="T157" t="str">
            <v>000000000007417</v>
          </cell>
        </row>
        <row r="158">
          <cell r="G158" t="str">
            <v/>
          </cell>
          <cell r="K158">
            <v>0</v>
          </cell>
          <cell r="O158">
            <v>48</v>
          </cell>
          <cell r="T158" t="str">
            <v>000000000007417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48</v>
          </cell>
          <cell r="T159" t="str">
            <v>000000000007417</v>
          </cell>
        </row>
        <row r="160">
          <cell r="C160" t="str">
            <v>灯具-1　L=1370</v>
          </cell>
          <cell r="G160" t="str">
            <v/>
          </cell>
          <cell r="K160">
            <v>0</v>
          </cell>
          <cell r="L160" t="str">
            <v>旧品加工</v>
          </cell>
          <cell r="M160">
            <v>14</v>
          </cell>
          <cell r="O160">
            <v>0</v>
          </cell>
          <cell r="T160" t="str">
            <v>000000000007417</v>
          </cell>
        </row>
        <row r="161">
          <cell r="C161">
            <v>10</v>
          </cell>
          <cell r="G161" t="str">
            <v/>
          </cell>
          <cell r="K161">
            <v>0</v>
          </cell>
          <cell r="L161" t="str">
            <v>持出端材</v>
          </cell>
          <cell r="O161" t="str">
            <v>-</v>
          </cell>
          <cell r="T161" t="str">
            <v>000000000007417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 t="str">
            <v>T</v>
          </cell>
          <cell r="P162">
            <v>48</v>
          </cell>
          <cell r="T162" t="str">
            <v>000000000007417</v>
          </cell>
        </row>
        <row r="163">
          <cell r="C163" t="str">
            <v>灯具カバーPC IN 2050　L=1183.5</v>
          </cell>
          <cell r="D163">
            <v>45922</v>
          </cell>
          <cell r="E163" t="str">
            <v>25I07-01</v>
          </cell>
          <cell r="I163" t="str">
            <v>25I07-01</v>
          </cell>
          <cell r="J163">
            <v>10</v>
          </cell>
          <cell r="K163">
            <v>10</v>
          </cell>
          <cell r="L163">
            <v>45939</v>
          </cell>
          <cell r="M163">
            <v>10</v>
          </cell>
          <cell r="O163">
            <v>45939</v>
          </cell>
          <cell r="P163">
            <v>12</v>
          </cell>
          <cell r="T163" t="str">
            <v>000000000007418</v>
          </cell>
        </row>
        <row r="164">
          <cell r="D164">
            <v>45939</v>
          </cell>
          <cell r="E164" t="str">
            <v>25I26-01</v>
          </cell>
          <cell r="G164" t="str">
            <v/>
          </cell>
          <cell r="I164" t="str">
            <v>25I26-01</v>
          </cell>
          <cell r="J164">
            <v>198</v>
          </cell>
          <cell r="K164">
            <v>198</v>
          </cell>
          <cell r="O164">
            <v>160</v>
          </cell>
          <cell r="P164">
            <v>33</v>
          </cell>
          <cell r="T164" t="str">
            <v>000000000007418</v>
          </cell>
        </row>
        <row r="165">
          <cell r="C165">
            <v>160</v>
          </cell>
          <cell r="G165" t="str">
            <v/>
          </cell>
          <cell r="K165">
            <v>0</v>
          </cell>
          <cell r="O165">
            <v>208</v>
          </cell>
          <cell r="P165">
            <v>3</v>
          </cell>
          <cell r="T165" t="str">
            <v>000000000007418</v>
          </cell>
        </row>
        <row r="166">
          <cell r="G166" t="str">
            <v/>
          </cell>
          <cell r="K166">
            <v>0</v>
          </cell>
          <cell r="O166">
            <v>48</v>
          </cell>
          <cell r="T166" t="str">
            <v>000000000007418</v>
          </cell>
        </row>
        <row r="167">
          <cell r="C167">
            <v>1</v>
          </cell>
          <cell r="G167" t="str">
            <v/>
          </cell>
          <cell r="K167">
            <v>0</v>
          </cell>
          <cell r="O167">
            <v>48</v>
          </cell>
          <cell r="T167" t="str">
            <v>000000000007418</v>
          </cell>
        </row>
        <row r="168">
          <cell r="C168" t="str">
            <v>灯具-1　L=1370</v>
          </cell>
          <cell r="G168" t="str">
            <v/>
          </cell>
          <cell r="K168">
            <v>0</v>
          </cell>
          <cell r="L168" t="str">
            <v>旧品加工</v>
          </cell>
          <cell r="M168">
            <v>10</v>
          </cell>
          <cell r="O168">
            <v>0</v>
          </cell>
          <cell r="T168" t="str">
            <v>000000000007418</v>
          </cell>
        </row>
        <row r="169">
          <cell r="C169">
            <v>10</v>
          </cell>
          <cell r="G169" t="str">
            <v/>
          </cell>
          <cell r="K169">
            <v>0</v>
          </cell>
          <cell r="L169" t="str">
            <v>持出端材</v>
          </cell>
          <cell r="O169" t="str">
            <v>-</v>
          </cell>
          <cell r="T169" t="str">
            <v>000000000007418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O170" t="str">
            <v>C</v>
          </cell>
          <cell r="P170">
            <v>48</v>
          </cell>
          <cell r="T170" t="str">
            <v>000000000007418</v>
          </cell>
        </row>
        <row r="171">
          <cell r="C171" t="str">
            <v>採光ルーバーパネルB　L=1996</v>
          </cell>
          <cell r="I171">
            <v>0</v>
          </cell>
          <cell r="J171">
            <v>0</v>
          </cell>
          <cell r="K171">
            <v>0</v>
          </cell>
          <cell r="L171">
            <v>45944</v>
          </cell>
          <cell r="M171">
            <v>6</v>
          </cell>
          <cell r="O171">
            <v>45944</v>
          </cell>
          <cell r="P171">
            <v>3</v>
          </cell>
          <cell r="T171" t="str">
            <v>000000000007383</v>
          </cell>
        </row>
        <row r="172">
          <cell r="D172">
            <v>45940</v>
          </cell>
          <cell r="E172" t="str">
            <v>25H29-03</v>
          </cell>
          <cell r="F172">
            <v>24</v>
          </cell>
          <cell r="G172">
            <v>1997.52</v>
          </cell>
          <cell r="H172">
            <v>1997.1</v>
          </cell>
          <cell r="I172" t="str">
            <v>25H29-03</v>
          </cell>
          <cell r="J172">
            <v>278</v>
          </cell>
          <cell r="K172">
            <v>278</v>
          </cell>
          <cell r="O172">
            <v>252</v>
          </cell>
          <cell r="P172">
            <v>22</v>
          </cell>
          <cell r="T172" t="str">
            <v>000000000007383</v>
          </cell>
        </row>
        <row r="173">
          <cell r="C173">
            <v>252</v>
          </cell>
          <cell r="D173">
            <v>45940</v>
          </cell>
          <cell r="E173" t="str">
            <v>25H29-03</v>
          </cell>
          <cell r="F173">
            <v>24</v>
          </cell>
          <cell r="G173">
            <v>1997.52</v>
          </cell>
          <cell r="H173">
            <v>1997.1</v>
          </cell>
          <cell r="K173">
            <v>0</v>
          </cell>
          <cell r="O173">
            <v>278</v>
          </cell>
          <cell r="P173">
            <v>1</v>
          </cell>
          <cell r="T173" t="str">
            <v>000000000007383</v>
          </cell>
        </row>
        <row r="174">
          <cell r="D174">
            <v>45944</v>
          </cell>
          <cell r="E174" t="str">
            <v>25H29-03</v>
          </cell>
          <cell r="F174">
            <v>20</v>
          </cell>
          <cell r="G174">
            <v>1997</v>
          </cell>
          <cell r="H174">
            <v>1997.3</v>
          </cell>
          <cell r="K174">
            <v>0</v>
          </cell>
          <cell r="O174">
            <v>26</v>
          </cell>
          <cell r="T174" t="str">
            <v>000000000007383</v>
          </cell>
        </row>
        <row r="175">
          <cell r="C175">
            <v>1</v>
          </cell>
          <cell r="D175">
            <v>45944</v>
          </cell>
          <cell r="E175" t="str">
            <v>25H29-03</v>
          </cell>
          <cell r="F175">
            <v>22</v>
          </cell>
          <cell r="G175">
            <v>1997.26</v>
          </cell>
          <cell r="H175">
            <v>1997.4</v>
          </cell>
          <cell r="K175">
            <v>0</v>
          </cell>
          <cell r="O175">
            <v>26</v>
          </cell>
          <cell r="T175" t="str">
            <v>000000000007383</v>
          </cell>
        </row>
        <row r="176">
          <cell r="C176" t="str">
            <v>上-1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000000000007383</v>
          </cell>
        </row>
        <row r="177">
          <cell r="C177">
            <v>6</v>
          </cell>
          <cell r="G177" t="str">
            <v/>
          </cell>
          <cell r="K177">
            <v>0</v>
          </cell>
          <cell r="L177" t="str">
            <v>持出端材</v>
          </cell>
          <cell r="O177" t="str">
            <v>M/C</v>
          </cell>
          <cell r="T177" t="str">
            <v>000000000007383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 t="str">
            <v>T</v>
          </cell>
          <cell r="P178">
            <v>26</v>
          </cell>
          <cell r="T178" t="str">
            <v>000000000007383</v>
          </cell>
        </row>
        <row r="179">
          <cell r="C179" t="str">
            <v>灯具カバーPC IN 2100　L=1923</v>
          </cell>
          <cell r="D179">
            <v>45918</v>
          </cell>
          <cell r="E179" t="str">
            <v>25I05-01</v>
          </cell>
          <cell r="I179" t="str">
            <v>25I05-01</v>
          </cell>
          <cell r="J179">
            <v>1</v>
          </cell>
          <cell r="K179">
            <v>1</v>
          </cell>
          <cell r="L179">
            <v>45940</v>
          </cell>
          <cell r="M179">
            <v>10</v>
          </cell>
          <cell r="O179">
            <v>45940</v>
          </cell>
          <cell r="P179">
            <v>3</v>
          </cell>
          <cell r="T179" t="str">
            <v>000000000007425</v>
          </cell>
        </row>
        <row r="180">
          <cell r="D180">
            <v>45940</v>
          </cell>
          <cell r="E180" t="str">
            <v>25I26-01</v>
          </cell>
          <cell r="G180" t="str">
            <v/>
          </cell>
          <cell r="I180" t="str">
            <v>25I26-01</v>
          </cell>
          <cell r="J180">
            <v>191</v>
          </cell>
          <cell r="K180">
            <v>191</v>
          </cell>
          <cell r="O180">
            <v>160</v>
          </cell>
          <cell r="P180">
            <v>28</v>
          </cell>
          <cell r="T180" t="str">
            <v>000000000007425</v>
          </cell>
        </row>
        <row r="181">
          <cell r="C181">
            <v>160</v>
          </cell>
          <cell r="G181" t="str">
            <v/>
          </cell>
          <cell r="K181">
            <v>0</v>
          </cell>
          <cell r="O181">
            <v>192</v>
          </cell>
          <cell r="P181">
            <v>1</v>
          </cell>
          <cell r="T181" t="str">
            <v>000000000007425</v>
          </cell>
        </row>
        <row r="182">
          <cell r="G182" t="str">
            <v/>
          </cell>
          <cell r="K182">
            <v>0</v>
          </cell>
          <cell r="O182">
            <v>32</v>
          </cell>
          <cell r="T182" t="str">
            <v>000000000007425</v>
          </cell>
        </row>
        <row r="183">
          <cell r="C183">
            <v>1</v>
          </cell>
          <cell r="G183" t="str">
            <v/>
          </cell>
          <cell r="K183">
            <v>0</v>
          </cell>
          <cell r="O183">
            <v>32</v>
          </cell>
          <cell r="T183" t="str">
            <v>000000000007425</v>
          </cell>
        </row>
        <row r="184">
          <cell r="C184" t="str">
            <v>灯具-2　L＝1996</v>
          </cell>
          <cell r="G184" t="str">
            <v/>
          </cell>
          <cell r="K184">
            <v>0</v>
          </cell>
          <cell r="L184" t="str">
            <v>旧品加工</v>
          </cell>
          <cell r="M184">
            <v>1</v>
          </cell>
          <cell r="O184">
            <v>0</v>
          </cell>
          <cell r="T184" t="str">
            <v>000000000007425</v>
          </cell>
        </row>
        <row r="185">
          <cell r="C185">
            <v>10</v>
          </cell>
          <cell r="G185" t="str">
            <v/>
          </cell>
          <cell r="K185">
            <v>0</v>
          </cell>
          <cell r="L185" t="str">
            <v>持出端材</v>
          </cell>
          <cell r="O185" t="str">
            <v>-</v>
          </cell>
          <cell r="T185" t="str">
            <v>000000000007425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O186" t="str">
            <v>M</v>
          </cell>
          <cell r="P186">
            <v>32</v>
          </cell>
          <cell r="T186" t="str">
            <v>000000000007425</v>
          </cell>
        </row>
        <row r="187">
          <cell r="C187" t="str">
            <v>灯具カバーPC IN 2070　L=1966</v>
          </cell>
          <cell r="I187">
            <v>0</v>
          </cell>
          <cell r="J187">
            <v>0</v>
          </cell>
          <cell r="K187">
            <v>0</v>
          </cell>
          <cell r="L187">
            <v>45944</v>
          </cell>
          <cell r="M187">
            <v>2</v>
          </cell>
          <cell r="O187">
            <v>45945</v>
          </cell>
          <cell r="P187">
            <v>17</v>
          </cell>
          <cell r="T187" t="str">
            <v>000000000007926-1</v>
          </cell>
        </row>
        <row r="188">
          <cell r="D188">
            <v>45944</v>
          </cell>
          <cell r="E188" t="str">
            <v>25J01-01</v>
          </cell>
          <cell r="G188" t="str">
            <v/>
          </cell>
          <cell r="I188" t="str">
            <v>25J01-01</v>
          </cell>
          <cell r="J188">
            <v>186</v>
          </cell>
          <cell r="K188">
            <v>186</v>
          </cell>
          <cell r="L188">
            <v>45945</v>
          </cell>
          <cell r="M188">
            <v>10</v>
          </cell>
          <cell r="O188">
            <v>192</v>
          </cell>
          <cell r="P188">
            <v>13</v>
          </cell>
          <cell r="T188" t="str">
            <v>000000000007926-1</v>
          </cell>
        </row>
        <row r="189">
          <cell r="C189">
            <v>192</v>
          </cell>
          <cell r="D189">
            <v>45945</v>
          </cell>
          <cell r="E189" t="str">
            <v>25J02-02</v>
          </cell>
          <cell r="G189" t="str">
            <v/>
          </cell>
          <cell r="I189" t="str">
            <v>25J02-02</v>
          </cell>
          <cell r="J189">
            <v>64</v>
          </cell>
          <cell r="K189">
            <v>64</v>
          </cell>
          <cell r="O189">
            <v>250</v>
          </cell>
          <cell r="T189" t="str">
            <v>000000000007926-1</v>
          </cell>
        </row>
        <row r="190">
          <cell r="G190" t="str">
            <v/>
          </cell>
          <cell r="K190">
            <v>0</v>
          </cell>
          <cell r="O190">
            <v>58</v>
          </cell>
          <cell r="T190" t="str">
            <v>000000000007926-1</v>
          </cell>
        </row>
        <row r="191">
          <cell r="C191">
            <v>1</v>
          </cell>
          <cell r="G191" t="str">
            <v/>
          </cell>
          <cell r="K191">
            <v>0</v>
          </cell>
          <cell r="O191">
            <v>58</v>
          </cell>
          <cell r="T191" t="str">
            <v>000000000007926-1</v>
          </cell>
        </row>
        <row r="192">
          <cell r="C192" t="str">
            <v>灯具-2　L＝1996</v>
          </cell>
          <cell r="G192" t="str">
            <v/>
          </cell>
          <cell r="K192">
            <v>0</v>
          </cell>
          <cell r="L192" t="str">
            <v>旧品加工</v>
          </cell>
          <cell r="O192">
            <v>0</v>
          </cell>
          <cell r="P192">
            <v>28</v>
          </cell>
          <cell r="T192" t="str">
            <v>000000000007926-1</v>
          </cell>
        </row>
        <row r="193">
          <cell r="C193">
            <v>12</v>
          </cell>
          <cell r="G193" t="str">
            <v/>
          </cell>
          <cell r="K193">
            <v>0</v>
          </cell>
          <cell r="L193" t="str">
            <v>持出端材</v>
          </cell>
          <cell r="O193" t="str">
            <v>-</v>
          </cell>
          <cell r="T193" t="str">
            <v>000000000007926-1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 t="str">
            <v>M</v>
          </cell>
          <cell r="P194">
            <v>58</v>
          </cell>
          <cell r="T194" t="str">
            <v>000000000007926-1</v>
          </cell>
        </row>
        <row r="195">
          <cell r="C195" t="str">
            <v>灯具カバーPC IN 2500　L=1238</v>
          </cell>
          <cell r="D195">
            <v>45847</v>
          </cell>
          <cell r="E195" t="str">
            <v>25G03-01</v>
          </cell>
          <cell r="I195" t="str">
            <v>25G03-01</v>
          </cell>
          <cell r="J195">
            <v>8</v>
          </cell>
          <cell r="K195">
            <v>8</v>
          </cell>
          <cell r="L195">
            <v>45945</v>
          </cell>
          <cell r="M195">
            <v>4</v>
          </cell>
          <cell r="O195">
            <v>45945</v>
          </cell>
          <cell r="P195">
            <v>1</v>
          </cell>
          <cell r="T195" t="str">
            <v>000000000007419</v>
          </cell>
        </row>
        <row r="196">
          <cell r="D196">
            <v>45945</v>
          </cell>
          <cell r="E196" t="str">
            <v>25I27-01</v>
          </cell>
          <cell r="G196" t="str">
            <v/>
          </cell>
          <cell r="I196" t="str">
            <v>25I27-01</v>
          </cell>
          <cell r="J196">
            <v>89</v>
          </cell>
          <cell r="K196">
            <v>89</v>
          </cell>
          <cell r="O196">
            <v>64</v>
          </cell>
          <cell r="P196">
            <v>32</v>
          </cell>
          <cell r="T196" t="str">
            <v>000000000007419</v>
          </cell>
        </row>
        <row r="197">
          <cell r="C197">
            <v>64</v>
          </cell>
          <cell r="G197" t="str">
            <v/>
          </cell>
          <cell r="K197">
            <v>0</v>
          </cell>
          <cell r="O197">
            <v>97</v>
          </cell>
          <cell r="T197" t="str">
            <v>000000000007419</v>
          </cell>
        </row>
        <row r="198">
          <cell r="G198" t="str">
            <v/>
          </cell>
          <cell r="K198">
            <v>0</v>
          </cell>
          <cell r="O198">
            <v>33</v>
          </cell>
          <cell r="T198" t="str">
            <v>000000000007419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33</v>
          </cell>
          <cell r="T199" t="str">
            <v>000000000007419</v>
          </cell>
        </row>
        <row r="200">
          <cell r="C200" t="str">
            <v>灯具-1　L=1370</v>
          </cell>
          <cell r="G200" t="str">
            <v/>
          </cell>
          <cell r="K200">
            <v>0</v>
          </cell>
          <cell r="L200" t="str">
            <v>旧品加工</v>
          </cell>
          <cell r="M200">
            <v>8</v>
          </cell>
          <cell r="O200">
            <v>0</v>
          </cell>
          <cell r="T200" t="str">
            <v>000000000007419</v>
          </cell>
        </row>
        <row r="201">
          <cell r="C201">
            <v>4</v>
          </cell>
          <cell r="G201" t="str">
            <v/>
          </cell>
          <cell r="K201">
            <v>0</v>
          </cell>
          <cell r="L201" t="str">
            <v>持出端材</v>
          </cell>
          <cell r="O201" t="str">
            <v>-</v>
          </cell>
          <cell r="T201" t="str">
            <v>000000000007419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 t="str">
            <v>C</v>
          </cell>
          <cell r="P202">
            <v>33</v>
          </cell>
          <cell r="T202" t="str">
            <v>000000000007419</v>
          </cell>
        </row>
        <row r="203">
          <cell r="C203" t="str">
            <v>灯具カバーPC IN 2080　L=1540</v>
          </cell>
          <cell r="I203">
            <v>0</v>
          </cell>
          <cell r="J203">
            <v>0</v>
          </cell>
          <cell r="K203">
            <v>0</v>
          </cell>
          <cell r="L203">
            <v>45946</v>
          </cell>
          <cell r="M203">
            <v>5</v>
          </cell>
          <cell r="O203">
            <v>45946</v>
          </cell>
          <cell r="P203">
            <v>2</v>
          </cell>
          <cell r="T203" t="str">
            <v>000000000007421</v>
          </cell>
        </row>
        <row r="204">
          <cell r="D204">
            <v>45946</v>
          </cell>
          <cell r="E204" t="str">
            <v>25I27-01</v>
          </cell>
          <cell r="G204" t="str">
            <v/>
          </cell>
          <cell r="I204" t="str">
            <v>25I27-01</v>
          </cell>
          <cell r="J204">
            <v>95</v>
          </cell>
          <cell r="K204">
            <v>95</v>
          </cell>
          <cell r="O204">
            <v>80</v>
          </cell>
          <cell r="P204">
            <v>13</v>
          </cell>
          <cell r="T204" t="str">
            <v>000000000007421</v>
          </cell>
        </row>
        <row r="205">
          <cell r="C205">
            <v>80</v>
          </cell>
          <cell r="G205" t="str">
            <v/>
          </cell>
          <cell r="K205">
            <v>0</v>
          </cell>
          <cell r="O205">
            <v>95</v>
          </cell>
          <cell r="T205" t="str">
            <v>000000000007421</v>
          </cell>
        </row>
        <row r="206">
          <cell r="G206" t="str">
            <v/>
          </cell>
          <cell r="K206">
            <v>0</v>
          </cell>
          <cell r="O206">
            <v>15</v>
          </cell>
          <cell r="T206" t="str">
            <v>000000000007421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15</v>
          </cell>
          <cell r="T207" t="str">
            <v>000000000007421</v>
          </cell>
        </row>
        <row r="208">
          <cell r="C208" t="str">
            <v>灯具-2　L＝1996</v>
          </cell>
          <cell r="G208" t="str">
            <v/>
          </cell>
          <cell r="K208">
            <v>0</v>
          </cell>
          <cell r="L208" t="str">
            <v>旧品加工</v>
          </cell>
          <cell r="O208">
            <v>0</v>
          </cell>
          <cell r="T208" t="str">
            <v>000000000007421</v>
          </cell>
        </row>
        <row r="209">
          <cell r="C209">
            <v>5</v>
          </cell>
          <cell r="G209" t="str">
            <v/>
          </cell>
          <cell r="K209">
            <v>0</v>
          </cell>
          <cell r="L209" t="str">
            <v>持出端材</v>
          </cell>
          <cell r="O209" t="str">
            <v>-</v>
          </cell>
          <cell r="T209" t="str">
            <v>000000000007421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 t="str">
            <v>T</v>
          </cell>
          <cell r="P210">
            <v>15</v>
          </cell>
          <cell r="T210" t="str">
            <v>000000000007421</v>
          </cell>
        </row>
        <row r="211">
          <cell r="C211" t="str">
            <v>灯具カバーPC IN 2060　L=1258.5</v>
          </cell>
          <cell r="D211">
            <v>45888</v>
          </cell>
          <cell r="E211" t="str">
            <v>25G31-01</v>
          </cell>
          <cell r="I211" t="str">
            <v>25G31-01</v>
          </cell>
          <cell r="J211">
            <v>2</v>
          </cell>
          <cell r="K211">
            <v>2</v>
          </cell>
          <cell r="L211">
            <v>45946</v>
          </cell>
          <cell r="M211">
            <v>9</v>
          </cell>
          <cell r="O211">
            <v>45946</v>
          </cell>
          <cell r="P211">
            <v>2</v>
          </cell>
          <cell r="T211" t="str">
            <v>000000000007420</v>
          </cell>
        </row>
        <row r="212">
          <cell r="D212">
            <v>45946</v>
          </cell>
          <cell r="E212" t="str">
            <v>25I26-01</v>
          </cell>
          <cell r="G212" t="str">
            <v/>
          </cell>
          <cell r="I212" t="str">
            <v>25I26-01</v>
          </cell>
          <cell r="J212">
            <v>161</v>
          </cell>
          <cell r="K212">
            <v>161</v>
          </cell>
          <cell r="O212">
            <v>144</v>
          </cell>
          <cell r="P212">
            <v>16</v>
          </cell>
          <cell r="T212" t="str">
            <v>000000000007420</v>
          </cell>
        </row>
        <row r="213">
          <cell r="C213">
            <v>144</v>
          </cell>
          <cell r="G213" t="str">
            <v/>
          </cell>
          <cell r="K213">
            <v>0</v>
          </cell>
          <cell r="O213">
            <v>163</v>
          </cell>
          <cell r="P213">
            <v>1</v>
          </cell>
          <cell r="T213" t="str">
            <v>000000000007420</v>
          </cell>
        </row>
        <row r="214">
          <cell r="G214" t="str">
            <v/>
          </cell>
          <cell r="K214">
            <v>0</v>
          </cell>
          <cell r="O214">
            <v>19</v>
          </cell>
          <cell r="T214" t="str">
            <v>000000000007420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19</v>
          </cell>
          <cell r="T215" t="str">
            <v>000000000007420</v>
          </cell>
        </row>
        <row r="216">
          <cell r="C216" t="str">
            <v>灯具-1　L=1370</v>
          </cell>
          <cell r="G216" t="str">
            <v/>
          </cell>
          <cell r="K216">
            <v>0</v>
          </cell>
          <cell r="L216" t="str">
            <v>旧品加工</v>
          </cell>
          <cell r="M216">
            <v>2</v>
          </cell>
          <cell r="O216">
            <v>0</v>
          </cell>
          <cell r="T216" t="str">
            <v>000000000007420</v>
          </cell>
        </row>
        <row r="217">
          <cell r="C217">
            <v>9</v>
          </cell>
          <cell r="G217" t="str">
            <v/>
          </cell>
          <cell r="K217">
            <v>0</v>
          </cell>
          <cell r="L217" t="str">
            <v>持出端材</v>
          </cell>
          <cell r="O217" t="str">
            <v>-</v>
          </cell>
          <cell r="T217" t="str">
            <v>000000000007420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O218" t="str">
            <v>T</v>
          </cell>
          <cell r="P218">
            <v>19</v>
          </cell>
          <cell r="T218" t="str">
            <v>000000000007420</v>
          </cell>
        </row>
        <row r="219">
          <cell r="C219" t="str">
            <v>灯具カバーPC  　2190    L=1240</v>
          </cell>
          <cell r="I219">
            <v>0</v>
          </cell>
          <cell r="J219">
            <v>0</v>
          </cell>
          <cell r="K219">
            <v>0</v>
          </cell>
          <cell r="L219">
            <v>45946</v>
          </cell>
          <cell r="M219">
            <v>12</v>
          </cell>
          <cell r="O219">
            <v>45946</v>
          </cell>
          <cell r="P219">
            <v>3</v>
          </cell>
          <cell r="T219" t="str">
            <v>000000000007414</v>
          </cell>
        </row>
        <row r="220">
          <cell r="D220">
            <v>45946</v>
          </cell>
          <cell r="E220" t="str">
            <v>25I26-01</v>
          </cell>
          <cell r="F220">
            <v>22</v>
          </cell>
          <cell r="G220">
            <v>1240.2</v>
          </cell>
          <cell r="H220">
            <v>1240.06</v>
          </cell>
          <cell r="I220" t="str">
            <v>25I26-01</v>
          </cell>
          <cell r="J220">
            <v>32</v>
          </cell>
          <cell r="K220">
            <v>32</v>
          </cell>
          <cell r="O220">
            <v>24</v>
          </cell>
          <cell r="P220">
            <v>5</v>
          </cell>
          <cell r="T220" t="str">
            <v>000000000007414</v>
          </cell>
        </row>
        <row r="221">
          <cell r="C221">
            <v>24</v>
          </cell>
          <cell r="D221">
            <v>45946</v>
          </cell>
          <cell r="E221" t="str">
            <v>25I26-01</v>
          </cell>
          <cell r="F221">
            <v>22</v>
          </cell>
          <cell r="G221">
            <v>1240.2</v>
          </cell>
          <cell r="H221">
            <v>1240.04</v>
          </cell>
          <cell r="K221">
            <v>0</v>
          </cell>
          <cell r="O221">
            <v>32</v>
          </cell>
          <cell r="T221" t="str">
            <v>000000000007414</v>
          </cell>
        </row>
        <row r="222">
          <cell r="G222" t="str">
            <v/>
          </cell>
          <cell r="K222">
            <v>0</v>
          </cell>
          <cell r="O222">
            <v>8</v>
          </cell>
          <cell r="T222" t="str">
            <v>000000000007414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8</v>
          </cell>
          <cell r="T223" t="str">
            <v>000000000007414</v>
          </cell>
        </row>
        <row r="224">
          <cell r="C224" t="str">
            <v>H型ジョイナー</v>
          </cell>
          <cell r="G224" t="str">
            <v/>
          </cell>
          <cell r="K224">
            <v>0</v>
          </cell>
          <cell r="L224" t="str">
            <v>旧品加工</v>
          </cell>
          <cell r="O224">
            <v>0</v>
          </cell>
          <cell r="T224" t="str">
            <v>000000000007414</v>
          </cell>
        </row>
        <row r="225">
          <cell r="C225">
            <v>12</v>
          </cell>
          <cell r="G225" t="str">
            <v/>
          </cell>
          <cell r="K225">
            <v>0</v>
          </cell>
          <cell r="L225" t="str">
            <v>持出端材</v>
          </cell>
          <cell r="O225" t="str">
            <v>C</v>
          </cell>
          <cell r="T225" t="str">
            <v>000000000007414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 t="str">
            <v>T</v>
          </cell>
          <cell r="P226">
            <v>8</v>
          </cell>
          <cell r="T226" t="str">
            <v>000000000007414</v>
          </cell>
        </row>
        <row r="227">
          <cell r="C227" t="str">
            <v>灯具カバーPC IN 2470　L=1648</v>
          </cell>
          <cell r="I227">
            <v>0</v>
          </cell>
          <cell r="J227">
            <v>0</v>
          </cell>
          <cell r="K227">
            <v>0</v>
          </cell>
          <cell r="O227">
            <v>0</v>
          </cell>
          <cell r="T227" t="str">
            <v>000000000007422</v>
          </cell>
        </row>
        <row r="228">
          <cell r="G228" t="str">
            <v/>
          </cell>
          <cell r="I228" t="str">
            <v/>
          </cell>
          <cell r="K228">
            <v>0</v>
          </cell>
          <cell r="O228">
            <v>0</v>
          </cell>
          <cell r="T228" t="str">
            <v>000000000007422</v>
          </cell>
        </row>
        <row r="229">
          <cell r="C229">
            <v>96</v>
          </cell>
          <cell r="G229" t="str">
            <v/>
          </cell>
          <cell r="K229">
            <v>0</v>
          </cell>
          <cell r="O229">
            <v>0</v>
          </cell>
          <cell r="T229" t="str">
            <v>000000000007422</v>
          </cell>
        </row>
        <row r="230">
          <cell r="G230" t="str">
            <v/>
          </cell>
          <cell r="K230">
            <v>0</v>
          </cell>
          <cell r="O230">
            <v>0</v>
          </cell>
          <cell r="T230" t="str">
            <v>000000000007422</v>
          </cell>
        </row>
        <row r="231">
          <cell r="C231">
            <v>1</v>
          </cell>
          <cell r="G231" t="str">
            <v/>
          </cell>
          <cell r="K231">
            <v>0</v>
          </cell>
          <cell r="O231">
            <v>0</v>
          </cell>
          <cell r="T231" t="str">
            <v>000000000007422</v>
          </cell>
        </row>
        <row r="232">
          <cell r="C232" t="str">
            <v>灯具-1　L=1370</v>
          </cell>
          <cell r="G232" t="str">
            <v/>
          </cell>
          <cell r="K232">
            <v>0</v>
          </cell>
          <cell r="L232" t="str">
            <v>旧品加工</v>
          </cell>
          <cell r="O232">
            <v>0</v>
          </cell>
          <cell r="T232" t="str">
            <v>000000000007422</v>
          </cell>
        </row>
        <row r="233">
          <cell r="C233">
            <v>0</v>
          </cell>
          <cell r="G233" t="str">
            <v/>
          </cell>
          <cell r="K233">
            <v>0</v>
          </cell>
          <cell r="L233" t="str">
            <v>持出端材</v>
          </cell>
          <cell r="T233" t="str">
            <v>000000000007422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P234">
            <v>0</v>
          </cell>
          <cell r="T234" t="str">
            <v>000000000007422</v>
          </cell>
        </row>
        <row r="235">
          <cell r="C235" t="str">
            <v>灯具カバーPC IN 2110　L=1815</v>
          </cell>
          <cell r="I235">
            <v>0</v>
          </cell>
          <cell r="J235">
            <v>0</v>
          </cell>
          <cell r="K235">
            <v>0</v>
          </cell>
          <cell r="O235">
            <v>0</v>
          </cell>
          <cell r="T235" t="str">
            <v>000000000007423-2</v>
          </cell>
        </row>
        <row r="236">
          <cell r="G236" t="str">
            <v/>
          </cell>
          <cell r="I236" t="str">
            <v/>
          </cell>
          <cell r="K236">
            <v>0</v>
          </cell>
          <cell r="O236">
            <v>0</v>
          </cell>
          <cell r="T236" t="str">
            <v>000000000007423-2</v>
          </cell>
        </row>
        <row r="237">
          <cell r="C237">
            <v>80</v>
          </cell>
          <cell r="G237" t="str">
            <v/>
          </cell>
          <cell r="K237">
            <v>0</v>
          </cell>
          <cell r="O237">
            <v>0</v>
          </cell>
          <cell r="T237" t="str">
            <v>000000000007423-2</v>
          </cell>
        </row>
        <row r="238">
          <cell r="G238" t="str">
            <v/>
          </cell>
          <cell r="K238">
            <v>0</v>
          </cell>
          <cell r="O238">
            <v>0</v>
          </cell>
          <cell r="T238" t="str">
            <v>000000000007423-2</v>
          </cell>
        </row>
        <row r="239">
          <cell r="C239">
            <v>1</v>
          </cell>
          <cell r="G239" t="str">
            <v/>
          </cell>
          <cell r="K239">
            <v>0</v>
          </cell>
          <cell r="O239">
            <v>0</v>
          </cell>
          <cell r="T239" t="str">
            <v>000000000007423-2</v>
          </cell>
        </row>
        <row r="240">
          <cell r="C240" t="str">
            <v>灯具-2　L＝1996</v>
          </cell>
          <cell r="G240" t="str">
            <v/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000000000007423-2</v>
          </cell>
        </row>
        <row r="241">
          <cell r="C241">
            <v>0</v>
          </cell>
          <cell r="G241" t="str">
            <v/>
          </cell>
          <cell r="K241">
            <v>0</v>
          </cell>
          <cell r="L241" t="str">
            <v>持出端材</v>
          </cell>
          <cell r="T241" t="str">
            <v>000000000007423-2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P242">
            <v>0</v>
          </cell>
          <cell r="T242" t="str">
            <v>000000000007423-2</v>
          </cell>
        </row>
        <row r="243">
          <cell r="C243" t="str">
            <v>灯具カバーPC IN 2130　L=908</v>
          </cell>
          <cell r="I243">
            <v>0</v>
          </cell>
          <cell r="J243">
            <v>0</v>
          </cell>
          <cell r="K243">
            <v>0</v>
          </cell>
          <cell r="O243">
            <v>0</v>
          </cell>
          <cell r="T243" t="str">
            <v>000000000008225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000000000008225</v>
          </cell>
        </row>
        <row r="245">
          <cell r="C245">
            <v>192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000000000008225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000000000008225</v>
          </cell>
        </row>
        <row r="247">
          <cell r="C247">
            <v>1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000000000008225</v>
          </cell>
        </row>
        <row r="248">
          <cell r="C248" t="str">
            <v>灯具-1　L=1370</v>
          </cell>
          <cell r="G248" t="str">
            <v/>
          </cell>
          <cell r="K248">
            <v>0</v>
          </cell>
          <cell r="L248" t="str">
            <v>旧品加工</v>
          </cell>
          <cell r="O248">
            <v>0</v>
          </cell>
          <cell r="T248" t="str">
            <v>000000000008225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持出端材</v>
          </cell>
          <cell r="T249" t="str">
            <v>000000000008225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P250">
            <v>0</v>
          </cell>
          <cell r="T250" t="str">
            <v>000000000008225</v>
          </cell>
        </row>
        <row r="251">
          <cell r="C251" t="str">
            <v>灯具カバーPC IN 2090　L=840</v>
          </cell>
          <cell r="I251">
            <v>0</v>
          </cell>
          <cell r="J251">
            <v>0</v>
          </cell>
          <cell r="K251">
            <v>0</v>
          </cell>
          <cell r="O251">
            <v>0</v>
          </cell>
          <cell r="T251" t="str">
            <v>000000000008224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000000000008224</v>
          </cell>
        </row>
        <row r="253">
          <cell r="C253">
            <v>192</v>
          </cell>
          <cell r="G253" t="str">
            <v/>
          </cell>
          <cell r="K253">
            <v>0</v>
          </cell>
          <cell r="O253">
            <v>0</v>
          </cell>
          <cell r="T253" t="str">
            <v>000000000008224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000000000008224</v>
          </cell>
        </row>
        <row r="255">
          <cell r="C255">
            <v>1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000000000008224</v>
          </cell>
        </row>
        <row r="256">
          <cell r="C256" t="str">
            <v>灯具-2　L＝1996</v>
          </cell>
          <cell r="G256" t="str">
            <v/>
          </cell>
          <cell r="K256">
            <v>0</v>
          </cell>
          <cell r="L256" t="str">
            <v>旧品加工</v>
          </cell>
          <cell r="O256">
            <v>0</v>
          </cell>
          <cell r="T256" t="str">
            <v>000000000008224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持出端材</v>
          </cell>
          <cell r="T257" t="str">
            <v>000000000008224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P258">
            <v>0</v>
          </cell>
          <cell r="T258" t="str">
            <v>000000000008224</v>
          </cell>
        </row>
        <row r="259">
          <cell r="C259" t="str">
            <v>灯具カバーPC IN 2050　L=1183.5</v>
          </cell>
          <cell r="I259">
            <v>0</v>
          </cell>
          <cell r="J259">
            <v>0</v>
          </cell>
          <cell r="K259">
            <v>0</v>
          </cell>
          <cell r="O259">
            <v>0</v>
          </cell>
          <cell r="T259" t="str">
            <v>000000000008226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0</v>
          </cell>
          <cell r="T260" t="str">
            <v>000000000008226</v>
          </cell>
        </row>
        <row r="261">
          <cell r="C261">
            <v>192</v>
          </cell>
          <cell r="G261" t="str">
            <v/>
          </cell>
          <cell r="K261">
            <v>0</v>
          </cell>
          <cell r="O261">
            <v>0</v>
          </cell>
          <cell r="T261" t="str">
            <v>000000000008226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000000000008226</v>
          </cell>
        </row>
        <row r="263">
          <cell r="C263">
            <v>1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000000000008226</v>
          </cell>
        </row>
        <row r="264">
          <cell r="C264" t="str">
            <v>灯具-1　L=1370</v>
          </cell>
          <cell r="G264" t="str">
            <v/>
          </cell>
          <cell r="K264">
            <v>0</v>
          </cell>
          <cell r="L264" t="str">
            <v>旧品加工</v>
          </cell>
          <cell r="O264">
            <v>0</v>
          </cell>
          <cell r="T264" t="str">
            <v>000000000008226</v>
          </cell>
        </row>
        <row r="265">
          <cell r="C265">
            <v>0</v>
          </cell>
          <cell r="G265" t="str">
            <v/>
          </cell>
          <cell r="K265">
            <v>0</v>
          </cell>
          <cell r="L265" t="str">
            <v>持出端材</v>
          </cell>
          <cell r="T265" t="str">
            <v>000000000008226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P266">
            <v>0</v>
          </cell>
          <cell r="T266" t="str">
            <v>000000000008226</v>
          </cell>
        </row>
        <row r="267">
          <cell r="C267">
            <v>45950</v>
          </cell>
          <cell r="I267">
            <v>0</v>
          </cell>
          <cell r="J267" t="e">
            <v>#DIV/0!</v>
          </cell>
          <cell r="K267" t="e">
            <v>#DIV/0!</v>
          </cell>
          <cell r="O267">
            <v>0</v>
          </cell>
          <cell r="T267" t="str">
            <v/>
          </cell>
        </row>
        <row r="268">
          <cell r="G268" t="str">
            <v/>
          </cell>
          <cell r="I268" t="str">
            <v/>
          </cell>
          <cell r="K268" t="e">
            <v>#DIV/0!</v>
          </cell>
          <cell r="O268" t="e">
            <v>#DIV/0!</v>
          </cell>
          <cell r="T268" t="str">
            <v/>
          </cell>
        </row>
        <row r="269">
          <cell r="G269" t="str">
            <v/>
          </cell>
          <cell r="K269" t="e">
            <v>#DIV/0!</v>
          </cell>
          <cell r="O269" t="str">
            <v/>
          </cell>
          <cell r="T269" t="str">
            <v/>
          </cell>
        </row>
        <row r="270">
          <cell r="G270" t="str">
            <v/>
          </cell>
          <cell r="K270" t="e">
            <v>#DIV/0!</v>
          </cell>
          <cell r="O270" t="str">
            <v/>
          </cell>
          <cell r="T270" t="str">
            <v/>
          </cell>
        </row>
        <row r="271">
          <cell r="G271" t="str">
            <v/>
          </cell>
          <cell r="K271" t="e">
            <v>#DIV/0!</v>
          </cell>
          <cell r="O271">
            <v>0</v>
          </cell>
          <cell r="T271" t="str">
            <v/>
          </cell>
        </row>
        <row r="272">
          <cell r="G272" t="str">
            <v/>
          </cell>
          <cell r="K272" t="e">
            <v>#DIV/0!</v>
          </cell>
          <cell r="L272" t="str">
            <v>旧品加工</v>
          </cell>
          <cell r="O272" t="e">
            <v>#DIV/0!</v>
          </cell>
          <cell r="T272" t="str">
            <v/>
          </cell>
        </row>
        <row r="273">
          <cell r="C273" t="e">
            <v>#N/A</v>
          </cell>
          <cell r="G273" t="str">
            <v/>
          </cell>
          <cell r="K273" t="e">
            <v>#DIV/0!</v>
          </cell>
          <cell r="L273" t="str">
            <v>持出端材</v>
          </cell>
          <cell r="T273" t="str">
            <v/>
          </cell>
        </row>
        <row r="274">
          <cell r="G274" t="str">
            <v/>
          </cell>
          <cell r="K274" t="e">
            <v>#DIV/0!</v>
          </cell>
          <cell r="L274" t="str">
            <v>α端材</v>
          </cell>
          <cell r="M274" t="e">
            <v>#DIV/0!</v>
          </cell>
          <cell r="P274">
            <v>0</v>
          </cell>
          <cell r="T274" t="str">
            <v/>
          </cell>
        </row>
        <row r="275">
          <cell r="C275" t="str">
            <v>8FL281304 6110　L=1478</v>
          </cell>
          <cell r="I275">
            <v>0</v>
          </cell>
          <cell r="J275">
            <v>0</v>
          </cell>
          <cell r="K275">
            <v>0</v>
          </cell>
          <cell r="O275">
            <v>0</v>
          </cell>
          <cell r="T275" t="str">
            <v>000000000007290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000000000007290</v>
          </cell>
        </row>
        <row r="277">
          <cell r="C277">
            <v>1300</v>
          </cell>
          <cell r="G277" t="str">
            <v/>
          </cell>
          <cell r="K277">
            <v>0</v>
          </cell>
          <cell r="O277">
            <v>0</v>
          </cell>
          <cell r="T277" t="str">
            <v>000000000007290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000000000007290</v>
          </cell>
        </row>
        <row r="279">
          <cell r="C279">
            <v>1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000000000007290</v>
          </cell>
        </row>
        <row r="280">
          <cell r="C280" t="str">
            <v>LED-A1478</v>
          </cell>
          <cell r="G280" t="str">
            <v/>
          </cell>
          <cell r="K280">
            <v>0</v>
          </cell>
          <cell r="L280" t="str">
            <v>旧品加工</v>
          </cell>
          <cell r="O280">
            <v>0</v>
          </cell>
          <cell r="T280" t="str">
            <v>000000000007290</v>
          </cell>
        </row>
        <row r="281">
          <cell r="C281">
            <v>0</v>
          </cell>
          <cell r="G281" t="str">
            <v/>
          </cell>
          <cell r="K281">
            <v>0</v>
          </cell>
          <cell r="L281" t="str">
            <v>持出端材</v>
          </cell>
          <cell r="T281" t="str">
            <v>000000000007290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P282">
            <v>0</v>
          </cell>
          <cell r="T282" t="str">
            <v>000000000007290</v>
          </cell>
        </row>
        <row r="283">
          <cell r="C283" t="str">
            <v>8FL281304 6110　L=1478</v>
          </cell>
          <cell r="I283">
            <v>0</v>
          </cell>
          <cell r="J283">
            <v>0</v>
          </cell>
          <cell r="K283">
            <v>0</v>
          </cell>
          <cell r="O283">
            <v>0</v>
          </cell>
          <cell r="T283" t="str">
            <v>000000000007956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000000000007956</v>
          </cell>
        </row>
        <row r="285">
          <cell r="C285">
            <v>400</v>
          </cell>
          <cell r="G285" t="str">
            <v/>
          </cell>
          <cell r="K285">
            <v>0</v>
          </cell>
          <cell r="O285">
            <v>0</v>
          </cell>
          <cell r="T285" t="str">
            <v>000000000007956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000000000007956</v>
          </cell>
        </row>
        <row r="287">
          <cell r="C287">
            <v>1</v>
          </cell>
          <cell r="G287" t="str">
            <v/>
          </cell>
          <cell r="K287">
            <v>0</v>
          </cell>
          <cell r="O287">
            <v>0</v>
          </cell>
          <cell r="T287" t="str">
            <v>000000000007956</v>
          </cell>
        </row>
        <row r="288">
          <cell r="C288" t="str">
            <v>LED-A1478</v>
          </cell>
          <cell r="G288" t="str">
            <v/>
          </cell>
          <cell r="K288">
            <v>0</v>
          </cell>
          <cell r="L288" t="str">
            <v>旧品加工</v>
          </cell>
          <cell r="O288">
            <v>0</v>
          </cell>
          <cell r="T288" t="str">
            <v>000000000007956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持出端材</v>
          </cell>
          <cell r="T289" t="str">
            <v>000000000007956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P290">
            <v>0</v>
          </cell>
          <cell r="T290" t="str">
            <v>000000000007956</v>
          </cell>
        </row>
        <row r="291">
          <cell r="C291" t="str">
            <v>採光ルーバーパネルB　L=1996</v>
          </cell>
          <cell r="I291">
            <v>0</v>
          </cell>
          <cell r="J291">
            <v>0</v>
          </cell>
          <cell r="K291">
            <v>0</v>
          </cell>
          <cell r="O291">
            <v>0</v>
          </cell>
          <cell r="T291" t="str">
            <v>000000000008267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000000000008267</v>
          </cell>
        </row>
        <row r="293">
          <cell r="C293">
            <v>294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000000000008267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000000000008267</v>
          </cell>
        </row>
        <row r="295">
          <cell r="C295">
            <v>1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000000000008267</v>
          </cell>
        </row>
        <row r="296">
          <cell r="C296" t="str">
            <v>上-1</v>
          </cell>
          <cell r="G296" t="str">
            <v/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000000000008267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持出端材</v>
          </cell>
          <cell r="T297" t="str">
            <v>000000000008267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P298">
            <v>0</v>
          </cell>
          <cell r="T298" t="str">
            <v>000000000008267</v>
          </cell>
        </row>
        <row r="299">
          <cell r="C299" t="str">
            <v>8FL281304 5010　L=888</v>
          </cell>
          <cell r="I299">
            <v>0</v>
          </cell>
          <cell r="J299">
            <v>0</v>
          </cell>
          <cell r="K299">
            <v>0</v>
          </cell>
          <cell r="O299">
            <v>0</v>
          </cell>
          <cell r="T299" t="str">
            <v>000000000007953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000000000007953</v>
          </cell>
        </row>
        <row r="301">
          <cell r="C301">
            <v>200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000000000007953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000000000007953</v>
          </cell>
        </row>
        <row r="303">
          <cell r="C303">
            <v>2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000000000007953</v>
          </cell>
        </row>
        <row r="304">
          <cell r="C304" t="str">
            <v>LED-A888</v>
          </cell>
          <cell r="G304" t="str">
            <v/>
          </cell>
          <cell r="K304">
            <v>0</v>
          </cell>
          <cell r="L304" t="str">
            <v>旧品加工</v>
          </cell>
          <cell r="O304">
            <v>0</v>
          </cell>
          <cell r="T304" t="str">
            <v>000000000007953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持出端材</v>
          </cell>
          <cell r="T305" t="str">
            <v>000000000007953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P306">
            <v>0</v>
          </cell>
          <cell r="T306" t="str">
            <v>000000000007953</v>
          </cell>
        </row>
        <row r="307">
          <cell r="C307" t="str">
            <v>8FL281304 5010　L=888</v>
          </cell>
          <cell r="I307">
            <v>0</v>
          </cell>
          <cell r="J307">
            <v>0</v>
          </cell>
          <cell r="K307">
            <v>0</v>
          </cell>
          <cell r="O307">
            <v>0</v>
          </cell>
          <cell r="T307" t="str">
            <v>000000000007954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000000000007954</v>
          </cell>
        </row>
        <row r="309">
          <cell r="C309">
            <v>700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000000000007954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000000000007954</v>
          </cell>
        </row>
        <row r="311">
          <cell r="C311">
            <v>2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000000000007954</v>
          </cell>
        </row>
        <row r="312">
          <cell r="C312" t="str">
            <v>LED-A888</v>
          </cell>
          <cell r="G312" t="str">
            <v/>
          </cell>
          <cell r="K312">
            <v>0</v>
          </cell>
          <cell r="L312" t="str">
            <v>旧品加工</v>
          </cell>
          <cell r="O312">
            <v>0</v>
          </cell>
          <cell r="T312" t="str">
            <v>000000000007954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持出端材</v>
          </cell>
          <cell r="T313" t="str">
            <v>000000000007954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P314">
            <v>0</v>
          </cell>
          <cell r="T314" t="str">
            <v>000000000007954</v>
          </cell>
        </row>
        <row r="315">
          <cell r="C315" t="str">
            <v>8FL281304 4810　L=297</v>
          </cell>
          <cell r="I315">
            <v>0</v>
          </cell>
          <cell r="J315">
            <v>0</v>
          </cell>
          <cell r="K315">
            <v>0</v>
          </cell>
          <cell r="O315">
            <v>0</v>
          </cell>
          <cell r="T315" t="str">
            <v>000000000007951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000000000007951</v>
          </cell>
        </row>
        <row r="317">
          <cell r="C317">
            <v>400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000000000007951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000000000007951</v>
          </cell>
        </row>
        <row r="319">
          <cell r="C319">
            <v>6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000000000007951</v>
          </cell>
        </row>
        <row r="320">
          <cell r="C320" t="str">
            <v>LED-A300</v>
          </cell>
          <cell r="G320" t="str">
            <v/>
          </cell>
          <cell r="K320">
            <v>0</v>
          </cell>
          <cell r="L320" t="str">
            <v>旧品加工</v>
          </cell>
          <cell r="O320">
            <v>0</v>
          </cell>
          <cell r="T320" t="str">
            <v>000000000007951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持出端材</v>
          </cell>
          <cell r="T321" t="str">
            <v>000000000007951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0</v>
          </cell>
          <cell r="P322">
            <v>0</v>
          </cell>
          <cell r="T322" t="str">
            <v>000000000007951</v>
          </cell>
        </row>
        <row r="323">
          <cell r="C323" t="str">
            <v>8FL281304 4910　L=592</v>
          </cell>
          <cell r="I323">
            <v>0</v>
          </cell>
          <cell r="J323">
            <v>0</v>
          </cell>
          <cell r="K323">
            <v>0</v>
          </cell>
          <cell r="O323">
            <v>0</v>
          </cell>
          <cell r="T323" t="str">
            <v>000000000007952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000000000007952</v>
          </cell>
        </row>
        <row r="325">
          <cell r="C325">
            <v>300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000000000007952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000000000007952</v>
          </cell>
        </row>
        <row r="327">
          <cell r="C327">
            <v>3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000000000007952</v>
          </cell>
        </row>
        <row r="328">
          <cell r="C328" t="str">
            <v>LED-A592</v>
          </cell>
          <cell r="G328" t="str">
            <v/>
          </cell>
          <cell r="K328">
            <v>0</v>
          </cell>
          <cell r="L328" t="str">
            <v>旧品加工</v>
          </cell>
          <cell r="O328">
            <v>0</v>
          </cell>
          <cell r="T328" t="str">
            <v>000000000007952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持出端材</v>
          </cell>
          <cell r="T329" t="str">
            <v>000000000007952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0</v>
          </cell>
          <cell r="P330">
            <v>0</v>
          </cell>
          <cell r="T330" t="str">
            <v>000000000007952</v>
          </cell>
        </row>
        <row r="331">
          <cell r="C331" t="str">
            <v>照明ｶﾊﾞｰS15　L=550</v>
          </cell>
          <cell r="I331">
            <v>0</v>
          </cell>
          <cell r="J331">
            <v>0</v>
          </cell>
          <cell r="K331">
            <v>0</v>
          </cell>
          <cell r="O331">
            <v>0</v>
          </cell>
          <cell r="T331" t="str">
            <v>000000000008066</v>
          </cell>
        </row>
        <row r="332">
          <cell r="G332" t="str">
            <v/>
          </cell>
          <cell r="I332" t="str">
            <v/>
          </cell>
          <cell r="K332">
            <v>0</v>
          </cell>
          <cell r="O332">
            <v>0</v>
          </cell>
          <cell r="T332" t="str">
            <v>000000000008066</v>
          </cell>
        </row>
        <row r="333">
          <cell r="C333">
            <v>500</v>
          </cell>
          <cell r="G333" t="str">
            <v/>
          </cell>
          <cell r="K333">
            <v>0</v>
          </cell>
          <cell r="O333">
            <v>0</v>
          </cell>
          <cell r="T333" t="str">
            <v>000000000008066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000000000008066</v>
          </cell>
        </row>
        <row r="335">
          <cell r="C335">
            <v>3</v>
          </cell>
          <cell r="G335" t="str">
            <v/>
          </cell>
          <cell r="K335">
            <v>0</v>
          </cell>
          <cell r="O335">
            <v>0</v>
          </cell>
          <cell r="T335" t="str">
            <v>000000000008066</v>
          </cell>
        </row>
        <row r="336">
          <cell r="C336" t="str">
            <v>基材梱包箱</v>
          </cell>
          <cell r="G336" t="str">
            <v/>
          </cell>
          <cell r="K336">
            <v>0</v>
          </cell>
          <cell r="L336" t="str">
            <v>旧品加工</v>
          </cell>
          <cell r="O336">
            <v>0</v>
          </cell>
          <cell r="T336" t="str">
            <v>000000000008066</v>
          </cell>
        </row>
        <row r="337">
          <cell r="C337">
            <v>0</v>
          </cell>
          <cell r="G337" t="str">
            <v/>
          </cell>
          <cell r="K337">
            <v>0</v>
          </cell>
          <cell r="L337" t="str">
            <v>持出端材</v>
          </cell>
          <cell r="T337" t="str">
            <v>000000000008066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P338">
            <v>0</v>
          </cell>
          <cell r="T338" t="str">
            <v>000000000008066</v>
          </cell>
        </row>
        <row r="339">
          <cell r="C339" t="str">
            <v>照明ｶﾊﾞｰL15　L=820</v>
          </cell>
          <cell r="I339">
            <v>0</v>
          </cell>
          <cell r="J339">
            <v>0</v>
          </cell>
          <cell r="K339">
            <v>0</v>
          </cell>
          <cell r="O339">
            <v>0</v>
          </cell>
          <cell r="T339" t="str">
            <v>000000000008266</v>
          </cell>
        </row>
        <row r="340">
          <cell r="G340" t="str">
            <v/>
          </cell>
          <cell r="I340" t="str">
            <v/>
          </cell>
          <cell r="K340">
            <v>0</v>
          </cell>
          <cell r="O340">
            <v>0</v>
          </cell>
          <cell r="T340" t="str">
            <v>000000000008266</v>
          </cell>
        </row>
        <row r="341">
          <cell r="C341">
            <v>300</v>
          </cell>
          <cell r="G341" t="str">
            <v/>
          </cell>
          <cell r="K341">
            <v>0</v>
          </cell>
          <cell r="O341">
            <v>0</v>
          </cell>
          <cell r="T341" t="str">
            <v>000000000008266</v>
          </cell>
        </row>
        <row r="342">
          <cell r="G342" t="str">
            <v/>
          </cell>
          <cell r="K342">
            <v>0</v>
          </cell>
          <cell r="O342">
            <v>0</v>
          </cell>
          <cell r="T342" t="str">
            <v>000000000008266</v>
          </cell>
        </row>
        <row r="343">
          <cell r="C343">
            <v>2</v>
          </cell>
          <cell r="G343" t="str">
            <v/>
          </cell>
          <cell r="K343">
            <v>0</v>
          </cell>
          <cell r="O343">
            <v>0</v>
          </cell>
          <cell r="T343" t="str">
            <v>000000000008266</v>
          </cell>
        </row>
        <row r="344">
          <cell r="C344" t="str">
            <v>基材梱包箱</v>
          </cell>
          <cell r="G344" t="str">
            <v/>
          </cell>
          <cell r="K344">
            <v>0</v>
          </cell>
          <cell r="L344" t="str">
            <v>旧品加工</v>
          </cell>
          <cell r="O344">
            <v>0</v>
          </cell>
          <cell r="T344" t="str">
            <v>000000000008266</v>
          </cell>
        </row>
        <row r="345">
          <cell r="C345">
            <v>0</v>
          </cell>
          <cell r="G345" t="str">
            <v/>
          </cell>
          <cell r="K345">
            <v>0</v>
          </cell>
          <cell r="L345" t="str">
            <v>持出端材</v>
          </cell>
          <cell r="T345" t="str">
            <v>000000000008266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P346">
            <v>0</v>
          </cell>
          <cell r="T346" t="str">
            <v>000000000008266</v>
          </cell>
        </row>
        <row r="347">
          <cell r="C347" t="str">
            <v>灯具カバーPC IN 2070　L=1966</v>
          </cell>
          <cell r="I347">
            <v>0</v>
          </cell>
          <cell r="J347">
            <v>0</v>
          </cell>
          <cell r="K347">
            <v>0</v>
          </cell>
          <cell r="O347">
            <v>0</v>
          </cell>
          <cell r="T347" t="str">
            <v>000000000007926-2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000000000007926-2</v>
          </cell>
        </row>
        <row r="349">
          <cell r="C349">
            <v>144</v>
          </cell>
          <cell r="G349" t="str">
            <v/>
          </cell>
          <cell r="K349">
            <v>0</v>
          </cell>
          <cell r="O349">
            <v>0</v>
          </cell>
          <cell r="T349" t="str">
            <v>000000000007926-2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000000000007926-2</v>
          </cell>
        </row>
        <row r="351">
          <cell r="C351">
            <v>1</v>
          </cell>
          <cell r="G351" t="str">
            <v/>
          </cell>
          <cell r="K351">
            <v>0</v>
          </cell>
          <cell r="O351">
            <v>0</v>
          </cell>
          <cell r="T351" t="str">
            <v>000000000007926-2</v>
          </cell>
        </row>
        <row r="352">
          <cell r="C352" t="str">
            <v>灯具-2　L＝1996</v>
          </cell>
          <cell r="G352" t="str">
            <v/>
          </cell>
          <cell r="K352">
            <v>0</v>
          </cell>
          <cell r="L352" t="str">
            <v>旧品加工</v>
          </cell>
          <cell r="O352">
            <v>0</v>
          </cell>
          <cell r="T352" t="str">
            <v>000000000007926-2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持出端材</v>
          </cell>
          <cell r="T353" t="str">
            <v>000000000007926-2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P354">
            <v>0</v>
          </cell>
          <cell r="T354" t="str">
            <v>000000000007926-2</v>
          </cell>
        </row>
        <row r="355">
          <cell r="C355" t="str">
            <v>採光ルーバーパネルB　L=1996</v>
          </cell>
          <cell r="I355">
            <v>0</v>
          </cell>
          <cell r="J355">
            <v>0</v>
          </cell>
          <cell r="K355">
            <v>0</v>
          </cell>
          <cell r="O355">
            <v>0</v>
          </cell>
          <cell r="T355" t="str">
            <v>000000000008268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O356">
            <v>0</v>
          </cell>
          <cell r="T356" t="str">
            <v>000000000008268</v>
          </cell>
        </row>
        <row r="357">
          <cell r="C357">
            <v>294</v>
          </cell>
          <cell r="G357" t="str">
            <v/>
          </cell>
          <cell r="K357">
            <v>0</v>
          </cell>
          <cell r="O357">
            <v>0</v>
          </cell>
          <cell r="T357" t="str">
            <v>000000000008268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000000000008268</v>
          </cell>
        </row>
        <row r="359">
          <cell r="C359">
            <v>1</v>
          </cell>
          <cell r="G359" t="str">
            <v/>
          </cell>
          <cell r="K359">
            <v>0</v>
          </cell>
          <cell r="O359">
            <v>0</v>
          </cell>
          <cell r="T359" t="str">
            <v>000000000008268</v>
          </cell>
        </row>
        <row r="360">
          <cell r="C360" t="str">
            <v>上-1</v>
          </cell>
          <cell r="G360" t="str">
            <v/>
          </cell>
          <cell r="K360">
            <v>0</v>
          </cell>
          <cell r="L360" t="str">
            <v>旧品加工</v>
          </cell>
          <cell r="O360">
            <v>0</v>
          </cell>
          <cell r="T360" t="str">
            <v>000000000008268</v>
          </cell>
        </row>
        <row r="361">
          <cell r="C361">
            <v>0</v>
          </cell>
          <cell r="G361" t="str">
            <v/>
          </cell>
          <cell r="K361">
            <v>0</v>
          </cell>
          <cell r="L361" t="str">
            <v>持出端材</v>
          </cell>
          <cell r="T361" t="str">
            <v>000000000008268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P362">
            <v>0</v>
          </cell>
          <cell r="T362" t="str">
            <v>000000000008268</v>
          </cell>
        </row>
        <row r="363">
          <cell r="C363" t="str">
            <v>採光ルーバーパネルB　L=1996</v>
          </cell>
          <cell r="I363">
            <v>0</v>
          </cell>
          <cell r="J363">
            <v>0</v>
          </cell>
          <cell r="K363">
            <v>0</v>
          </cell>
          <cell r="O363">
            <v>0</v>
          </cell>
          <cell r="T363" t="str">
            <v>000000000008269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000000000008269</v>
          </cell>
        </row>
        <row r="365">
          <cell r="C365">
            <v>294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000000000008269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000000000008269</v>
          </cell>
        </row>
        <row r="367">
          <cell r="C367">
            <v>1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000000000008269</v>
          </cell>
        </row>
        <row r="368">
          <cell r="C368" t="str">
            <v>上-1</v>
          </cell>
          <cell r="G368" t="str">
            <v/>
          </cell>
          <cell r="K368">
            <v>0</v>
          </cell>
          <cell r="L368" t="str">
            <v>旧品加工</v>
          </cell>
          <cell r="O368">
            <v>0</v>
          </cell>
          <cell r="T368" t="str">
            <v>000000000008269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持出端材</v>
          </cell>
          <cell r="T369" t="str">
            <v>000000000008269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M370">
            <v>0</v>
          </cell>
          <cell r="P370">
            <v>0</v>
          </cell>
          <cell r="T370" t="str">
            <v>000000000008269</v>
          </cell>
        </row>
        <row r="371">
          <cell r="C371" t="str">
            <v>灯具カバーPC IN 2110　L=1815</v>
          </cell>
          <cell r="I371">
            <v>0</v>
          </cell>
          <cell r="J371">
            <v>0</v>
          </cell>
          <cell r="K371">
            <v>0</v>
          </cell>
          <cell r="O371">
            <v>0</v>
          </cell>
          <cell r="T371" t="str">
            <v>000000000007424</v>
          </cell>
        </row>
        <row r="372">
          <cell r="G372" t="str">
            <v/>
          </cell>
          <cell r="I372" t="str">
            <v/>
          </cell>
          <cell r="K372">
            <v>0</v>
          </cell>
          <cell r="O372">
            <v>0</v>
          </cell>
          <cell r="T372" t="str">
            <v>000000000007424</v>
          </cell>
        </row>
        <row r="373">
          <cell r="C373">
            <v>192</v>
          </cell>
          <cell r="G373" t="str">
            <v/>
          </cell>
          <cell r="K373">
            <v>0</v>
          </cell>
          <cell r="O373">
            <v>0</v>
          </cell>
          <cell r="T373" t="str">
            <v>000000000007424</v>
          </cell>
        </row>
        <row r="374">
          <cell r="G374" t="str">
            <v/>
          </cell>
          <cell r="K374">
            <v>0</v>
          </cell>
          <cell r="O374">
            <v>0</v>
          </cell>
          <cell r="T374" t="str">
            <v>000000000007424</v>
          </cell>
        </row>
        <row r="375">
          <cell r="C375">
            <v>1</v>
          </cell>
          <cell r="G375" t="str">
            <v/>
          </cell>
          <cell r="K375">
            <v>0</v>
          </cell>
          <cell r="O375">
            <v>0</v>
          </cell>
          <cell r="T375" t="str">
            <v>000000000007424</v>
          </cell>
        </row>
        <row r="376">
          <cell r="C376" t="str">
            <v>灯具-2　L＝1996</v>
          </cell>
          <cell r="G376" t="str">
            <v/>
          </cell>
          <cell r="K376">
            <v>0</v>
          </cell>
          <cell r="L376" t="str">
            <v>旧品加工</v>
          </cell>
          <cell r="O376">
            <v>0</v>
          </cell>
          <cell r="T376" t="str">
            <v>000000000007424</v>
          </cell>
        </row>
        <row r="377">
          <cell r="C377">
            <v>0</v>
          </cell>
          <cell r="G377" t="str">
            <v/>
          </cell>
          <cell r="K377">
            <v>0</v>
          </cell>
          <cell r="L377" t="str">
            <v>持出端材</v>
          </cell>
          <cell r="T377" t="str">
            <v>000000000007424</v>
          </cell>
        </row>
        <row r="378">
          <cell r="G378" t="str">
            <v/>
          </cell>
          <cell r="K378">
            <v>0</v>
          </cell>
          <cell r="L378" t="str">
            <v>α端材</v>
          </cell>
          <cell r="M378">
            <v>0</v>
          </cell>
          <cell r="P378">
            <v>0</v>
          </cell>
          <cell r="T378" t="str">
            <v>000000000007424</v>
          </cell>
        </row>
        <row r="379">
          <cell r="C379" t="str">
            <v>8FL281304 5010　L=888</v>
          </cell>
          <cell r="I379">
            <v>0</v>
          </cell>
          <cell r="J379">
            <v>0</v>
          </cell>
          <cell r="K379">
            <v>0</v>
          </cell>
          <cell r="O379">
            <v>0</v>
          </cell>
          <cell r="T379" t="str">
            <v>000000000007289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>
            <v>0</v>
          </cell>
          <cell r="T380" t="str">
            <v>000000000007289</v>
          </cell>
        </row>
        <row r="381">
          <cell r="C381">
            <v>2000</v>
          </cell>
          <cell r="G381" t="str">
            <v/>
          </cell>
          <cell r="K381">
            <v>0</v>
          </cell>
          <cell r="O381">
            <v>0</v>
          </cell>
          <cell r="T381" t="str">
            <v>000000000007289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000000000007289</v>
          </cell>
        </row>
        <row r="383">
          <cell r="C383">
            <v>2</v>
          </cell>
          <cell r="G383" t="str">
            <v/>
          </cell>
          <cell r="K383">
            <v>0</v>
          </cell>
          <cell r="O383">
            <v>0</v>
          </cell>
          <cell r="T383" t="str">
            <v>000000000007289</v>
          </cell>
        </row>
        <row r="384">
          <cell r="C384" t="str">
            <v>LED-A888</v>
          </cell>
          <cell r="G384" t="str">
            <v/>
          </cell>
          <cell r="K384">
            <v>0</v>
          </cell>
          <cell r="L384" t="str">
            <v>旧品加工</v>
          </cell>
          <cell r="O384">
            <v>0</v>
          </cell>
          <cell r="T384" t="str">
            <v>000000000007289</v>
          </cell>
        </row>
        <row r="385">
          <cell r="C385">
            <v>0</v>
          </cell>
          <cell r="G385" t="str">
            <v/>
          </cell>
          <cell r="K385">
            <v>0</v>
          </cell>
          <cell r="L385" t="str">
            <v>持出端材</v>
          </cell>
          <cell r="T385" t="str">
            <v>000000000007289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>
            <v>0</v>
          </cell>
          <cell r="P386">
            <v>0</v>
          </cell>
          <cell r="T386" t="str">
            <v>000000000007289</v>
          </cell>
        </row>
        <row r="387">
          <cell r="C387" t="str">
            <v>8FL281304 5010　L=888</v>
          </cell>
          <cell r="I387">
            <v>0</v>
          </cell>
          <cell r="J387">
            <v>0</v>
          </cell>
          <cell r="K387">
            <v>0</v>
          </cell>
          <cell r="O387">
            <v>0</v>
          </cell>
          <cell r="T387" t="str">
            <v>000000000007955</v>
          </cell>
        </row>
        <row r="388">
          <cell r="G388" t="str">
            <v/>
          </cell>
          <cell r="I388" t="str">
            <v/>
          </cell>
          <cell r="K388">
            <v>0</v>
          </cell>
          <cell r="O388">
            <v>0</v>
          </cell>
          <cell r="T388" t="str">
            <v>000000000007955</v>
          </cell>
        </row>
        <row r="389">
          <cell r="C389">
            <v>2000</v>
          </cell>
          <cell r="G389" t="str">
            <v/>
          </cell>
          <cell r="K389">
            <v>0</v>
          </cell>
          <cell r="O389">
            <v>0</v>
          </cell>
          <cell r="T389" t="str">
            <v>000000000007955</v>
          </cell>
        </row>
        <row r="390">
          <cell r="G390" t="str">
            <v/>
          </cell>
          <cell r="K390">
            <v>0</v>
          </cell>
          <cell r="O390">
            <v>0</v>
          </cell>
          <cell r="T390" t="str">
            <v>000000000007955</v>
          </cell>
        </row>
        <row r="391">
          <cell r="C391">
            <v>2</v>
          </cell>
          <cell r="G391" t="str">
            <v/>
          </cell>
          <cell r="K391">
            <v>0</v>
          </cell>
          <cell r="O391">
            <v>0</v>
          </cell>
          <cell r="T391" t="str">
            <v>000000000007955</v>
          </cell>
        </row>
        <row r="392">
          <cell r="C392" t="str">
            <v>LED-A888</v>
          </cell>
          <cell r="G392" t="str">
            <v/>
          </cell>
          <cell r="K392">
            <v>0</v>
          </cell>
          <cell r="L392" t="str">
            <v>旧品加工</v>
          </cell>
          <cell r="O392">
            <v>0</v>
          </cell>
          <cell r="T392" t="str">
            <v>000000000007955</v>
          </cell>
        </row>
        <row r="393">
          <cell r="C393">
            <v>0</v>
          </cell>
          <cell r="G393" t="str">
            <v/>
          </cell>
          <cell r="K393">
            <v>0</v>
          </cell>
          <cell r="L393" t="str">
            <v>持出端材</v>
          </cell>
          <cell r="T393" t="str">
            <v>000000000007955</v>
          </cell>
        </row>
        <row r="394">
          <cell r="G394" t="str">
            <v/>
          </cell>
          <cell r="K394">
            <v>0</v>
          </cell>
          <cell r="L394" t="str">
            <v>α端材</v>
          </cell>
          <cell r="M394">
            <v>0</v>
          </cell>
          <cell r="P394">
            <v>0</v>
          </cell>
          <cell r="T394" t="str">
            <v>000000000007955</v>
          </cell>
        </row>
        <row r="395">
          <cell r="C395" t="str">
            <v>8FL281304 5010　L=888</v>
          </cell>
          <cell r="I395">
            <v>0</v>
          </cell>
          <cell r="J395">
            <v>0</v>
          </cell>
          <cell r="K395">
            <v>0</v>
          </cell>
          <cell r="O395">
            <v>0</v>
          </cell>
          <cell r="T395" t="str">
            <v>000000000008361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000000000008361</v>
          </cell>
        </row>
        <row r="397">
          <cell r="C397">
            <v>400</v>
          </cell>
          <cell r="G397" t="str">
            <v/>
          </cell>
          <cell r="K397">
            <v>0</v>
          </cell>
          <cell r="O397">
            <v>0</v>
          </cell>
          <cell r="T397" t="str">
            <v>000000000008361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000000000008361</v>
          </cell>
        </row>
        <row r="399">
          <cell r="C399">
            <v>2</v>
          </cell>
          <cell r="G399" t="str">
            <v/>
          </cell>
          <cell r="K399">
            <v>0</v>
          </cell>
          <cell r="O399">
            <v>0</v>
          </cell>
          <cell r="T399" t="str">
            <v>000000000008361</v>
          </cell>
        </row>
        <row r="400">
          <cell r="C400" t="str">
            <v>LED-A888</v>
          </cell>
          <cell r="G400" t="str">
            <v/>
          </cell>
          <cell r="K400">
            <v>0</v>
          </cell>
          <cell r="L400" t="str">
            <v>旧品加工</v>
          </cell>
          <cell r="O400">
            <v>0</v>
          </cell>
          <cell r="T400" t="str">
            <v>000000000008361</v>
          </cell>
        </row>
        <row r="401">
          <cell r="C401">
            <v>0</v>
          </cell>
          <cell r="G401" t="str">
            <v/>
          </cell>
          <cell r="K401">
            <v>0</v>
          </cell>
          <cell r="L401" t="str">
            <v>持出端材</v>
          </cell>
          <cell r="T401" t="str">
            <v>000000000008361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M402">
            <v>0</v>
          </cell>
          <cell r="P402">
            <v>0</v>
          </cell>
          <cell r="T402" t="str">
            <v>000000000008361</v>
          </cell>
        </row>
        <row r="403">
          <cell r="C403" t="str">
            <v>8FL281304 8310　L=748</v>
          </cell>
          <cell r="I403">
            <v>0</v>
          </cell>
          <cell r="J403">
            <v>0</v>
          </cell>
          <cell r="K403">
            <v>0</v>
          </cell>
          <cell r="O403">
            <v>0</v>
          </cell>
          <cell r="T403" t="str">
            <v>000000000008360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000000000008360</v>
          </cell>
        </row>
        <row r="405">
          <cell r="C405">
            <v>200</v>
          </cell>
          <cell r="G405" t="str">
            <v/>
          </cell>
          <cell r="K405">
            <v>0</v>
          </cell>
          <cell r="O405">
            <v>0</v>
          </cell>
          <cell r="T405" t="str">
            <v>000000000008360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000000000008360</v>
          </cell>
        </row>
        <row r="407">
          <cell r="C407">
            <v>2</v>
          </cell>
          <cell r="G407" t="str">
            <v/>
          </cell>
          <cell r="K407">
            <v>0</v>
          </cell>
          <cell r="O407">
            <v>0</v>
          </cell>
          <cell r="T407" t="str">
            <v>000000000008360</v>
          </cell>
        </row>
        <row r="408">
          <cell r="C408" t="str">
            <v>LED-A888</v>
          </cell>
          <cell r="G408" t="str">
            <v/>
          </cell>
          <cell r="K408">
            <v>0</v>
          </cell>
          <cell r="L408" t="str">
            <v>旧品加工</v>
          </cell>
          <cell r="O408">
            <v>0</v>
          </cell>
          <cell r="T408" t="str">
            <v>000000000008360</v>
          </cell>
        </row>
        <row r="409">
          <cell r="C409">
            <v>0</v>
          </cell>
          <cell r="G409" t="str">
            <v/>
          </cell>
          <cell r="K409">
            <v>0</v>
          </cell>
          <cell r="L409" t="str">
            <v>持出端材</v>
          </cell>
          <cell r="T409" t="str">
            <v>000000000008360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M410">
            <v>0</v>
          </cell>
          <cell r="P410">
            <v>0</v>
          </cell>
          <cell r="T410" t="str">
            <v>000000000008360</v>
          </cell>
        </row>
        <row r="411">
          <cell r="C411" t="str">
            <v>8FL281304 4910　L=592</v>
          </cell>
          <cell r="I411">
            <v>0</v>
          </cell>
          <cell r="J411">
            <v>0</v>
          </cell>
          <cell r="K411">
            <v>0</v>
          </cell>
          <cell r="O411">
            <v>0</v>
          </cell>
          <cell r="T411" t="str">
            <v>000000000008357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000000000008357</v>
          </cell>
        </row>
        <row r="413">
          <cell r="C413">
            <v>200</v>
          </cell>
          <cell r="G413" t="str">
            <v/>
          </cell>
          <cell r="K413">
            <v>0</v>
          </cell>
          <cell r="O413">
            <v>0</v>
          </cell>
          <cell r="T413" t="str">
            <v>000000000008357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000000000008357</v>
          </cell>
        </row>
        <row r="415">
          <cell r="C415">
            <v>3</v>
          </cell>
          <cell r="G415" t="str">
            <v/>
          </cell>
          <cell r="K415">
            <v>0</v>
          </cell>
          <cell r="O415">
            <v>0</v>
          </cell>
          <cell r="T415" t="str">
            <v>000000000008357</v>
          </cell>
        </row>
        <row r="416">
          <cell r="C416" t="str">
            <v>LED-A592</v>
          </cell>
          <cell r="G416" t="str">
            <v/>
          </cell>
          <cell r="K416">
            <v>0</v>
          </cell>
          <cell r="L416" t="str">
            <v>旧品加工</v>
          </cell>
          <cell r="O416">
            <v>0</v>
          </cell>
          <cell r="T416" t="str">
            <v>000000000008357</v>
          </cell>
        </row>
        <row r="417">
          <cell r="C417">
            <v>0</v>
          </cell>
          <cell r="G417" t="str">
            <v/>
          </cell>
          <cell r="K417">
            <v>0</v>
          </cell>
          <cell r="L417" t="str">
            <v>持出端材</v>
          </cell>
          <cell r="T417" t="str">
            <v>000000000008357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M418">
            <v>0</v>
          </cell>
          <cell r="P418">
            <v>0</v>
          </cell>
          <cell r="T418" t="str">
            <v>000000000008357</v>
          </cell>
        </row>
        <row r="419">
          <cell r="C419" t="str">
            <v>8FL281304 4810　L=297</v>
          </cell>
          <cell r="I419">
            <v>0</v>
          </cell>
          <cell r="J419">
            <v>0</v>
          </cell>
          <cell r="K419">
            <v>0</v>
          </cell>
          <cell r="O419">
            <v>0</v>
          </cell>
          <cell r="T419" t="str">
            <v>000000000008354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000000000008354</v>
          </cell>
        </row>
        <row r="421">
          <cell r="C421">
            <v>300</v>
          </cell>
          <cell r="G421" t="str">
            <v/>
          </cell>
          <cell r="K421">
            <v>0</v>
          </cell>
          <cell r="O421">
            <v>0</v>
          </cell>
          <cell r="T421" t="str">
            <v>000000000008354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000000000008354</v>
          </cell>
        </row>
        <row r="423">
          <cell r="C423">
            <v>6</v>
          </cell>
          <cell r="G423" t="str">
            <v/>
          </cell>
          <cell r="K423">
            <v>0</v>
          </cell>
          <cell r="O423">
            <v>0</v>
          </cell>
          <cell r="T423" t="str">
            <v>000000000008354</v>
          </cell>
        </row>
        <row r="424">
          <cell r="C424" t="str">
            <v>LED-A300</v>
          </cell>
          <cell r="G424" t="str">
            <v/>
          </cell>
          <cell r="K424">
            <v>0</v>
          </cell>
          <cell r="L424" t="str">
            <v>旧品加工</v>
          </cell>
          <cell r="O424">
            <v>0</v>
          </cell>
          <cell r="T424" t="str">
            <v>000000000008354</v>
          </cell>
        </row>
        <row r="425">
          <cell r="C425">
            <v>0</v>
          </cell>
          <cell r="G425" t="str">
            <v/>
          </cell>
          <cell r="K425">
            <v>0</v>
          </cell>
          <cell r="L425" t="str">
            <v>持出端材</v>
          </cell>
          <cell r="T425" t="str">
            <v>000000000008354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M426">
            <v>0</v>
          </cell>
          <cell r="P426">
            <v>0</v>
          </cell>
          <cell r="T426" t="str">
            <v>000000000008354</v>
          </cell>
        </row>
        <row r="427">
          <cell r="C427" t="str">
            <v>8FL281304 6110　L=1478</v>
          </cell>
          <cell r="I427">
            <v>0</v>
          </cell>
          <cell r="J427">
            <v>0</v>
          </cell>
          <cell r="K427">
            <v>0</v>
          </cell>
          <cell r="O427">
            <v>0</v>
          </cell>
          <cell r="T427" t="str">
            <v>000000000008364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000000000008364</v>
          </cell>
        </row>
        <row r="429">
          <cell r="C429">
            <v>400</v>
          </cell>
          <cell r="G429" t="str">
            <v/>
          </cell>
          <cell r="K429">
            <v>0</v>
          </cell>
          <cell r="O429">
            <v>0</v>
          </cell>
          <cell r="T429" t="str">
            <v>000000000008364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000000000008364</v>
          </cell>
        </row>
        <row r="431">
          <cell r="C431">
            <v>1</v>
          </cell>
          <cell r="G431" t="str">
            <v/>
          </cell>
          <cell r="K431">
            <v>0</v>
          </cell>
          <cell r="O431">
            <v>0</v>
          </cell>
          <cell r="T431" t="str">
            <v>000000000008364</v>
          </cell>
        </row>
        <row r="432">
          <cell r="C432" t="str">
            <v>LED-A1478</v>
          </cell>
          <cell r="G432" t="str">
            <v/>
          </cell>
          <cell r="K432">
            <v>0</v>
          </cell>
          <cell r="L432" t="str">
            <v>旧品加工</v>
          </cell>
          <cell r="O432">
            <v>0</v>
          </cell>
          <cell r="T432" t="str">
            <v>000000000008364</v>
          </cell>
        </row>
        <row r="433">
          <cell r="C433">
            <v>0</v>
          </cell>
          <cell r="G433" t="str">
            <v/>
          </cell>
          <cell r="K433">
            <v>0</v>
          </cell>
          <cell r="L433" t="str">
            <v>持出端材</v>
          </cell>
          <cell r="T433" t="str">
            <v>000000000008364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M434">
            <v>0</v>
          </cell>
          <cell r="P434">
            <v>0</v>
          </cell>
          <cell r="T434" t="str">
            <v>000000000008364</v>
          </cell>
        </row>
        <row r="435">
          <cell r="C435" t="str">
            <v>8FL281304 5010　L=888</v>
          </cell>
          <cell r="I435">
            <v>0</v>
          </cell>
          <cell r="J435">
            <v>0</v>
          </cell>
          <cell r="K435">
            <v>0</v>
          </cell>
          <cell r="O435">
            <v>0</v>
          </cell>
          <cell r="T435" t="str">
            <v>000000000008362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000000000008362</v>
          </cell>
        </row>
        <row r="437">
          <cell r="C437">
            <v>800</v>
          </cell>
          <cell r="G437" t="str">
            <v/>
          </cell>
          <cell r="K437">
            <v>0</v>
          </cell>
          <cell r="O437">
            <v>0</v>
          </cell>
          <cell r="T437" t="str">
            <v>000000000008362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000000000008362</v>
          </cell>
        </row>
        <row r="439">
          <cell r="C439">
            <v>2</v>
          </cell>
          <cell r="G439" t="str">
            <v/>
          </cell>
          <cell r="K439">
            <v>0</v>
          </cell>
          <cell r="O439">
            <v>0</v>
          </cell>
          <cell r="T439" t="str">
            <v>000000000008362</v>
          </cell>
        </row>
        <row r="440">
          <cell r="C440" t="str">
            <v>LED-A888</v>
          </cell>
          <cell r="G440" t="str">
            <v/>
          </cell>
          <cell r="K440">
            <v>0</v>
          </cell>
          <cell r="L440" t="str">
            <v>旧品加工</v>
          </cell>
          <cell r="O440">
            <v>0</v>
          </cell>
          <cell r="T440" t="str">
            <v>000000000008362</v>
          </cell>
        </row>
        <row r="441">
          <cell r="C441">
            <v>0</v>
          </cell>
          <cell r="G441" t="str">
            <v/>
          </cell>
          <cell r="K441">
            <v>0</v>
          </cell>
          <cell r="L441" t="str">
            <v>持出端材</v>
          </cell>
          <cell r="T441" t="str">
            <v>000000000008362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M442">
            <v>0</v>
          </cell>
          <cell r="P442">
            <v>0</v>
          </cell>
          <cell r="T442" t="str">
            <v>000000000008362</v>
          </cell>
        </row>
        <row r="443">
          <cell r="C443" t="str">
            <v>8FL281304 4910　L=592</v>
          </cell>
          <cell r="I443">
            <v>0</v>
          </cell>
          <cell r="J443">
            <v>0</v>
          </cell>
          <cell r="K443">
            <v>0</v>
          </cell>
          <cell r="O443">
            <v>0</v>
          </cell>
          <cell r="T443" t="str">
            <v>000000000008358</v>
          </cell>
        </row>
        <row r="444">
          <cell r="G444" t="str">
            <v/>
          </cell>
          <cell r="I444" t="str">
            <v/>
          </cell>
          <cell r="K444">
            <v>0</v>
          </cell>
          <cell r="O444">
            <v>0</v>
          </cell>
          <cell r="T444" t="str">
            <v>000000000008358</v>
          </cell>
        </row>
        <row r="445">
          <cell r="C445">
            <v>200</v>
          </cell>
          <cell r="G445" t="str">
            <v/>
          </cell>
          <cell r="K445">
            <v>0</v>
          </cell>
          <cell r="O445">
            <v>0</v>
          </cell>
          <cell r="T445" t="str">
            <v>000000000008358</v>
          </cell>
        </row>
        <row r="446">
          <cell r="G446" t="str">
            <v/>
          </cell>
          <cell r="K446">
            <v>0</v>
          </cell>
          <cell r="O446">
            <v>0</v>
          </cell>
          <cell r="T446" t="str">
            <v>000000000008358</v>
          </cell>
        </row>
        <row r="447">
          <cell r="C447">
            <v>3</v>
          </cell>
          <cell r="G447" t="str">
            <v/>
          </cell>
          <cell r="K447">
            <v>0</v>
          </cell>
          <cell r="O447">
            <v>0</v>
          </cell>
          <cell r="T447" t="str">
            <v>000000000008358</v>
          </cell>
        </row>
        <row r="448">
          <cell r="C448" t="str">
            <v>LED-A592</v>
          </cell>
          <cell r="G448" t="str">
            <v/>
          </cell>
          <cell r="K448">
            <v>0</v>
          </cell>
          <cell r="L448" t="str">
            <v>旧品加工</v>
          </cell>
          <cell r="O448">
            <v>0</v>
          </cell>
          <cell r="T448" t="str">
            <v>000000000008358</v>
          </cell>
        </row>
        <row r="449">
          <cell r="C449">
            <v>0</v>
          </cell>
          <cell r="G449" t="str">
            <v/>
          </cell>
          <cell r="K449">
            <v>0</v>
          </cell>
          <cell r="L449" t="str">
            <v>持出端材</v>
          </cell>
          <cell r="T449" t="str">
            <v>000000000008358</v>
          </cell>
        </row>
        <row r="450">
          <cell r="G450" t="str">
            <v/>
          </cell>
          <cell r="K450">
            <v>0</v>
          </cell>
          <cell r="L450" t="str">
            <v>α端材</v>
          </cell>
          <cell r="M450">
            <v>0</v>
          </cell>
          <cell r="P450">
            <v>0</v>
          </cell>
          <cell r="T450" t="str">
            <v>000000000008358</v>
          </cell>
        </row>
        <row r="451">
          <cell r="C451" t="str">
            <v>8FL281304 4910　L=592</v>
          </cell>
          <cell r="I451">
            <v>0</v>
          </cell>
          <cell r="J451">
            <v>0</v>
          </cell>
          <cell r="K451">
            <v>0</v>
          </cell>
          <cell r="O451">
            <v>0</v>
          </cell>
          <cell r="T451" t="str">
            <v>000000000008359</v>
          </cell>
        </row>
        <row r="452">
          <cell r="G452" t="str">
            <v/>
          </cell>
          <cell r="I452" t="str">
            <v/>
          </cell>
          <cell r="K452">
            <v>0</v>
          </cell>
          <cell r="O452">
            <v>0</v>
          </cell>
          <cell r="T452" t="str">
            <v>000000000008359</v>
          </cell>
        </row>
        <row r="453">
          <cell r="C453">
            <v>200</v>
          </cell>
          <cell r="G453" t="str">
            <v/>
          </cell>
          <cell r="K453">
            <v>0</v>
          </cell>
          <cell r="O453">
            <v>0</v>
          </cell>
          <cell r="T453" t="str">
            <v>000000000008359</v>
          </cell>
        </row>
        <row r="454">
          <cell r="G454" t="str">
            <v/>
          </cell>
          <cell r="K454">
            <v>0</v>
          </cell>
          <cell r="O454">
            <v>0</v>
          </cell>
          <cell r="T454" t="str">
            <v>000000000008359</v>
          </cell>
        </row>
        <row r="455">
          <cell r="C455">
            <v>3</v>
          </cell>
          <cell r="G455" t="str">
            <v/>
          </cell>
          <cell r="K455">
            <v>0</v>
          </cell>
          <cell r="O455">
            <v>0</v>
          </cell>
          <cell r="T455" t="str">
            <v>000000000008359</v>
          </cell>
        </row>
        <row r="456">
          <cell r="C456" t="str">
            <v>LED-A592</v>
          </cell>
          <cell r="G456" t="str">
            <v/>
          </cell>
          <cell r="K456">
            <v>0</v>
          </cell>
          <cell r="L456" t="str">
            <v>旧品加工</v>
          </cell>
          <cell r="O456">
            <v>0</v>
          </cell>
          <cell r="T456" t="str">
            <v>000000000008359</v>
          </cell>
        </row>
        <row r="457">
          <cell r="C457">
            <v>0</v>
          </cell>
          <cell r="G457" t="str">
            <v/>
          </cell>
          <cell r="K457">
            <v>0</v>
          </cell>
          <cell r="L457" t="str">
            <v>持出端材</v>
          </cell>
          <cell r="T457" t="str">
            <v>000000000008359</v>
          </cell>
        </row>
        <row r="458">
          <cell r="G458" t="str">
            <v/>
          </cell>
          <cell r="K458">
            <v>0</v>
          </cell>
          <cell r="L458" t="str">
            <v>α端材</v>
          </cell>
          <cell r="M458">
            <v>0</v>
          </cell>
          <cell r="P458">
            <v>0</v>
          </cell>
          <cell r="T458" t="str">
            <v>000000000008359</v>
          </cell>
        </row>
        <row r="459">
          <cell r="C459" t="str">
            <v>8FL281304 4810　L=297</v>
          </cell>
          <cell r="I459">
            <v>0</v>
          </cell>
          <cell r="J459">
            <v>0</v>
          </cell>
          <cell r="K459">
            <v>0</v>
          </cell>
          <cell r="O459">
            <v>0</v>
          </cell>
          <cell r="T459" t="str">
            <v>000000000008356</v>
          </cell>
        </row>
        <row r="460">
          <cell r="G460" t="str">
            <v/>
          </cell>
          <cell r="I460" t="str">
            <v/>
          </cell>
          <cell r="K460">
            <v>0</v>
          </cell>
          <cell r="O460">
            <v>0</v>
          </cell>
          <cell r="T460" t="str">
            <v>000000000008356</v>
          </cell>
        </row>
        <row r="461">
          <cell r="C461">
            <v>300</v>
          </cell>
          <cell r="G461" t="str">
            <v/>
          </cell>
          <cell r="K461">
            <v>0</v>
          </cell>
          <cell r="O461">
            <v>0</v>
          </cell>
          <cell r="T461" t="str">
            <v>000000000008356</v>
          </cell>
        </row>
        <row r="462">
          <cell r="G462" t="str">
            <v/>
          </cell>
          <cell r="K462">
            <v>0</v>
          </cell>
          <cell r="O462">
            <v>0</v>
          </cell>
          <cell r="T462" t="str">
            <v>000000000008356</v>
          </cell>
        </row>
        <row r="463">
          <cell r="C463">
            <v>6</v>
          </cell>
          <cell r="G463" t="str">
            <v/>
          </cell>
          <cell r="K463">
            <v>0</v>
          </cell>
          <cell r="O463">
            <v>0</v>
          </cell>
          <cell r="T463" t="str">
            <v>000000000008356</v>
          </cell>
        </row>
        <row r="464">
          <cell r="C464" t="str">
            <v>LED-A300</v>
          </cell>
          <cell r="G464" t="str">
            <v/>
          </cell>
          <cell r="K464">
            <v>0</v>
          </cell>
          <cell r="L464" t="str">
            <v>旧品加工</v>
          </cell>
          <cell r="O464">
            <v>0</v>
          </cell>
          <cell r="T464" t="str">
            <v>000000000008356</v>
          </cell>
        </row>
        <row r="465">
          <cell r="C465">
            <v>0</v>
          </cell>
          <cell r="G465" t="str">
            <v/>
          </cell>
          <cell r="K465">
            <v>0</v>
          </cell>
          <cell r="L465" t="str">
            <v>持出端材</v>
          </cell>
          <cell r="T465" t="str">
            <v>000000000008356</v>
          </cell>
        </row>
        <row r="466">
          <cell r="G466" t="str">
            <v/>
          </cell>
          <cell r="K466">
            <v>0</v>
          </cell>
          <cell r="L466" t="str">
            <v>α端材</v>
          </cell>
          <cell r="M466">
            <v>0</v>
          </cell>
          <cell r="P466">
            <v>0</v>
          </cell>
          <cell r="T466" t="str">
            <v>000000000008356</v>
          </cell>
        </row>
        <row r="467">
          <cell r="C467" t="str">
            <v>8FL281304 4810　L=297</v>
          </cell>
          <cell r="I467">
            <v>0</v>
          </cell>
          <cell r="J467">
            <v>0</v>
          </cell>
          <cell r="K467">
            <v>0</v>
          </cell>
          <cell r="O467">
            <v>0</v>
          </cell>
          <cell r="T467" t="str">
            <v>000000000008355</v>
          </cell>
        </row>
        <row r="468">
          <cell r="G468" t="str">
            <v/>
          </cell>
          <cell r="I468" t="str">
            <v/>
          </cell>
          <cell r="K468">
            <v>0</v>
          </cell>
          <cell r="O468">
            <v>0</v>
          </cell>
          <cell r="T468" t="str">
            <v>000000000008355</v>
          </cell>
        </row>
        <row r="469">
          <cell r="C469">
            <v>200</v>
          </cell>
          <cell r="G469" t="str">
            <v/>
          </cell>
          <cell r="K469">
            <v>0</v>
          </cell>
          <cell r="O469">
            <v>0</v>
          </cell>
          <cell r="T469" t="str">
            <v>000000000008355</v>
          </cell>
        </row>
        <row r="470">
          <cell r="G470" t="str">
            <v/>
          </cell>
          <cell r="K470">
            <v>0</v>
          </cell>
          <cell r="O470">
            <v>0</v>
          </cell>
          <cell r="T470" t="str">
            <v>000000000008355</v>
          </cell>
        </row>
        <row r="471">
          <cell r="C471">
            <v>6</v>
          </cell>
          <cell r="G471" t="str">
            <v/>
          </cell>
          <cell r="K471">
            <v>0</v>
          </cell>
          <cell r="O471">
            <v>0</v>
          </cell>
          <cell r="T471" t="str">
            <v>000000000008355</v>
          </cell>
        </row>
        <row r="472">
          <cell r="C472" t="str">
            <v>LED-A300</v>
          </cell>
          <cell r="G472" t="str">
            <v/>
          </cell>
          <cell r="K472">
            <v>0</v>
          </cell>
          <cell r="L472" t="str">
            <v>旧品加工</v>
          </cell>
          <cell r="O472">
            <v>0</v>
          </cell>
          <cell r="T472" t="str">
            <v>000000000008355</v>
          </cell>
        </row>
        <row r="473">
          <cell r="C473">
            <v>0</v>
          </cell>
          <cell r="G473" t="str">
            <v/>
          </cell>
          <cell r="K473">
            <v>0</v>
          </cell>
          <cell r="L473" t="str">
            <v>持出端材</v>
          </cell>
          <cell r="T473" t="str">
            <v>000000000008355</v>
          </cell>
        </row>
        <row r="474">
          <cell r="G474" t="str">
            <v/>
          </cell>
          <cell r="K474">
            <v>0</v>
          </cell>
          <cell r="L474" t="str">
            <v>α端材</v>
          </cell>
          <cell r="M474">
            <v>0</v>
          </cell>
          <cell r="P474">
            <v>0</v>
          </cell>
          <cell r="T474" t="str">
            <v>000000000008355</v>
          </cell>
        </row>
        <row r="475">
          <cell r="C475" t="str">
            <v>8FL281304 5010　L=888</v>
          </cell>
          <cell r="I475">
            <v>0</v>
          </cell>
          <cell r="J475">
            <v>0</v>
          </cell>
          <cell r="K475">
            <v>0</v>
          </cell>
          <cell r="O475">
            <v>0</v>
          </cell>
          <cell r="T475" t="str">
            <v>000000000008363</v>
          </cell>
        </row>
        <row r="476">
          <cell r="G476" t="str">
            <v/>
          </cell>
          <cell r="I476" t="str">
            <v/>
          </cell>
          <cell r="K476">
            <v>0</v>
          </cell>
          <cell r="O476">
            <v>0</v>
          </cell>
          <cell r="T476" t="str">
            <v>000000000008363</v>
          </cell>
        </row>
        <row r="477">
          <cell r="C477">
            <v>2000</v>
          </cell>
          <cell r="G477" t="str">
            <v/>
          </cell>
          <cell r="K477">
            <v>0</v>
          </cell>
          <cell r="O477">
            <v>0</v>
          </cell>
          <cell r="T477" t="str">
            <v>000000000008363</v>
          </cell>
        </row>
        <row r="478">
          <cell r="G478" t="str">
            <v/>
          </cell>
          <cell r="K478">
            <v>0</v>
          </cell>
          <cell r="O478">
            <v>0</v>
          </cell>
          <cell r="T478" t="str">
            <v>000000000008363</v>
          </cell>
        </row>
        <row r="479">
          <cell r="C479">
            <v>2</v>
          </cell>
          <cell r="G479" t="str">
            <v/>
          </cell>
          <cell r="K479">
            <v>0</v>
          </cell>
          <cell r="O479">
            <v>0</v>
          </cell>
          <cell r="T479" t="str">
            <v>000000000008363</v>
          </cell>
        </row>
        <row r="480">
          <cell r="C480" t="str">
            <v>LED-A888</v>
          </cell>
          <cell r="G480" t="str">
            <v/>
          </cell>
          <cell r="K480">
            <v>0</v>
          </cell>
          <cell r="L480" t="str">
            <v>旧品加工</v>
          </cell>
          <cell r="O480">
            <v>0</v>
          </cell>
          <cell r="T480" t="str">
            <v>000000000008363</v>
          </cell>
        </row>
        <row r="481">
          <cell r="C481">
            <v>0</v>
          </cell>
          <cell r="G481" t="str">
            <v/>
          </cell>
          <cell r="K481">
            <v>0</v>
          </cell>
          <cell r="L481" t="str">
            <v>持出端材</v>
          </cell>
          <cell r="T481" t="str">
            <v>000000000008363</v>
          </cell>
        </row>
        <row r="482">
          <cell r="G482" t="str">
            <v/>
          </cell>
          <cell r="K482">
            <v>0</v>
          </cell>
          <cell r="L482" t="str">
            <v>α端材</v>
          </cell>
          <cell r="M482">
            <v>0</v>
          </cell>
          <cell r="P482">
            <v>0</v>
          </cell>
          <cell r="T482" t="str">
            <v>000000000008363</v>
          </cell>
        </row>
        <row r="483">
          <cell r="C483" t="str">
            <v>8FL281304 5010　L=888</v>
          </cell>
          <cell r="I483">
            <v>0</v>
          </cell>
          <cell r="J483">
            <v>0</v>
          </cell>
          <cell r="K483">
            <v>0</v>
          </cell>
          <cell r="O483">
            <v>0</v>
          </cell>
          <cell r="T483" t="str">
            <v>000000000008363</v>
          </cell>
        </row>
        <row r="484">
          <cell r="G484" t="str">
            <v/>
          </cell>
          <cell r="I484" t="str">
            <v/>
          </cell>
          <cell r="K484">
            <v>0</v>
          </cell>
          <cell r="O484">
            <v>0</v>
          </cell>
          <cell r="T484" t="str">
            <v>000000000008363</v>
          </cell>
        </row>
        <row r="485">
          <cell r="C485">
            <v>2000</v>
          </cell>
          <cell r="G485" t="str">
            <v/>
          </cell>
          <cell r="K485">
            <v>0</v>
          </cell>
          <cell r="O485">
            <v>0</v>
          </cell>
          <cell r="T485" t="str">
            <v>000000000008363</v>
          </cell>
        </row>
        <row r="486">
          <cell r="G486" t="str">
            <v/>
          </cell>
          <cell r="K486">
            <v>0</v>
          </cell>
          <cell r="O486">
            <v>0</v>
          </cell>
          <cell r="T486" t="str">
            <v>000000000008363</v>
          </cell>
        </row>
        <row r="487">
          <cell r="C487">
            <v>2</v>
          </cell>
          <cell r="G487" t="str">
            <v/>
          </cell>
          <cell r="K487">
            <v>0</v>
          </cell>
          <cell r="O487">
            <v>0</v>
          </cell>
          <cell r="T487" t="str">
            <v>000000000008363</v>
          </cell>
        </row>
        <row r="488">
          <cell r="C488" t="str">
            <v>LED-A888</v>
          </cell>
          <cell r="G488" t="str">
            <v/>
          </cell>
          <cell r="K488">
            <v>0</v>
          </cell>
          <cell r="L488" t="str">
            <v>旧品加工</v>
          </cell>
          <cell r="O488">
            <v>0</v>
          </cell>
          <cell r="T488" t="str">
            <v>000000000008363</v>
          </cell>
        </row>
        <row r="489">
          <cell r="C489">
            <v>0</v>
          </cell>
          <cell r="G489" t="str">
            <v/>
          </cell>
          <cell r="K489">
            <v>0</v>
          </cell>
          <cell r="L489" t="str">
            <v>持出端材</v>
          </cell>
          <cell r="T489" t="str">
            <v>000000000008363</v>
          </cell>
        </row>
        <row r="490">
          <cell r="G490" t="str">
            <v/>
          </cell>
          <cell r="K490">
            <v>0</v>
          </cell>
          <cell r="L490" t="str">
            <v>α端材</v>
          </cell>
          <cell r="M490">
            <v>0</v>
          </cell>
          <cell r="P490">
            <v>0</v>
          </cell>
          <cell r="T490" t="str">
            <v>000000000008363</v>
          </cell>
        </row>
      </sheetData>
      <sheetData sheetId="4"/>
      <sheetData sheetId="5"/>
      <sheetData sheetId="6"/>
      <sheetData sheetId="7"/>
      <sheetData sheetId="8"/>
      <sheetData sheetId="9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A23" workbookViewId="0">
      <selection activeCell="A38" sqref="A38:XFD56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16" t="s">
        <v>0</v>
      </c>
      <c r="C1" s="91"/>
      <c r="D1" s="91"/>
      <c r="E1" s="11"/>
      <c r="F1" s="11"/>
      <c r="G1" s="11"/>
      <c r="H1" s="11"/>
      <c r="I1" s="11"/>
      <c r="J1" s="11"/>
    </row>
    <row r="2" spans="1:10" ht="14.25" customHeight="1" thickTop="1">
      <c r="A2" s="12"/>
      <c r="B2" s="91"/>
      <c r="C2" s="91"/>
      <c r="D2" s="91"/>
      <c r="E2" s="12"/>
      <c r="F2" s="12"/>
      <c r="G2" s="12"/>
      <c r="H2" s="12"/>
      <c r="I2" s="12"/>
      <c r="J2" s="12"/>
    </row>
    <row r="3" spans="1:10" ht="14.25" customHeight="1">
      <c r="A3" s="100" t="s">
        <v>1</v>
      </c>
      <c r="B3" s="100" t="s">
        <v>2</v>
      </c>
      <c r="C3" s="100" t="s">
        <v>3</v>
      </c>
      <c r="D3" s="122">
        <v>1996</v>
      </c>
      <c r="E3" s="100" t="s">
        <v>4</v>
      </c>
      <c r="F3" s="125" t="s">
        <v>5</v>
      </c>
      <c r="G3" s="91"/>
      <c r="H3" s="94"/>
      <c r="I3" s="13" t="s">
        <v>6</v>
      </c>
      <c r="J3" s="13" t="s">
        <v>7</v>
      </c>
    </row>
    <row r="4" spans="1:10" ht="14.25" customHeight="1">
      <c r="A4" s="91"/>
      <c r="B4" s="91"/>
      <c r="C4" s="91"/>
      <c r="D4" s="91"/>
      <c r="E4" s="91"/>
      <c r="F4" s="91"/>
      <c r="G4" s="91"/>
      <c r="H4" s="94"/>
      <c r="I4" s="105"/>
      <c r="J4" s="105"/>
    </row>
    <row r="5" spans="1:10" ht="17.45" customHeight="1">
      <c r="A5" s="90" t="s">
        <v>8</v>
      </c>
      <c r="B5" s="90" t="s">
        <v>9</v>
      </c>
      <c r="E5" s="90" t="s">
        <v>10</v>
      </c>
      <c r="F5" s="97" t="s">
        <v>11</v>
      </c>
      <c r="G5" s="91"/>
      <c r="H5" s="94"/>
      <c r="I5" s="106"/>
      <c r="J5" s="106"/>
    </row>
    <row r="6" spans="1:10" ht="17.45" customHeight="1">
      <c r="A6" s="91"/>
      <c r="B6" s="91"/>
      <c r="E6" s="91"/>
      <c r="F6" s="91"/>
      <c r="G6" s="91"/>
      <c r="H6" s="94"/>
      <c r="I6" s="14"/>
      <c r="J6" s="14"/>
    </row>
    <row r="7" spans="1:10" ht="17.45" customHeight="1">
      <c r="A7" s="90" t="s">
        <v>12</v>
      </c>
      <c r="B7" s="90" t="s">
        <v>13</v>
      </c>
      <c r="E7" s="2" t="s">
        <v>14</v>
      </c>
      <c r="F7" s="115" t="s">
        <v>15</v>
      </c>
      <c r="G7" s="91"/>
      <c r="H7" s="21"/>
    </row>
    <row r="8" spans="1:10" ht="17.45" customHeight="1">
      <c r="A8" s="91"/>
      <c r="B8" s="91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45950</v>
      </c>
      <c r="E9" s="2" t="s">
        <v>19</v>
      </c>
      <c r="F9" s="137">
        <v>42</v>
      </c>
      <c r="G9" s="91"/>
      <c r="H9" s="21"/>
    </row>
    <row r="10" spans="1:10" ht="17.45" customHeight="1">
      <c r="A10" s="2" t="s">
        <v>20</v>
      </c>
      <c r="B10" s="4">
        <v>45950</v>
      </c>
      <c r="E10" s="2" t="s">
        <v>21</v>
      </c>
      <c r="F10" s="21">
        <v>7</v>
      </c>
      <c r="G10" s="108" t="s">
        <v>22</v>
      </c>
      <c r="H10" s="119">
        <v>294</v>
      </c>
      <c r="I10" s="120"/>
      <c r="J10" s="121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09"/>
      <c r="H11" s="109"/>
      <c r="I11" s="95"/>
      <c r="J11" s="96"/>
    </row>
    <row r="12" spans="1:10" ht="13.5" customHeight="1">
      <c r="A12" s="107" t="s">
        <v>25</v>
      </c>
      <c r="B12" s="91"/>
      <c r="C12" s="91"/>
      <c r="D12" s="20"/>
      <c r="F12" s="3"/>
      <c r="G12" s="117" t="s">
        <v>26</v>
      </c>
      <c r="H12" s="136" t="s">
        <v>27</v>
      </c>
      <c r="I12" s="93" t="s">
        <v>28</v>
      </c>
      <c r="J12" s="94"/>
    </row>
    <row r="13" spans="1:10" ht="13.5" customHeight="1">
      <c r="A13" s="91"/>
      <c r="B13" s="91"/>
      <c r="C13" s="91"/>
      <c r="D13" s="20"/>
      <c r="F13" s="3"/>
      <c r="G13" s="118"/>
      <c r="H13" s="118"/>
      <c r="I13" s="95"/>
      <c r="J13" s="96"/>
    </row>
    <row r="14" spans="1:10" ht="13.5" customHeight="1">
      <c r="A14" s="1" t="s">
        <v>29</v>
      </c>
    </row>
    <row r="15" spans="1:10" ht="63" customHeight="1" thickBot="1">
      <c r="A15" s="123"/>
      <c r="B15" s="124"/>
      <c r="C15" s="124"/>
      <c r="D15" s="124"/>
      <c r="E15" s="124"/>
      <c r="F15" s="124"/>
      <c r="G15" s="124"/>
      <c r="H15" s="124"/>
      <c r="I15" s="124"/>
      <c r="J15" s="124"/>
    </row>
    <row r="16" spans="1:10" ht="18.75">
      <c r="A16" s="23" t="s">
        <v>30</v>
      </c>
      <c r="B16" s="16" t="s">
        <v>31</v>
      </c>
      <c r="C16" s="112" t="s">
        <v>32</v>
      </c>
      <c r="D16" s="113"/>
      <c r="E16" s="16" t="s">
        <v>33</v>
      </c>
      <c r="F16" s="112" t="s">
        <v>34</v>
      </c>
      <c r="G16" s="113"/>
      <c r="H16" s="113"/>
      <c r="I16" s="114" t="s">
        <v>35</v>
      </c>
      <c r="J16" s="113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92" t="s">
        <v>37</v>
      </c>
      <c r="D18" s="89"/>
      <c r="E18" s="24" t="s">
        <v>38</v>
      </c>
      <c r="F18" s="92" t="s">
        <v>39</v>
      </c>
      <c r="G18" s="89"/>
      <c r="H18" s="89"/>
      <c r="I18" s="104"/>
      <c r="J18" s="89"/>
    </row>
    <row r="19" spans="1:10" s="7" customFormat="1" ht="16.5" customHeight="1">
      <c r="A19" s="22">
        <v>1</v>
      </c>
      <c r="B19" s="25" t="s">
        <v>36</v>
      </c>
      <c r="C19" s="92" t="s">
        <v>37</v>
      </c>
      <c r="D19" s="89"/>
      <c r="E19" s="24" t="s">
        <v>40</v>
      </c>
      <c r="F19" s="92" t="s">
        <v>41</v>
      </c>
      <c r="G19" s="89"/>
      <c r="H19" s="89"/>
      <c r="I19" s="104"/>
      <c r="J19" s="89"/>
    </row>
    <row r="20" spans="1:10" s="7" customFormat="1" ht="16.5" customHeight="1">
      <c r="A20" s="22"/>
      <c r="B20" s="25"/>
      <c r="C20" s="92"/>
      <c r="D20" s="89"/>
      <c r="E20" s="24"/>
      <c r="F20" s="92"/>
      <c r="G20" s="89"/>
      <c r="H20" s="89"/>
      <c r="I20" s="104"/>
      <c r="J20" s="89"/>
    </row>
    <row r="21" spans="1:10" s="7" customFormat="1" ht="16.5" customHeight="1">
      <c r="A21" s="22"/>
      <c r="B21" s="25"/>
      <c r="C21" s="92"/>
      <c r="D21" s="89"/>
      <c r="E21" s="24"/>
      <c r="F21" s="92"/>
      <c r="G21" s="89"/>
      <c r="H21" s="89"/>
      <c r="I21" s="104"/>
      <c r="J21" s="89"/>
    </row>
    <row r="22" spans="1:10" s="7" customFormat="1" ht="16.5" customHeight="1">
      <c r="A22" s="22"/>
      <c r="B22" s="25"/>
      <c r="C22" s="92"/>
      <c r="D22" s="89"/>
      <c r="E22" s="24"/>
      <c r="F22" s="92"/>
      <c r="G22" s="89"/>
      <c r="H22" s="89"/>
      <c r="I22" s="104"/>
      <c r="J22" s="89"/>
    </row>
    <row r="23" spans="1:10" s="7" customFormat="1" ht="16.5" customHeight="1">
      <c r="A23" s="22"/>
      <c r="B23" s="25"/>
      <c r="C23" s="92"/>
      <c r="D23" s="89"/>
      <c r="E23" s="24"/>
      <c r="F23" s="92"/>
      <c r="G23" s="89"/>
      <c r="H23" s="89"/>
      <c r="I23" s="104"/>
      <c r="J23" s="89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01" t="s">
        <v>42</v>
      </c>
      <c r="B25" s="102"/>
      <c r="C25" s="101" t="s">
        <v>43</v>
      </c>
      <c r="D25" s="102"/>
      <c r="E25" s="102"/>
      <c r="F25" s="17" t="s">
        <v>44</v>
      </c>
      <c r="G25" s="101" t="s">
        <v>45</v>
      </c>
      <c r="H25" s="102"/>
      <c r="I25" s="101" t="s">
        <v>46</v>
      </c>
      <c r="J25" s="102"/>
    </row>
    <row r="26" spans="1:10" ht="14.25" customHeight="1">
      <c r="A26" s="8"/>
      <c r="B26" s="18"/>
      <c r="C26" s="103" t="s">
        <v>47</v>
      </c>
      <c r="D26" s="95"/>
      <c r="E26" s="18"/>
      <c r="F26" s="103" t="s">
        <v>29</v>
      </c>
      <c r="G26" s="95"/>
      <c r="H26" s="95"/>
      <c r="I26" s="95"/>
      <c r="J26" s="95"/>
    </row>
    <row r="27" spans="1:10">
      <c r="A27" s="9"/>
      <c r="C27" s="7"/>
      <c r="D27" s="7"/>
      <c r="E27" s="7"/>
    </row>
    <row r="28" spans="1:10" s="5" customFormat="1" ht="14.25" customHeight="1">
      <c r="A28" s="92" t="s">
        <v>48</v>
      </c>
      <c r="B28" s="99"/>
      <c r="C28" s="92" t="s">
        <v>49</v>
      </c>
      <c r="D28" s="99"/>
      <c r="E28" s="99"/>
      <c r="F28" s="26" t="s">
        <v>50</v>
      </c>
      <c r="G28" s="98">
        <v>294</v>
      </c>
      <c r="H28" s="99"/>
      <c r="I28" s="98">
        <v>7</v>
      </c>
      <c r="J28" s="99"/>
    </row>
    <row r="29" spans="1:10" s="7" customFormat="1" ht="24.95" customHeight="1">
      <c r="A29" s="88" t="s">
        <v>51</v>
      </c>
      <c r="B29" s="89"/>
      <c r="C29" s="92" t="s">
        <v>11</v>
      </c>
      <c r="D29" s="89"/>
      <c r="E29" s="89"/>
      <c r="F29" s="92"/>
      <c r="G29" s="89"/>
      <c r="H29" s="89"/>
      <c r="I29" s="89"/>
      <c r="J29" s="89"/>
    </row>
    <row r="30" spans="1:10" s="5" customFormat="1" ht="14.25" customHeight="1">
      <c r="A30" s="92" t="s">
        <v>52</v>
      </c>
      <c r="B30" s="99"/>
      <c r="C30" s="92" t="s">
        <v>53</v>
      </c>
      <c r="D30" s="99"/>
      <c r="E30" s="99"/>
      <c r="F30" s="26" t="s">
        <v>54</v>
      </c>
      <c r="G30" s="98">
        <v>7.056</v>
      </c>
      <c r="H30" s="99"/>
      <c r="I30" s="98">
        <v>0.16800000000000001</v>
      </c>
      <c r="J30" s="99"/>
    </row>
    <row r="31" spans="1:10" s="7" customFormat="1" ht="24.95" customHeight="1">
      <c r="A31" s="88" t="s">
        <v>55</v>
      </c>
      <c r="B31" s="89"/>
      <c r="C31" s="92"/>
      <c r="D31" s="89"/>
      <c r="E31" s="89"/>
      <c r="F31" s="92"/>
      <c r="G31" s="89"/>
      <c r="H31" s="89"/>
      <c r="I31" s="89"/>
      <c r="J31" s="89"/>
    </row>
    <row r="32" spans="1:10" s="5" customFormat="1" ht="14.25" customHeight="1">
      <c r="A32" s="92" t="s">
        <v>56</v>
      </c>
      <c r="B32" s="99"/>
      <c r="C32" s="92" t="s">
        <v>57</v>
      </c>
      <c r="D32" s="99"/>
      <c r="E32" s="99"/>
      <c r="F32" s="26"/>
      <c r="G32" s="98">
        <v>0.29399999999999998</v>
      </c>
      <c r="H32" s="99"/>
      <c r="I32" s="98">
        <v>7.0000000000000001E-3</v>
      </c>
      <c r="J32" s="99"/>
    </row>
    <row r="33" spans="1:14" s="7" customFormat="1" ht="24.95" customHeight="1">
      <c r="A33" s="88" t="s">
        <v>58</v>
      </c>
      <c r="B33" s="89"/>
      <c r="C33" s="92" t="s">
        <v>59</v>
      </c>
      <c r="D33" s="89"/>
      <c r="E33" s="89"/>
      <c r="F33" s="92"/>
      <c r="G33" s="89"/>
      <c r="H33" s="89"/>
      <c r="I33" s="89"/>
      <c r="J33" s="89"/>
    </row>
    <row r="34" spans="1:14" s="5" customFormat="1" ht="14.25" customHeight="1">
      <c r="A34" s="92"/>
      <c r="B34" s="99"/>
      <c r="C34" s="92"/>
      <c r="D34" s="99"/>
      <c r="E34" s="99"/>
      <c r="F34" s="26"/>
      <c r="G34" s="98"/>
      <c r="H34" s="99"/>
      <c r="I34" s="98"/>
      <c r="J34" s="99"/>
    </row>
    <row r="35" spans="1:14" s="7" customFormat="1" ht="24.95" customHeight="1">
      <c r="A35" s="88"/>
      <c r="B35" s="89"/>
      <c r="C35" s="92"/>
      <c r="D35" s="89"/>
      <c r="E35" s="89"/>
      <c r="F35" s="92"/>
      <c r="G35" s="89"/>
      <c r="H35" s="89"/>
      <c r="I35" s="89"/>
      <c r="J35" s="89"/>
    </row>
    <row r="36" spans="1:14" s="5" customFormat="1" ht="14.25" customHeight="1">
      <c r="A36" s="92"/>
      <c r="B36" s="99"/>
      <c r="C36" s="92"/>
      <c r="D36" s="99"/>
      <c r="E36" s="99"/>
      <c r="F36" s="26"/>
      <c r="G36" s="98"/>
      <c r="H36" s="99"/>
      <c r="I36" s="98"/>
      <c r="J36" s="99"/>
    </row>
    <row r="37" spans="1:14" s="7" customFormat="1" ht="24.95" customHeight="1" thickBot="1">
      <c r="A37" s="88"/>
      <c r="B37" s="89"/>
      <c r="C37" s="92"/>
      <c r="D37" s="89"/>
      <c r="E37" s="89"/>
      <c r="F37" s="92"/>
      <c r="G37" s="89"/>
      <c r="H37" s="89"/>
      <c r="I37" s="89"/>
      <c r="J37" s="89"/>
    </row>
    <row r="38" spans="1:14" s="5" customFormat="1" ht="18" customHeight="1">
      <c r="A38" s="110" t="s">
        <v>60</v>
      </c>
      <c r="B38" s="111"/>
      <c r="C38" s="111"/>
      <c r="D38" s="111"/>
      <c r="E38" s="126" t="s">
        <v>61</v>
      </c>
      <c r="F38" s="127"/>
      <c r="G38" s="27" t="s">
        <v>62</v>
      </c>
      <c r="H38" s="128" t="s">
        <v>63</v>
      </c>
      <c r="I38" s="129"/>
      <c r="J38" s="28" t="s">
        <v>64</v>
      </c>
    </row>
    <row r="39" spans="1:14" s="7" customFormat="1" ht="18" customHeight="1">
      <c r="A39" s="130" t="str">
        <f>_xlfn.XLOOKUP(B3,[1]VFDB2!A:A,[1]VFDB2!B:B)</f>
        <v>採光ルーバーパネルB　L=1996</v>
      </c>
      <c r="B39" s="131"/>
      <c r="C39" s="131"/>
      <c r="D39" s="131"/>
      <c r="E39" s="134" t="str" cm="1">
        <f t="array" ref="E39">IFERROR(IF(ISBLANK(INDEX(_xlfn._xlws.FILTER([1]加工記録２!$C$3:$C$999991, [1]加工記録２!$T$3:$T$999991=B5), 6)), "", INDEX(_xlfn._xlws.FILTER([1]加工記録２!$C$3:$C$999991, [1]加工記録２!$T$3:$T$999991=B5), 6)),"")</f>
        <v>上-1</v>
      </c>
      <c r="F39" s="135"/>
      <c r="G39" s="138" cm="1">
        <f t="array" ref="G39">IFERROR(IF(ISBLANK(INDEX(_xlfn._xlws.FILTER([1]加工記録２!$C$3:$C$999991, [1]加工記録２!$T$3:$T$999991=B5), 7)), " ", INDEX(_xlfn._xlws.FILTER([1]加工記録２!$C$3:$C$999991, [1]加工記録２!$T$3:$T$999991=B5), 7))," ")</f>
        <v>6</v>
      </c>
      <c r="H39" s="29" t="s">
        <v>65</v>
      </c>
      <c r="I39" s="30" cm="1">
        <f t="array" ref="I39:J39">IFERROR(IF(ISBLANK(INDEX(_xlfn._xlws.FILTER([1]加工記録２!$O$3:$P$999991, [1]加工記録２!$T$3:$T$999991=B5), 1)), "", INDEX(_xlfn._xlws.FILTER([1]加工記録２!$O$3:$P$999991, [1]加工記録２!$T$3:$T$999991=B5), 1)),"")</f>
        <v>45944</v>
      </c>
      <c r="J39" s="31">
        <v>3</v>
      </c>
    </row>
    <row r="40" spans="1:14" s="5" customFormat="1" ht="18" customHeight="1">
      <c r="A40" s="132"/>
      <c r="B40" s="133"/>
      <c r="C40" s="133"/>
      <c r="D40" s="133"/>
      <c r="E40" s="134"/>
      <c r="F40" s="135"/>
      <c r="G40" s="138"/>
      <c r="H40" s="29" t="s">
        <v>66</v>
      </c>
      <c r="I40" s="32" cm="1">
        <f t="array" ref="I40:J40">IFERROR(IF(ISBLANK(INDEX(_xlfn._xlws.FILTER([1]加工記録２!$O$3:$P$999991, [1]加工記録２!$T$3:$T$999991=B5), 2)), "", INDEX(_xlfn._xlws.FILTER([1]加工記録２!$O$3:$P$999991, [1]加工記録２!$T$3:$T$999991=B5), 2)),"")</f>
        <v>252</v>
      </c>
      <c r="J40" s="33">
        <v>22</v>
      </c>
      <c r="K40" s="34"/>
    </row>
    <row r="41" spans="1:14" s="7" customFormat="1" ht="18" customHeight="1">
      <c r="A41" s="139" t="s">
        <v>67</v>
      </c>
      <c r="B41" s="152" t="str">
        <f>_xlfn.XLOOKUP(B3,[1]VFDB2!A:A,[1]VFDB2!J:J)</f>
        <v>〇</v>
      </c>
      <c r="C41" s="154" t="s">
        <v>68</v>
      </c>
      <c r="D41" s="156">
        <f>_xlfn.XLOOKUP(B3,[1]VFDB2!A:A,[1]VFDB2!P:P)</f>
        <v>1</v>
      </c>
      <c r="E41" s="134">
        <f>_xlfn.XLOOKUP(B3,[1]VFDB2!A:A,[1]VFDB2!V:V)</f>
        <v>0</v>
      </c>
      <c r="F41" s="135"/>
      <c r="G41" s="147"/>
      <c r="H41" s="35" t="s">
        <v>69</v>
      </c>
      <c r="I41" s="32" cm="1">
        <f t="array" ref="I41:J41">IFERROR(IF(ISBLANK(INDEX(_xlfn._xlws.FILTER([1]加工記録２!$O$3:$P$999991, [1]加工記録２!$T$3:$T$999991=B5), 3)), "", INDEX(_xlfn._xlws.FILTER([1]加工記録２!$O$3:$P$999991, [1]加工記録２!$T$3:$T$999991=B5), 3)),"")</f>
        <v>278</v>
      </c>
      <c r="J41" s="36">
        <v>1</v>
      </c>
      <c r="K41" s="37"/>
    </row>
    <row r="42" spans="1:14" s="5" customFormat="1" ht="18" customHeight="1">
      <c r="A42" s="151"/>
      <c r="B42" s="153"/>
      <c r="C42" s="155"/>
      <c r="D42" s="157"/>
      <c r="E42" s="134"/>
      <c r="F42" s="135"/>
      <c r="G42" s="147"/>
      <c r="H42" s="35" t="s">
        <v>70</v>
      </c>
      <c r="I42" s="32" cm="1">
        <f t="array" ref="I42:J42">IFERROR(IF(ISBLANK(INDEX(_xlfn._xlws.FILTER([1]加工記録２!$O$3:$P$999991, [1]加工記録２!$T$3:$T$999991=B5), 4)), "", INDEX(_xlfn._xlws.FILTER([1]加工記録２!$O$3:$P$999991, [1]加工記録２!$T$3:$T$999991=B5), 4)),"")</f>
        <v>26</v>
      </c>
      <c r="J42" s="38" t="str">
        <v/>
      </c>
      <c r="K42" s="34"/>
    </row>
    <row r="43" spans="1:14" s="7" customFormat="1" ht="18" customHeight="1">
      <c r="A43" s="158" t="s">
        <v>71</v>
      </c>
      <c r="B43" s="160">
        <f>D3</f>
        <v>1996</v>
      </c>
      <c r="C43" s="162" t="s">
        <v>72</v>
      </c>
      <c r="D43" s="145" t="str">
        <f>_xlfn.XLOOKUP(B3,[1]VFDB2!A:A,[1]VFDB2!L:L)</f>
        <v>+2</v>
      </c>
      <c r="E43" s="134" t="str">
        <f>_xlfn.XLOOKUP(B3,[1]VFDB2!A:A,[1]VFDB2!W:W)</f>
        <v>クラフト紙：1996型</v>
      </c>
      <c r="F43" s="135"/>
      <c r="G43" s="147"/>
      <c r="H43" s="35" t="s">
        <v>73</v>
      </c>
      <c r="I43" s="32" cm="1">
        <f t="array" ref="I43:J43">IFERROR(IF(ISBLANK(INDEX(_xlfn._xlws.FILTER([1]加工記録２!$O$3:$P$999991, [1]加工記録２!$T$3:$T$999991=B5), 5)), "", INDEX(_xlfn._xlws.FILTER([1]加工記録２!$O$3:$P$999991, [1]加工記録２!$T$3:$T$999991=B5), 5)),"")</f>
        <v>26</v>
      </c>
      <c r="J43" s="39" t="str">
        <v/>
      </c>
      <c r="K43" s="37"/>
    </row>
    <row r="44" spans="1:14" s="5" customFormat="1" ht="18" customHeight="1">
      <c r="A44" s="159"/>
      <c r="B44" s="161"/>
      <c r="C44" s="163"/>
      <c r="D44" s="164"/>
      <c r="E44" s="134"/>
      <c r="F44" s="135"/>
      <c r="G44" s="147"/>
      <c r="H44" s="35" t="s">
        <v>74</v>
      </c>
      <c r="I44" s="32" cm="1">
        <f t="array" ref="I44:J44">IFERROR(IF(ISBLANK(INDEX(_xlfn._xlws.FILTER([1]加工記録２!$O$3:$P$999991, [1]加工記録２!$T$3:$T$999991=B5), 6)), "", INDEX(_xlfn._xlws.FILTER([1]加工記録２!$O$3:$P$999991, [1]加工記録２!$T$3:$T$999991=B5), 6)),"")</f>
        <v>0</v>
      </c>
      <c r="J44" s="40" t="str">
        <v/>
      </c>
      <c r="K44" s="34"/>
    </row>
    <row r="45" spans="1:14" s="7" customFormat="1" ht="18" customHeight="1">
      <c r="A45" s="139" t="s">
        <v>75</v>
      </c>
      <c r="B45" s="141" t="str">
        <f>_xlfn.XLOOKUP(B3,[1]VFDB2!A:A,[1]VFDB2!AC:AC)</f>
        <v>換算表確認</v>
      </c>
      <c r="C45" s="143" t="s">
        <v>76</v>
      </c>
      <c r="D45" s="145">
        <f>_xlfn.XLOOKUP(B3,[1]VFDB2!A:A,[1]VFDB2!K:K)</f>
        <v>0</v>
      </c>
      <c r="E45" s="134" t="str">
        <f>_xlfn.XLOOKUP(B3,[1]VFDB2!A:A,[1]VFDB2!R:R)</f>
        <v>ラベル１枚　長手無　鉢巻２回</v>
      </c>
      <c r="F45" s="135"/>
      <c r="G45" s="147"/>
      <c r="H45" s="35" t="s">
        <v>77</v>
      </c>
      <c r="I45" s="32" t="str" cm="1">
        <f t="array" ref="I45:J45">IFERROR(IF(ISBLANK(INDEX(_xlfn._xlws.FILTER([1]加工記録２!$O$3:$P$999991, [1]加工記録２!$T$3:$T$999991=B5), 7)), "", INDEX(_xlfn._xlws.FILTER([1]加工記録２!$O$3:$P$999991, [1]加工記録２!$T$3:$T$999991=B5), 7)),"")</f>
        <v>M/C</v>
      </c>
      <c r="J45" s="41" t="str">
        <v/>
      </c>
      <c r="K45" s="37"/>
    </row>
    <row r="46" spans="1:14" s="5" customFormat="1" ht="18" customHeight="1" thickBot="1">
      <c r="A46" s="140"/>
      <c r="B46" s="142"/>
      <c r="C46" s="144"/>
      <c r="D46" s="146"/>
      <c r="E46" s="148"/>
      <c r="F46" s="149"/>
      <c r="G46" s="150"/>
      <c r="H46" s="42" t="s">
        <v>78</v>
      </c>
      <c r="I46" s="43" t="str" cm="1">
        <f t="array" ref="I46:J46">IFERROR(IF(ISBLANK(INDEX(_xlfn._xlws.FILTER([1]加工記録２!$O$3:$P$999991, [1]加工記録２!$T$3:$T$999991=B5), 8)), "", INDEX(_xlfn._xlws.FILTER([1]加工記録２!$O$3:$P$999991, [1]加工記録２!$T$3:$T$999991=B5), 8)),"")</f>
        <v>T</v>
      </c>
      <c r="J46" s="44">
        <v>26</v>
      </c>
    </row>
    <row r="47" spans="1:14" s="55" customFormat="1" ht="18.95" customHeight="1">
      <c r="A47" s="45" t="s">
        <v>79</v>
      </c>
      <c r="B47" s="46" t="s">
        <v>80</v>
      </c>
      <c r="C47" s="47" t="s">
        <v>81</v>
      </c>
      <c r="D47" s="47" t="s">
        <v>82</v>
      </c>
      <c r="E47" s="48" t="s">
        <v>83</v>
      </c>
      <c r="F47" s="49" t="s">
        <v>84</v>
      </c>
      <c r="G47" s="50" t="s">
        <v>85</v>
      </c>
      <c r="H47" s="51" t="s">
        <v>86</v>
      </c>
      <c r="I47" s="52" t="s">
        <v>87</v>
      </c>
      <c r="J47" s="53" t="s">
        <v>88</v>
      </c>
      <c r="K47" s="54"/>
      <c r="L47" s="54"/>
      <c r="M47" s="54"/>
      <c r="N47" s="54"/>
    </row>
    <row r="48" spans="1:14" s="66" customFormat="1" ht="18.95" customHeight="1">
      <c r="A48" s="56" t="str" cm="1">
        <f t="array" ref="A48:J48">IFERROR(IF(ISBLANK(INDEX(_xlfn._xlws.FILTER([1]加工記録２!$D$3:$M$999991, [1]加工記録２!$T$3:$T$999991=B5), 1)), "", INDEX(_xlfn._xlws.FILTER([1]加工記録２!$D$3:$M$999991, [1]加工記録２!$T$3:$T$999991=B5), 1)),"")</f>
        <v/>
      </c>
      <c r="B48" s="57" t="str">
        <v/>
      </c>
      <c r="C48" s="58" t="str">
        <v/>
      </c>
      <c r="D48" s="58" t="str">
        <v/>
      </c>
      <c r="E48" s="59" t="str">
        <v/>
      </c>
      <c r="F48" s="60">
        <v>0</v>
      </c>
      <c r="G48" s="61">
        <v>0</v>
      </c>
      <c r="H48" s="62">
        <v>0</v>
      </c>
      <c r="I48" s="63">
        <v>45944</v>
      </c>
      <c r="J48" s="64">
        <v>6</v>
      </c>
      <c r="K48" s="65"/>
      <c r="L48" s="65"/>
      <c r="M48" s="65"/>
      <c r="N48" s="65"/>
    </row>
    <row r="49" spans="1:14" s="66" customFormat="1" ht="18.95" customHeight="1">
      <c r="A49" s="67" cm="1">
        <f t="array" ref="A49:J49">IFERROR(IF(ISBLANK(INDEX(_xlfn._xlws.FILTER([1]加工記録２!$D$3:$M$999991, [1]加工記録２!$T$3:$T$999991=B5), 2)), "", INDEX(_xlfn._xlws.FILTER([1]加工記録２!$D$3:$M$999991, [1]加工記録２!$T$3:$T$999991=B5), 2)),"")</f>
        <v>45940</v>
      </c>
      <c r="B49" s="68" t="str">
        <v>25H29-03</v>
      </c>
      <c r="C49" s="68">
        <v>24</v>
      </c>
      <c r="D49" s="68">
        <v>1997.52</v>
      </c>
      <c r="E49" s="69">
        <v>1997.1</v>
      </c>
      <c r="F49" s="70" t="str">
        <v>25H29-03</v>
      </c>
      <c r="G49" s="71">
        <v>278</v>
      </c>
      <c r="H49" s="72">
        <v>278</v>
      </c>
      <c r="I49" s="63" t="str">
        <v/>
      </c>
      <c r="J49" s="64" t="str">
        <v/>
      </c>
      <c r="K49" s="65"/>
      <c r="L49" s="65"/>
      <c r="M49" s="65"/>
      <c r="N49" s="65"/>
    </row>
    <row r="50" spans="1:14" s="66" customFormat="1" ht="18.95" customHeight="1">
      <c r="A50" s="67" cm="1">
        <f t="array" ref="A50:J50">IFERROR(IF(ISBLANK(INDEX(_xlfn._xlws.FILTER([1]加工記録２!$D$3:$M$999991, [1]加工記録２!$T$3:$T$999991=B5), 3)), "", INDEX(_xlfn._xlws.FILTER([1]加工記録２!$D$3:$M$999991, [1]加工記録２!$T$3:$T$999991=B5), 3)),"")</f>
        <v>45940</v>
      </c>
      <c r="B50" s="68" t="str">
        <v>25H29-03</v>
      </c>
      <c r="C50" s="68">
        <v>24</v>
      </c>
      <c r="D50" s="68">
        <v>1997.52</v>
      </c>
      <c r="E50" s="69">
        <v>1997.1</v>
      </c>
      <c r="F50" s="70" t="str">
        <v/>
      </c>
      <c r="G50" s="71" t="str">
        <v/>
      </c>
      <c r="H50" s="72">
        <v>0</v>
      </c>
      <c r="I50" s="63" t="str">
        <v/>
      </c>
      <c r="J50" s="64" t="str">
        <v/>
      </c>
      <c r="K50" s="65"/>
      <c r="L50" s="65"/>
      <c r="M50" s="65"/>
      <c r="N50" s="65"/>
    </row>
    <row r="51" spans="1:14" s="66" customFormat="1" ht="18.95" customHeight="1">
      <c r="A51" s="67" cm="1">
        <f t="array" ref="A51:J51">IFERROR(IF(ISBLANK(INDEX(_xlfn._xlws.FILTER([1]加工記録２!$D$3:$M$999991, [1]加工記録２!$T$3:$T$999991=B5), 4)), "", INDEX(_xlfn._xlws.FILTER([1]加工記録２!$D$3:$M$999991, [1]加工記録２!$T$3:$T$999991=B5), 4)),"")</f>
        <v>45944</v>
      </c>
      <c r="B51" s="68" t="str">
        <v>25H29-03</v>
      </c>
      <c r="C51" s="68">
        <v>20</v>
      </c>
      <c r="D51" s="68">
        <v>1997</v>
      </c>
      <c r="E51" s="69">
        <v>1997.3</v>
      </c>
      <c r="F51" s="70" t="str">
        <v/>
      </c>
      <c r="G51" s="71" t="str">
        <v/>
      </c>
      <c r="H51" s="72">
        <v>0</v>
      </c>
      <c r="I51" s="63" t="str">
        <v/>
      </c>
      <c r="J51" s="64" t="str">
        <v/>
      </c>
      <c r="K51" s="65"/>
      <c r="L51" s="65"/>
      <c r="M51" s="65"/>
      <c r="N51" s="65"/>
    </row>
    <row r="52" spans="1:14" s="66" customFormat="1" ht="18.95" customHeight="1">
      <c r="A52" s="67" cm="1">
        <f t="array" ref="A52:J52">IFERROR(IF(ISBLANK(INDEX(_xlfn._xlws.FILTER([1]加工記録２!$D$3:$M$999991, [1]加工記録２!$T$3:$T$999991=B5), 5)), "", INDEX(_xlfn._xlws.FILTER([1]加工記録２!$D$3:$M$999991, [1]加工記録２!$T$3:$T$999991=B5), 5)),"")</f>
        <v>45944</v>
      </c>
      <c r="B52" s="68" t="str">
        <v>25H29-03</v>
      </c>
      <c r="C52" s="68">
        <v>22</v>
      </c>
      <c r="D52" s="68">
        <v>1997.26</v>
      </c>
      <c r="E52" s="69">
        <v>1997.4</v>
      </c>
      <c r="F52" s="70" t="str">
        <v/>
      </c>
      <c r="G52" s="71" t="str">
        <v/>
      </c>
      <c r="H52" s="72">
        <v>0</v>
      </c>
      <c r="I52" s="73" t="str">
        <v/>
      </c>
      <c r="J52" s="74" t="str">
        <v/>
      </c>
      <c r="K52" s="65"/>
      <c r="L52" s="65"/>
      <c r="M52" s="65"/>
      <c r="N52" s="65"/>
    </row>
    <row r="53" spans="1:14" s="66" customFormat="1" ht="18.95" customHeight="1">
      <c r="A53" s="67" t="str" cm="1">
        <f t="array" ref="A53:J53">IFERROR(IF(ISBLANK(INDEX(_xlfn._xlws.FILTER([1]加工記録２!$D$3:$M$999991, [1]加工記録２!$T$3:$T$999991=B5), 6)), "", INDEX(_xlfn._xlws.FILTER([1]加工記録２!$D$3:$M$999991, [1]加工記録２!$T$3:$T$999991=B5), 6)),"")</f>
        <v/>
      </c>
      <c r="B53" s="68" t="str">
        <v/>
      </c>
      <c r="C53" s="68" t="str">
        <v/>
      </c>
      <c r="D53" s="68" t="str">
        <v/>
      </c>
      <c r="E53" s="69" t="str">
        <v/>
      </c>
      <c r="F53" s="70" t="str">
        <v/>
      </c>
      <c r="G53" s="71" t="str">
        <v/>
      </c>
      <c r="H53" s="75">
        <v>0</v>
      </c>
      <c r="I53" s="76" t="str">
        <v>旧品加工</v>
      </c>
      <c r="J53" s="77" t="str">
        <v/>
      </c>
      <c r="K53" s="65"/>
      <c r="L53" s="65"/>
      <c r="M53" s="65"/>
      <c r="N53" s="65"/>
    </row>
    <row r="54" spans="1:14" s="66" customFormat="1" ht="18.95" customHeight="1">
      <c r="A54" s="67" t="str" cm="1">
        <f t="array" ref="A54:J54">IFERROR(IF(ISBLANK(INDEX(_xlfn._xlws.FILTER([1]加工記録２!$D$3:$M$999991, [1]加工記録２!$T$3:$T$999991=B5), 7)), "", INDEX(_xlfn._xlws.FILTER([1]加工記録２!$D$3:$M$999991, [1]加工記録２!$T$3:$T$999991=B5), 7)),"")</f>
        <v/>
      </c>
      <c r="B54" s="68" t="str">
        <v/>
      </c>
      <c r="C54" s="68" t="str">
        <v/>
      </c>
      <c r="D54" s="68" t="str">
        <v/>
      </c>
      <c r="E54" s="69" t="str">
        <v/>
      </c>
      <c r="F54" s="70" t="str">
        <v/>
      </c>
      <c r="G54" s="71" t="str">
        <v/>
      </c>
      <c r="H54" s="75">
        <v>0</v>
      </c>
      <c r="I54" s="78" t="str">
        <v>持出端材</v>
      </c>
      <c r="J54" s="79" t="str">
        <v/>
      </c>
      <c r="K54" s="65"/>
      <c r="L54" s="65"/>
      <c r="M54" s="65"/>
      <c r="N54" s="65"/>
    </row>
    <row r="55" spans="1:14" s="66" customFormat="1" ht="18.95" customHeight="1" thickBot="1">
      <c r="A55" s="80" t="str" cm="1">
        <f t="array" ref="A55:J55">IFERROR(IF(ISBLANK(INDEX(_xlfn._xlws.FILTER([1]加工記録２!$D$3:$M$999991, [1]加工記録２!$T$3:$T$999991=B5), 8)), "", INDEX(_xlfn._xlws.FILTER([1]加工記録２!$D$3:$M$999991, [1]加工記録２!$T$3:$T$999991=B5), 8)),"")</f>
        <v/>
      </c>
      <c r="B55" s="81" t="str">
        <v/>
      </c>
      <c r="C55" s="81" t="str">
        <v/>
      </c>
      <c r="D55" s="81" t="str">
        <v/>
      </c>
      <c r="E55" s="82" t="str">
        <v/>
      </c>
      <c r="F55" s="83" t="str">
        <v/>
      </c>
      <c r="G55" s="84" t="str">
        <v/>
      </c>
      <c r="H55" s="85">
        <v>0</v>
      </c>
      <c r="I55" s="86" t="str">
        <v>α端材</v>
      </c>
      <c r="J55" s="87">
        <v>0</v>
      </c>
      <c r="K55" s="65"/>
      <c r="L55" s="65"/>
      <c r="M55" s="65"/>
      <c r="N55" s="6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107">
    <mergeCell ref="A45:A46"/>
    <mergeCell ref="B45:B46"/>
    <mergeCell ref="C45:C46"/>
    <mergeCell ref="D45:D46"/>
    <mergeCell ref="E45:G46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  <mergeCell ref="A39:D40"/>
    <mergeCell ref="E39:F40"/>
    <mergeCell ref="H12:H13"/>
    <mergeCell ref="F9:G9"/>
    <mergeCell ref="C33:E33"/>
    <mergeCell ref="B7:B8"/>
    <mergeCell ref="C18:D18"/>
    <mergeCell ref="C35:E35"/>
    <mergeCell ref="A34:B34"/>
    <mergeCell ref="G34:H34"/>
    <mergeCell ref="A33:B33"/>
    <mergeCell ref="A36:B36"/>
    <mergeCell ref="C36:E36"/>
    <mergeCell ref="C37:E37"/>
    <mergeCell ref="A32:B32"/>
    <mergeCell ref="F37:J37"/>
    <mergeCell ref="F20:H20"/>
    <mergeCell ref="I34:J34"/>
    <mergeCell ref="C31:E31"/>
    <mergeCell ref="G39:G40"/>
    <mergeCell ref="I32:J32"/>
    <mergeCell ref="A37:B37"/>
    <mergeCell ref="B1:D2"/>
    <mergeCell ref="I20:J20"/>
    <mergeCell ref="G12:G13"/>
    <mergeCell ref="C19:D19"/>
    <mergeCell ref="A28:B28"/>
    <mergeCell ref="F21:H21"/>
    <mergeCell ref="C25:E25"/>
    <mergeCell ref="I30:J30"/>
    <mergeCell ref="A30:B30"/>
    <mergeCell ref="B3:B4"/>
    <mergeCell ref="H10:J11"/>
    <mergeCell ref="D3:D4"/>
    <mergeCell ref="A15:J15"/>
    <mergeCell ref="J4:J5"/>
    <mergeCell ref="F3:H4"/>
    <mergeCell ref="A38:D38"/>
    <mergeCell ref="C16:D16"/>
    <mergeCell ref="I16:J16"/>
    <mergeCell ref="I25:J25"/>
    <mergeCell ref="F33:J33"/>
    <mergeCell ref="I18:J18"/>
    <mergeCell ref="F7:G7"/>
    <mergeCell ref="F23:H23"/>
    <mergeCell ref="C20:D20"/>
    <mergeCell ref="C22:D22"/>
    <mergeCell ref="F26:J26"/>
    <mergeCell ref="I21:J21"/>
    <mergeCell ref="C28:E28"/>
    <mergeCell ref="C21:D21"/>
    <mergeCell ref="I23:J23"/>
    <mergeCell ref="C30:E30"/>
    <mergeCell ref="C23:D23"/>
    <mergeCell ref="F16:H16"/>
    <mergeCell ref="E38:F38"/>
    <mergeCell ref="H38:I38"/>
    <mergeCell ref="G36:H36"/>
    <mergeCell ref="I36:J36"/>
    <mergeCell ref="C26:D26"/>
    <mergeCell ref="A25:B25"/>
    <mergeCell ref="F31:J31"/>
    <mergeCell ref="C34:E34"/>
    <mergeCell ref="A35:B35"/>
    <mergeCell ref="A3:A4"/>
    <mergeCell ref="G28:H28"/>
    <mergeCell ref="I22:J22"/>
    <mergeCell ref="I28:J28"/>
    <mergeCell ref="A5:A6"/>
    <mergeCell ref="G30:H30"/>
    <mergeCell ref="I4:I5"/>
    <mergeCell ref="A12:C13"/>
    <mergeCell ref="B5:B6"/>
    <mergeCell ref="F19:H19"/>
    <mergeCell ref="A29:B29"/>
    <mergeCell ref="C29:E29"/>
    <mergeCell ref="F35:J35"/>
    <mergeCell ref="C32:E32"/>
    <mergeCell ref="I19:J19"/>
    <mergeCell ref="A7:A8"/>
    <mergeCell ref="G10:G11"/>
    <mergeCell ref="A31:B31"/>
    <mergeCell ref="E5:E6"/>
    <mergeCell ref="F29:J29"/>
    <mergeCell ref="I12:J13"/>
    <mergeCell ref="F5:H6"/>
    <mergeCell ref="G32:H32"/>
    <mergeCell ref="C3:C4"/>
    <mergeCell ref="G25:H25"/>
    <mergeCell ref="E3:E4"/>
    <mergeCell ref="F18:H18"/>
    <mergeCell ref="F22:H22"/>
  </mergeCells>
  <phoneticPr fontId="2"/>
  <conditionalFormatting sqref="D50:D55">
    <cfRule type="cellIs" dxfId="2" priority="3" operator="equal">
      <formula>$D49</formula>
    </cfRule>
  </conditionalFormatting>
  <conditionalFormatting sqref="J46">
    <cfRule type="cellIs" dxfId="1" priority="2" operator="equal">
      <formula>0</formula>
    </cfRule>
  </conditionalFormatting>
  <conditionalFormatting sqref="I39">
    <cfRule type="cellIs" dxfId="0" priority="1" operator="lessThan">
      <formula>45658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user</cp:lastModifiedBy>
  <cp:lastPrinted>2025-09-19T03:09:58Z</cp:lastPrinted>
  <dcterms:created xsi:type="dcterms:W3CDTF">2024-07-11T02:08:33Z</dcterms:created>
  <dcterms:modified xsi:type="dcterms:W3CDTF">2025-10-17T02:27:21Z</dcterms:modified>
</cp:coreProperties>
</file>