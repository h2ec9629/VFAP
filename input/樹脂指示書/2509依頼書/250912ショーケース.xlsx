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44EEB557-6568-4E60-812E-81C82E4036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83" i="1" l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I274" i="1" a="1"/>
  <c r="I274" i="1" s="1"/>
  <c r="I273" i="1" a="1"/>
  <c r="I273" i="1" s="1"/>
  <c r="E273" i="1"/>
  <c r="D273" i="1"/>
  <c r="B273" i="1"/>
  <c r="I272" i="1" a="1"/>
  <c r="I272" i="1" s="1"/>
  <c r="I271" i="1" a="1"/>
  <c r="I271" i="1" s="1"/>
  <c r="E271" i="1"/>
  <c r="D271" i="1"/>
  <c r="B271" i="1"/>
  <c r="I270" i="1" a="1"/>
  <c r="I270" i="1" s="1"/>
  <c r="I269" i="1" a="1"/>
  <c r="I269" i="1" s="1"/>
  <c r="E269" i="1"/>
  <c r="D269" i="1"/>
  <c r="B269" i="1"/>
  <c r="I268" i="1" a="1"/>
  <c r="I268" i="1" s="1"/>
  <c r="I267" i="1" a="1"/>
  <c r="I267" i="1" s="1"/>
  <c r="G267" i="1" a="1"/>
  <c r="G267" i="1" s="1"/>
  <c r="E267" i="1" a="1"/>
  <c r="E267" i="1" s="1"/>
  <c r="A267" i="1"/>
  <c r="A340" i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I331" i="1" a="1"/>
  <c r="I331" i="1" s="1"/>
  <c r="I330" i="1" a="1"/>
  <c r="I330" i="1" s="1"/>
  <c r="E330" i="1"/>
  <c r="D330" i="1"/>
  <c r="B330" i="1"/>
  <c r="I329" i="1" a="1"/>
  <c r="I329" i="1" s="1"/>
  <c r="I328" i="1" a="1"/>
  <c r="I328" i="1" s="1"/>
  <c r="E328" i="1"/>
  <c r="D328" i="1"/>
  <c r="B328" i="1"/>
  <c r="I327" i="1" a="1"/>
  <c r="I327" i="1" s="1"/>
  <c r="I326" i="1" a="1"/>
  <c r="I326" i="1" s="1"/>
  <c r="E326" i="1"/>
  <c r="D326" i="1"/>
  <c r="B326" i="1"/>
  <c r="I325" i="1" a="1"/>
  <c r="I325" i="1" s="1"/>
  <c r="I324" i="1" a="1"/>
  <c r="I324" i="1" s="1"/>
  <c r="G324" i="1" a="1"/>
  <c r="G324" i="1" s="1"/>
  <c r="E324" i="1" a="1"/>
  <c r="E324" i="1" s="1"/>
  <c r="A324" i="1"/>
  <c r="A454" i="1" a="1"/>
  <c r="A454" i="1" s="1"/>
  <c r="A453" i="1" a="1"/>
  <c r="A453" i="1" s="1"/>
  <c r="A452" i="1" a="1"/>
  <c r="A452" i="1" s="1"/>
  <c r="A451" i="1" a="1"/>
  <c r="A451" i="1" s="1"/>
  <c r="A450" i="1" a="1"/>
  <c r="A450" i="1" s="1"/>
  <c r="A449" i="1" a="1"/>
  <c r="A449" i="1" s="1"/>
  <c r="A448" i="1" a="1"/>
  <c r="A448" i="1" s="1"/>
  <c r="A447" i="1" a="1"/>
  <c r="A447" i="1" s="1"/>
  <c r="I445" i="1" a="1"/>
  <c r="I445" i="1" s="1"/>
  <c r="I444" i="1" a="1"/>
  <c r="I444" i="1" s="1"/>
  <c r="E444" i="1"/>
  <c r="D444" i="1"/>
  <c r="B444" i="1"/>
  <c r="I443" i="1" a="1"/>
  <c r="I443" i="1" s="1"/>
  <c r="I442" i="1" a="1"/>
  <c r="I442" i="1" s="1"/>
  <c r="E442" i="1"/>
  <c r="D442" i="1"/>
  <c r="B442" i="1"/>
  <c r="I441" i="1" a="1"/>
  <c r="I441" i="1" s="1"/>
  <c r="I440" i="1" a="1"/>
  <c r="I440" i="1" s="1"/>
  <c r="E440" i="1"/>
  <c r="D440" i="1"/>
  <c r="B440" i="1"/>
  <c r="I439" i="1" a="1"/>
  <c r="I439" i="1" s="1"/>
  <c r="I438" i="1" a="1"/>
  <c r="I438" i="1" s="1"/>
  <c r="G438" i="1" a="1"/>
  <c r="G438" i="1" s="1"/>
  <c r="E438" i="1" a="1"/>
  <c r="E438" i="1" s="1"/>
  <c r="A438" i="1"/>
  <c r="A397" i="1" a="1"/>
  <c r="A397" i="1" s="1"/>
  <c r="A396" i="1" a="1"/>
  <c r="A396" i="1" s="1"/>
  <c r="A395" i="1" a="1"/>
  <c r="A395" i="1" s="1"/>
  <c r="A394" i="1" a="1"/>
  <c r="A394" i="1" s="1"/>
  <c r="A393" i="1" a="1"/>
  <c r="A393" i="1" s="1"/>
  <c r="A392" i="1" a="1"/>
  <c r="A392" i="1" s="1"/>
  <c r="A391" i="1" a="1"/>
  <c r="A391" i="1" s="1"/>
  <c r="A390" i="1" a="1"/>
  <c r="A390" i="1" s="1"/>
  <c r="I388" i="1" a="1"/>
  <c r="I388" i="1" s="1"/>
  <c r="I387" i="1" a="1"/>
  <c r="I387" i="1" s="1"/>
  <c r="E387" i="1"/>
  <c r="D387" i="1"/>
  <c r="B387" i="1"/>
  <c r="I386" i="1" a="1"/>
  <c r="I386" i="1" s="1"/>
  <c r="I385" i="1" a="1"/>
  <c r="I385" i="1" s="1"/>
  <c r="E385" i="1"/>
  <c r="D385" i="1"/>
  <c r="B385" i="1"/>
  <c r="I384" i="1" a="1"/>
  <c r="I384" i="1" s="1"/>
  <c r="I383" i="1" a="1"/>
  <c r="I383" i="1" s="1"/>
  <c r="E383" i="1"/>
  <c r="D383" i="1"/>
  <c r="B383" i="1"/>
  <c r="I382" i="1" a="1"/>
  <c r="I382" i="1" s="1"/>
  <c r="I381" i="1" a="1"/>
  <c r="I381" i="1" s="1"/>
  <c r="G381" i="1" a="1"/>
  <c r="G381" i="1" s="1"/>
  <c r="E381" i="1" a="1"/>
  <c r="E381" i="1" s="1"/>
  <c r="A381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I217" i="1" a="1"/>
  <c r="I217" i="1" s="1"/>
  <c r="I216" i="1" a="1"/>
  <c r="I216" i="1" s="1"/>
  <c r="E216" i="1"/>
  <c r="D216" i="1"/>
  <c r="B216" i="1"/>
  <c r="I215" i="1" a="1"/>
  <c r="I215" i="1" s="1"/>
  <c r="I214" i="1" a="1"/>
  <c r="I214" i="1" s="1"/>
  <c r="E214" i="1"/>
  <c r="D214" i="1"/>
  <c r="B214" i="1"/>
  <c r="I213" i="1" a="1"/>
  <c r="I213" i="1" s="1"/>
  <c r="I212" i="1" a="1"/>
  <c r="I212" i="1" s="1"/>
  <c r="E212" i="1"/>
  <c r="D212" i="1"/>
  <c r="B212" i="1"/>
  <c r="I211" i="1" a="1"/>
  <c r="I211" i="1" s="1"/>
  <c r="I210" i="1" a="1"/>
  <c r="I210" i="1" s="1"/>
  <c r="G210" i="1" a="1"/>
  <c r="G210" i="1" s="1"/>
  <c r="E210" i="1" a="1"/>
  <c r="E210" i="1" s="1"/>
  <c r="A210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I153" i="1" s="1"/>
  <c r="G153" i="1" a="1"/>
  <c r="G153" i="1" s="1"/>
  <c r="E153" i="1" a="1"/>
  <c r="E153" i="1" s="1"/>
  <c r="A153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 a="1"/>
  <c r="E96" i="1" s="1"/>
  <c r="A96" i="1"/>
  <c r="I559" i="1" a="1"/>
  <c r="I559" i="1" s="1"/>
  <c r="I558" i="1" a="1"/>
  <c r="I558" i="1" s="1"/>
  <c r="E558" i="1"/>
  <c r="D558" i="1"/>
  <c r="B558" i="1"/>
  <c r="I557" i="1" a="1"/>
  <c r="I557" i="1" s="1"/>
  <c r="I556" i="1" a="1"/>
  <c r="I556" i="1" s="1"/>
  <c r="E556" i="1"/>
  <c r="D556" i="1"/>
  <c r="B556" i="1"/>
  <c r="I555" i="1" a="1"/>
  <c r="I555" i="1" s="1"/>
  <c r="I554" i="1" a="1"/>
  <c r="I554" i="1" s="1"/>
  <c r="E554" i="1"/>
  <c r="D554" i="1"/>
  <c r="B554" i="1"/>
  <c r="I553" i="1" a="1"/>
  <c r="I553" i="1" s="1"/>
  <c r="I552" i="1" a="1"/>
  <c r="I552" i="1" s="1"/>
  <c r="G552" i="1" a="1"/>
  <c r="G552" i="1" s="1"/>
  <c r="E552" i="1" a="1"/>
  <c r="E552" i="1" s="1"/>
  <c r="A552" i="1"/>
  <c r="A511" i="1" a="1"/>
  <c r="A511" i="1" s="1"/>
  <c r="A510" i="1" a="1"/>
  <c r="A510" i="1" s="1"/>
  <c r="A509" i="1" a="1"/>
  <c r="A509" i="1" s="1"/>
  <c r="A508" i="1" a="1"/>
  <c r="A508" i="1" s="1"/>
  <c r="A507" i="1" a="1"/>
  <c r="A507" i="1" s="1"/>
  <c r="A506" i="1" a="1"/>
  <c r="A506" i="1" s="1"/>
  <c r="A505" i="1" a="1"/>
  <c r="A505" i="1" s="1"/>
  <c r="A504" i="1" a="1"/>
  <c r="A504" i="1" s="1"/>
  <c r="I502" i="1" a="1"/>
  <c r="I502" i="1" s="1"/>
  <c r="I501" i="1" a="1"/>
  <c r="I501" i="1" s="1"/>
  <c r="E501" i="1"/>
  <c r="D501" i="1"/>
  <c r="B501" i="1"/>
  <c r="I500" i="1" a="1"/>
  <c r="I500" i="1" s="1"/>
  <c r="I499" i="1" a="1"/>
  <c r="I499" i="1" s="1"/>
  <c r="E499" i="1"/>
  <c r="D499" i="1"/>
  <c r="B499" i="1"/>
  <c r="I498" i="1" a="1"/>
  <c r="I498" i="1" s="1"/>
  <c r="I497" i="1" a="1"/>
  <c r="I497" i="1" s="1"/>
  <c r="E497" i="1"/>
  <c r="D497" i="1"/>
  <c r="B497" i="1"/>
  <c r="I496" i="1" a="1"/>
  <c r="I496" i="1" s="1"/>
  <c r="I495" i="1" a="1"/>
  <c r="I495" i="1" s="1"/>
  <c r="G495" i="1" a="1"/>
  <c r="G495" i="1" s="1"/>
  <c r="E495" i="1" a="1"/>
  <c r="E495" i="1" s="1"/>
  <c r="A495" i="1"/>
  <c r="A564" i="1" l="1" a="1"/>
  <c r="A564" i="1" s="1"/>
  <c r="A563" i="1" a="1"/>
  <c r="A563" i="1" s="1"/>
  <c r="A562" i="1" a="1"/>
  <c r="A562" i="1" s="1"/>
  <c r="A561" i="1" a="1"/>
  <c r="A561" i="1" s="1"/>
  <c r="A568" i="1" a="1"/>
  <c r="A568" i="1" s="1"/>
  <c r="A567" i="1" a="1"/>
  <c r="A567" i="1" s="1"/>
  <c r="A566" i="1" a="1"/>
  <c r="A566" i="1" s="1"/>
  <c r="A565" i="1" a="1"/>
  <c r="A56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<sst xmlns="http://schemas.openxmlformats.org/spreadsheetml/2006/main" count="970" uniqueCount="151">
  <si>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</si>
  <si>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</si>
  <si>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</si>
  <si>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</si>
  <si>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</si>
  <si>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</si>
  <si>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</si>
  <si>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</si>
  <si>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</si>
  <si>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000000000007281</t>
  </si>
  <si>
    <t>原料名</t>
  </si>
  <si>
    <t>(CASE 297MILK-W4)</t>
  </si>
  <si>
    <t>発注明細№</t>
  </si>
  <si>
    <t>000000000790230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</si>
  <si>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</si>
  <si>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</si>
  <si>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</si>
  <si>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</si>
  <si>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</si>
  <si>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</si>
  <si>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</si>
  <si>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</si>
  <si>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</si>
  <si>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</si>
  <si>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</si>
  <si>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</si>
  <si>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</si>
  <si>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</si>
  <si>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</si>
  <si>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</si>
  <si>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</si>
  <si>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</si>
  <si>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</si>
  <si>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</si>
  <si>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</si>
  <si>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</si>
  <si>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</si>
  <si>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</si>
  <si>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</si>
  <si>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</si>
  <si>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</si>
  <si>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</si>
  <si>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</si>
  <si>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</si>
  <si>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</si>
  <si>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</si>
  <si>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</si>
  <si>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</si>
  <si>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</si>
  <si>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</si>
  <si>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</si>
  <si>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J6DW0086</t>
  </si>
  <si>
    <t>LED-A300（旧LED-A297）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</si>
  <si>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</si>
  <si>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</si>
  <si>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</si>
  <si>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</si>
  <si>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</si>
  <si>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</si>
  <si>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</si>
  <si>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</si>
  <si>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</si>
  <si>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</si>
  <si>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</si>
  <si>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000000000007282</t>
  </si>
  <si>
    <t>000000000790231</t>
  </si>
  <si>
    <t>J1JAZZB10804440</t>
  </si>
  <si>
    <t>8FL2813048110</t>
  </si>
  <si>
    <t>000000000007283</t>
  </si>
  <si>
    <t>(CASE 444MILK-W4)</t>
  </si>
  <si>
    <t>000000000790232</t>
  </si>
  <si>
    <t>*J1JAZZB10804440*</t>
  </si>
  <si>
    <t>LED-A444</t>
  </si>
  <si>
    <t>*J6DW0087*</t>
  </si>
  <si>
    <t>L444×W275×H166</t>
  </si>
  <si>
    <t>J1JAZZB10805920</t>
  </si>
  <si>
    <t>8FL2813044910</t>
  </si>
  <si>
    <t>000000000007284</t>
  </si>
  <si>
    <t>(CASE 592MILK-W4)</t>
  </si>
  <si>
    <t>000000000790233</t>
  </si>
  <si>
    <t>*J1JAZZB10805920*</t>
  </si>
  <si>
    <t>LED-A592</t>
  </si>
  <si>
    <t>*J6DW0088*</t>
  </si>
  <si>
    <t>L592×W275×H166</t>
  </si>
  <si>
    <t>J1JAZZB10807480</t>
  </si>
  <si>
    <t>8FL2813048310</t>
  </si>
  <si>
    <t>000000000007285</t>
  </si>
  <si>
    <t>(CASE 748MILK-W4)</t>
  </si>
  <si>
    <t>000000000790234</t>
  </si>
  <si>
    <t>*J1JAZZB10807480*</t>
  </si>
  <si>
    <t>J6DW0089</t>
  </si>
  <si>
    <t>LED-A888</t>
  </si>
  <si>
    <t>*J6DW0089*</t>
  </si>
  <si>
    <t>L888×W275×H166</t>
  </si>
  <si>
    <t>J1JAZZB10808880</t>
  </si>
  <si>
    <t>8FL2813045010</t>
  </si>
  <si>
    <t>000000000007286</t>
  </si>
  <si>
    <t>(CASE 888MILK-W4)</t>
  </si>
  <si>
    <t>000000000790235</t>
  </si>
  <si>
    <t>*J1JAZZB10808880*</t>
  </si>
  <si>
    <t>J6XX0044</t>
  </si>
  <si>
    <t>*J6XX0044*</t>
  </si>
  <si>
    <t>400＊900</t>
  </si>
  <si>
    <t>000000000007287</t>
  </si>
  <si>
    <t>000000000790236</t>
  </si>
  <si>
    <t>000000000007288</t>
  </si>
  <si>
    <t>000000000790237</t>
  </si>
  <si>
    <t>000000000007289</t>
  </si>
  <si>
    <t>000000000790238</t>
  </si>
  <si>
    <t>J1JAZZB10814780</t>
  </si>
  <si>
    <t>8FL2813046110</t>
  </si>
  <si>
    <t>000000000007290</t>
  </si>
  <si>
    <t>(CASE 1478MILK-W4)</t>
  </si>
  <si>
    <t>000000000790239</t>
  </si>
  <si>
    <t>*J1JAZZB10814780*</t>
  </si>
  <si>
    <t>LED-A1478</t>
  </si>
  <si>
    <t>*J6DW0092*</t>
  </si>
  <si>
    <t>L1478×W275×H166</t>
  </si>
  <si>
    <t>J6DW0086</t>
    <phoneticPr fontId="2"/>
  </si>
  <si>
    <t>J6DW0087</t>
    <phoneticPr fontId="2"/>
  </si>
  <si>
    <t>J6DW0088</t>
    <phoneticPr fontId="2"/>
  </si>
  <si>
    <t>J6DW0092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</si>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</sst>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2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79" fontId="25" fillId="0" borderId="31" xfId="1" applyNumberFormat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2" fontId="15" fillId="0" borderId="24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4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4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177" fontId="12" fillId="0" borderId="0" xfId="1" applyNumberFormat="1" applyFont="1" applyAlignment="1">
      <alignment horizontal="left" vertical="center" shrinkToFit="1"/>
    </xf>
    <xf numFmtId="0" fontId="12" fillId="0" borderId="0" xfId="0" applyFont="1">
      <alignment vertical="center"/>
    </xf>
    <xf numFmtId="49" fontId="11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49" fontId="7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2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0" fontId="1" fillId="0" borderId="0" xfId="0" applyFont="1">
      <alignment vertical="center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</cellXfs>
  <cellStyles count="2">
    <cellStyle name="標準" xfId="0" builtinId="0"/>
    <cellStyle name="標準 2" xfId="1" xr:uid="{00000000-0005-0000-0000-000001000000}"/>
  </cellStyles>
  <dxfs count="3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133351</xdr:colOff>
      <xdr:row>3</xdr:row>
      <xdr:rowOff>38101</xdr:rowOff>
    </xdr:from>
    <xdr:to>
      <xdr:col>9</xdr:col>
      <xdr:colOff>590551</xdr:colOff>
      <xdr:row>5</xdr:row>
      <xdr:rowOff>95251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402803C-A5CE-2BCC-411D-45CBCD396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6" y="581026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60</xdr:row>
      <xdr:rowOff>104775</xdr:rowOff>
    </xdr:from>
    <xdr:to>
      <xdr:col>9</xdr:col>
      <xdr:colOff>609600</xdr:colOff>
      <xdr:row>62</xdr:row>
      <xdr:rowOff>161925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4F90582-8ED4-47E4-987F-8EFBAB8D2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138779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117</xdr:row>
      <xdr:rowOff>95250</xdr:rowOff>
    </xdr:from>
    <xdr:to>
      <xdr:col>9</xdr:col>
      <xdr:colOff>647700</xdr:colOff>
      <xdr:row>119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4DAF90F-BCA6-47C5-868D-1BC534670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5" y="270986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174</xdr:row>
      <xdr:rowOff>85725</xdr:rowOff>
    </xdr:from>
    <xdr:to>
      <xdr:col>9</xdr:col>
      <xdr:colOff>609600</xdr:colOff>
      <xdr:row>176</xdr:row>
      <xdr:rowOff>142875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37B5A60-8895-4647-AB47-239279443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403193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231</xdr:row>
      <xdr:rowOff>76200</xdr:rowOff>
    </xdr:from>
    <xdr:to>
      <xdr:col>9</xdr:col>
      <xdr:colOff>600075</xdr:colOff>
      <xdr:row>233</xdr:row>
      <xdr:rowOff>133350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91A7713-A29D-43C9-969F-9152A4249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535400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288</xdr:row>
      <xdr:rowOff>85725</xdr:rowOff>
    </xdr:from>
    <xdr:to>
      <xdr:col>9</xdr:col>
      <xdr:colOff>647700</xdr:colOff>
      <xdr:row>290</xdr:row>
      <xdr:rowOff>142875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EF3D24D-166F-4803-83F0-FFAE959DB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5" y="6677977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345</xdr:row>
      <xdr:rowOff>95250</xdr:rowOff>
    </xdr:from>
    <xdr:to>
      <xdr:col>9</xdr:col>
      <xdr:colOff>609600</xdr:colOff>
      <xdr:row>347</xdr:row>
      <xdr:rowOff>152400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2724E3A-4BA7-463C-AAAD-D87287F94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800195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402</xdr:row>
      <xdr:rowOff>85725</xdr:rowOff>
    </xdr:from>
    <xdr:to>
      <xdr:col>9</xdr:col>
      <xdr:colOff>590550</xdr:colOff>
      <xdr:row>404</xdr:row>
      <xdr:rowOff>142875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91902EC-C7E5-42BD-8EEA-FE8BA66B8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932402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459</xdr:row>
      <xdr:rowOff>85725</xdr:rowOff>
    </xdr:from>
    <xdr:to>
      <xdr:col>9</xdr:col>
      <xdr:colOff>619125</xdr:colOff>
      <xdr:row>461</xdr:row>
      <xdr:rowOff>142875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55F4DB7-A705-44CE-B8CA-94999DD01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1064704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516</xdr:row>
      <xdr:rowOff>95250</xdr:rowOff>
    </xdr:from>
    <xdr:to>
      <xdr:col>9</xdr:col>
      <xdr:colOff>628650</xdr:colOff>
      <xdr:row>518</xdr:row>
      <xdr:rowOff>152400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19FC339-0BC3-498A-880C-64A3BC596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1197102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516</xdr:row>
      <xdr:rowOff>66675</xdr:rowOff>
    </xdr:from>
    <xdr:to>
      <xdr:col>8</xdr:col>
      <xdr:colOff>590550</xdr:colOff>
      <xdr:row>518</xdr:row>
      <xdr:rowOff>133350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E3F2A9D2-A7EC-E214-02D3-9FA70ADC4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11968162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459</xdr:row>
      <xdr:rowOff>85725</xdr:rowOff>
    </xdr:from>
    <xdr:to>
      <xdr:col>8</xdr:col>
      <xdr:colOff>628650</xdr:colOff>
      <xdr:row>461</xdr:row>
      <xdr:rowOff>152400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AE04AEAF-4ED1-44C6-A9D6-7B198A896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10647045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402</xdr:row>
      <xdr:rowOff>66675</xdr:rowOff>
    </xdr:from>
    <xdr:to>
      <xdr:col>8</xdr:col>
      <xdr:colOff>600075</xdr:colOff>
      <xdr:row>404</xdr:row>
      <xdr:rowOff>133350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681FF66-89DF-4948-AD38-3BC2A2B91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9322117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345</xdr:row>
      <xdr:rowOff>76200</xdr:rowOff>
    </xdr:from>
    <xdr:to>
      <xdr:col>8</xdr:col>
      <xdr:colOff>619125</xdr:colOff>
      <xdr:row>347</xdr:row>
      <xdr:rowOff>142875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43043CE-C559-4757-9883-51C3B25DC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8000047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288</xdr:row>
      <xdr:rowOff>123825</xdr:rowOff>
    </xdr:from>
    <xdr:to>
      <xdr:col>8</xdr:col>
      <xdr:colOff>657225</xdr:colOff>
      <xdr:row>290</xdr:row>
      <xdr:rowOff>190500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3D164CD0-C29E-4B75-BE6B-88545F456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6681787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231</xdr:row>
      <xdr:rowOff>104775</xdr:rowOff>
    </xdr:from>
    <xdr:to>
      <xdr:col>8</xdr:col>
      <xdr:colOff>647700</xdr:colOff>
      <xdr:row>233</xdr:row>
      <xdr:rowOff>171450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17894595-9990-4F1C-8CB8-A91F3A945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53568600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174</xdr:row>
      <xdr:rowOff>66675</xdr:rowOff>
    </xdr:from>
    <xdr:to>
      <xdr:col>8</xdr:col>
      <xdr:colOff>609600</xdr:colOff>
      <xdr:row>176</xdr:row>
      <xdr:rowOff>133350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209D1E6F-7892-4C17-B7DF-E55756234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4030027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117</xdr:row>
      <xdr:rowOff>95250</xdr:rowOff>
    </xdr:from>
    <xdr:to>
      <xdr:col>8</xdr:col>
      <xdr:colOff>638175</xdr:colOff>
      <xdr:row>119</xdr:row>
      <xdr:rowOff>161925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FACB1061-F325-4CA4-AB81-0F171B061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2709862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60</xdr:row>
      <xdr:rowOff>104775</xdr:rowOff>
    </xdr:from>
    <xdr:to>
      <xdr:col>8</xdr:col>
      <xdr:colOff>657225</xdr:colOff>
      <xdr:row>62</xdr:row>
      <xdr:rowOff>171450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8C2BEFCF-B158-491F-89F6-0A10CAE6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1387792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3</xdr:row>
      <xdr:rowOff>85725</xdr:rowOff>
    </xdr:from>
    <xdr:to>
      <xdr:col>8</xdr:col>
      <xdr:colOff>628650</xdr:colOff>
      <xdr:row>5</xdr:row>
      <xdr:rowOff>152400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2C71AC59-0FCD-4676-921A-DFC09FA00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628650"/>
          <a:ext cx="466725" cy="466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0.xlsm" TargetMode="External"/><Relationship Id="rId1" Type="http://schemas.openxmlformats.org/officeDocument/2006/relationships/externalLinkPath" Target="/Users/user/Desktop/sgt25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依頼書保管"/>
      <sheetName val="8FL基材M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4810　L=297</v>
          </cell>
          <cell r="I3">
            <v>0</v>
          </cell>
          <cell r="J3">
            <v>0</v>
          </cell>
          <cell r="K3">
            <v>0</v>
          </cell>
          <cell r="L3">
            <v>45929</v>
          </cell>
          <cell r="M3">
            <v>3</v>
          </cell>
          <cell r="O3">
            <v>45929</v>
          </cell>
          <cell r="P3">
            <v>4</v>
          </cell>
          <cell r="T3" t="str">
            <v>000000000007053</v>
          </cell>
        </row>
        <row r="4">
          <cell r="D4">
            <v>45926</v>
          </cell>
          <cell r="E4" t="str">
            <v>25I20-08</v>
          </cell>
          <cell r="F4">
            <v>28</v>
          </cell>
          <cell r="G4">
            <v>297.14999999999998</v>
          </cell>
          <cell r="H4">
            <v>297.27999999999997</v>
          </cell>
          <cell r="I4" t="str">
            <v>25I20-08</v>
          </cell>
          <cell r="J4">
            <v>306</v>
          </cell>
          <cell r="K4">
            <v>51</v>
          </cell>
          <cell r="O4">
            <v>300</v>
          </cell>
          <cell r="T4" t="str">
            <v>000000000007053</v>
          </cell>
        </row>
        <row r="5">
          <cell r="C5">
            <v>300</v>
          </cell>
          <cell r="D5">
            <v>45926</v>
          </cell>
          <cell r="E5" t="str">
            <v>25I20-08</v>
          </cell>
          <cell r="F5">
            <v>28</v>
          </cell>
          <cell r="G5">
            <v>297.14999999999998</v>
          </cell>
          <cell r="H5">
            <v>297.36</v>
          </cell>
          <cell r="K5">
            <v>0</v>
          </cell>
          <cell r="O5">
            <v>51</v>
          </cell>
          <cell r="T5" t="str">
            <v>000000000007053</v>
          </cell>
        </row>
        <row r="6">
          <cell r="G6" t="str">
            <v/>
          </cell>
          <cell r="K6">
            <v>0</v>
          </cell>
          <cell r="O6">
            <v>1</v>
          </cell>
          <cell r="T6" t="str">
            <v>000000000007053</v>
          </cell>
        </row>
        <row r="7">
          <cell r="C7">
            <v>6</v>
          </cell>
          <cell r="G7" t="str">
            <v/>
          </cell>
          <cell r="K7">
            <v>0</v>
          </cell>
          <cell r="O7">
            <v>6</v>
          </cell>
          <cell r="T7" t="str">
            <v>000000000007053</v>
          </cell>
        </row>
        <row r="8">
          <cell r="C8" t="str">
            <v>LED-A300</v>
          </cell>
          <cell r="G8" t="str">
            <v/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000000000007053</v>
          </cell>
        </row>
        <row r="9">
          <cell r="C9">
            <v>3</v>
          </cell>
          <cell r="G9" t="str">
            <v/>
          </cell>
          <cell r="K9">
            <v>0</v>
          </cell>
          <cell r="L9" t="str">
            <v>持出端材</v>
          </cell>
          <cell r="O9" t="str">
            <v>M</v>
          </cell>
          <cell r="P9">
            <v>2</v>
          </cell>
          <cell r="T9" t="str">
            <v>000000000007053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T</v>
          </cell>
          <cell r="P10">
            <v>6</v>
          </cell>
          <cell r="T10" t="str">
            <v>000000000007053</v>
          </cell>
        </row>
        <row r="11">
          <cell r="C11" t="str">
            <v>8FL281304 4910　L=592</v>
          </cell>
          <cell r="D11">
            <v>45926</v>
          </cell>
          <cell r="E11" t="str">
            <v>25I20-08</v>
          </cell>
          <cell r="I11" t="str">
            <v>25I20-08</v>
          </cell>
          <cell r="J11">
            <v>3</v>
          </cell>
          <cell r="K11">
            <v>1</v>
          </cell>
          <cell r="L11">
            <v>45929</v>
          </cell>
          <cell r="M11">
            <v>3</v>
          </cell>
          <cell r="O11">
            <v>45929</v>
          </cell>
          <cell r="P11">
            <v>3</v>
          </cell>
          <cell r="T11" t="str">
            <v>000000000007055</v>
          </cell>
        </row>
        <row r="12">
          <cell r="D12">
            <v>45926</v>
          </cell>
          <cell r="E12" t="str">
            <v>25I20-08</v>
          </cell>
          <cell r="F12">
            <v>28</v>
          </cell>
          <cell r="G12">
            <v>592.30999999999995</v>
          </cell>
          <cell r="H12">
            <v>591.75</v>
          </cell>
          <cell r="I12" t="str">
            <v>25I20-08</v>
          </cell>
          <cell r="J12">
            <v>296</v>
          </cell>
          <cell r="K12">
            <v>99</v>
          </cell>
          <cell r="O12">
            <v>300</v>
          </cell>
          <cell r="T12" t="str">
            <v>000000000007055</v>
          </cell>
        </row>
        <row r="13">
          <cell r="C13">
            <v>300</v>
          </cell>
          <cell r="D13">
            <v>45926</v>
          </cell>
          <cell r="E13" t="str">
            <v>25I20-08</v>
          </cell>
          <cell r="F13">
            <v>26</v>
          </cell>
          <cell r="G13">
            <v>592.23</v>
          </cell>
          <cell r="H13">
            <v>591.79</v>
          </cell>
          <cell r="K13">
            <v>0</v>
          </cell>
          <cell r="O13">
            <v>100</v>
          </cell>
          <cell r="T13" t="str">
            <v>000000000007055</v>
          </cell>
        </row>
        <row r="14">
          <cell r="G14" t="str">
            <v/>
          </cell>
          <cell r="K14">
            <v>0</v>
          </cell>
          <cell r="O14">
            <v>1</v>
          </cell>
          <cell r="T14" t="str">
            <v>000000000007055</v>
          </cell>
        </row>
        <row r="15">
          <cell r="C15">
            <v>3</v>
          </cell>
          <cell r="G15" t="str">
            <v/>
          </cell>
          <cell r="K15">
            <v>0</v>
          </cell>
          <cell r="O15">
            <v>3</v>
          </cell>
          <cell r="T15" t="str">
            <v>000000000007055</v>
          </cell>
        </row>
        <row r="16">
          <cell r="C16" t="str">
            <v>LED-A592</v>
          </cell>
          <cell r="G16" t="str">
            <v/>
          </cell>
          <cell r="K16">
            <v>0</v>
          </cell>
          <cell r="L16" t="str">
            <v>旧品加工</v>
          </cell>
          <cell r="M16">
            <v>5</v>
          </cell>
          <cell r="O16">
            <v>2</v>
          </cell>
          <cell r="T16" t="str">
            <v>000000000007055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M</v>
          </cell>
          <cell r="T17" t="str">
            <v>000000000007055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2</v>
          </cell>
          <cell r="O18" t="str">
            <v>T</v>
          </cell>
          <cell r="P18">
            <v>3</v>
          </cell>
          <cell r="T18" t="str">
            <v>000000000007055</v>
          </cell>
        </row>
        <row r="19">
          <cell r="C19" t="str">
            <v>8FL281304 5010　L=888</v>
          </cell>
          <cell r="I19">
            <v>0</v>
          </cell>
          <cell r="J19">
            <v>0</v>
          </cell>
          <cell r="K19">
            <v>0</v>
          </cell>
          <cell r="L19">
            <v>45929</v>
          </cell>
          <cell r="M19">
            <v>4</v>
          </cell>
          <cell r="O19">
            <v>45932</v>
          </cell>
          <cell r="P19">
            <v>24</v>
          </cell>
          <cell r="T19" t="str">
            <v>000000000007061</v>
          </cell>
        </row>
        <row r="20">
          <cell r="D20">
            <v>45929</v>
          </cell>
          <cell r="E20" t="str">
            <v>25I20-08</v>
          </cell>
          <cell r="F20">
            <v>24</v>
          </cell>
          <cell r="G20">
            <v>888.23</v>
          </cell>
          <cell r="H20">
            <v>888.37</v>
          </cell>
          <cell r="I20" t="str">
            <v>25I20-08</v>
          </cell>
          <cell r="J20">
            <v>562</v>
          </cell>
          <cell r="K20">
            <v>281</v>
          </cell>
          <cell r="L20">
            <v>45930</v>
          </cell>
          <cell r="M20">
            <v>10</v>
          </cell>
          <cell r="O20">
            <v>3000</v>
          </cell>
          <cell r="T20" t="str">
            <v>000000000007061</v>
          </cell>
        </row>
        <row r="21">
          <cell r="C21">
            <v>3000</v>
          </cell>
          <cell r="D21">
            <v>45929</v>
          </cell>
          <cell r="E21" t="str">
            <v>25I20-08</v>
          </cell>
          <cell r="F21">
            <v>26</v>
          </cell>
          <cell r="G21">
            <v>888.35</v>
          </cell>
          <cell r="H21">
            <v>888.38</v>
          </cell>
          <cell r="I21" t="str">
            <v>25I09-07</v>
          </cell>
          <cell r="J21">
            <v>394</v>
          </cell>
          <cell r="K21">
            <v>197</v>
          </cell>
          <cell r="L21">
            <v>45931</v>
          </cell>
          <cell r="M21">
            <v>14</v>
          </cell>
          <cell r="O21">
            <v>1516</v>
          </cell>
          <cell r="T21" t="str">
            <v>000000000007061</v>
          </cell>
        </row>
        <row r="22">
          <cell r="D22">
            <v>45929</v>
          </cell>
          <cell r="E22" t="str">
            <v>25I09-07</v>
          </cell>
          <cell r="F22">
            <v>26</v>
          </cell>
          <cell r="G22">
            <v>888.35</v>
          </cell>
          <cell r="H22">
            <v>888.52</v>
          </cell>
          <cell r="I22" t="str">
            <v>25I21-09</v>
          </cell>
          <cell r="J22">
            <v>1600</v>
          </cell>
          <cell r="K22">
            <v>800</v>
          </cell>
          <cell r="L22">
            <v>45932</v>
          </cell>
          <cell r="M22">
            <v>2</v>
          </cell>
          <cell r="O22">
            <v>16</v>
          </cell>
          <cell r="T22" t="str">
            <v>000000000007061</v>
          </cell>
        </row>
        <row r="23">
          <cell r="C23">
            <v>2</v>
          </cell>
          <cell r="D23">
            <v>45929</v>
          </cell>
          <cell r="E23" t="str">
            <v>25I21-09</v>
          </cell>
          <cell r="F23">
            <v>26</v>
          </cell>
          <cell r="G23">
            <v>888.35</v>
          </cell>
          <cell r="H23">
            <v>888.54</v>
          </cell>
          <cell r="I23" t="str">
            <v>25I22-10</v>
          </cell>
          <cell r="J23">
            <v>476</v>
          </cell>
          <cell r="K23">
            <v>238</v>
          </cell>
          <cell r="O23">
            <v>32</v>
          </cell>
          <cell r="P23">
            <v>6</v>
          </cell>
          <cell r="T23" t="str">
            <v>000000000007061</v>
          </cell>
        </row>
        <row r="24">
          <cell r="C24" t="str">
            <v>LED-A888</v>
          </cell>
          <cell r="D24">
            <v>45930</v>
          </cell>
          <cell r="E24" t="str">
            <v>25I21-09</v>
          </cell>
          <cell r="F24">
            <v>22</v>
          </cell>
          <cell r="G24">
            <v>888.12</v>
          </cell>
          <cell r="H24">
            <v>888.41</v>
          </cell>
          <cell r="K24">
            <v>0</v>
          </cell>
          <cell r="L24" t="str">
            <v>旧品加工</v>
          </cell>
          <cell r="O24">
            <v>0</v>
          </cell>
          <cell r="T24" t="str">
            <v>000000000007061</v>
          </cell>
        </row>
        <row r="25">
          <cell r="C25">
            <v>30</v>
          </cell>
          <cell r="D25">
            <v>45930</v>
          </cell>
          <cell r="E25" t="str">
            <v>25I21-09</v>
          </cell>
          <cell r="F25">
            <v>26</v>
          </cell>
          <cell r="G25">
            <v>888.35</v>
          </cell>
          <cell r="H25">
            <v>888.43</v>
          </cell>
          <cell r="K25">
            <v>0</v>
          </cell>
          <cell r="L25" t="str">
            <v>持出端材</v>
          </cell>
          <cell r="O25" t="str">
            <v>C/M</v>
          </cell>
          <cell r="P25">
            <v>2</v>
          </cell>
          <cell r="T25" t="str">
            <v>000000000007061</v>
          </cell>
        </row>
        <row r="26">
          <cell r="D26">
            <v>45930</v>
          </cell>
          <cell r="E26" t="str">
            <v>25I22-10</v>
          </cell>
          <cell r="F26">
            <v>26</v>
          </cell>
          <cell r="G26">
            <v>888.35</v>
          </cell>
          <cell r="H26">
            <v>888.37</v>
          </cell>
          <cell r="K26">
            <v>0</v>
          </cell>
          <cell r="L26" t="str">
            <v>α端材</v>
          </cell>
          <cell r="M26">
            <v>0</v>
          </cell>
          <cell r="O26" t="str">
            <v>T/U</v>
          </cell>
          <cell r="P26">
            <v>32</v>
          </cell>
          <cell r="T26" t="str">
            <v>000000000007061</v>
          </cell>
        </row>
        <row r="27">
          <cell r="C27" t="str">
            <v>灯具カバーPC IN 2070　L=1966</v>
          </cell>
          <cell r="D27">
            <v>45909</v>
          </cell>
          <cell r="E27" t="str">
            <v>25I05-02</v>
          </cell>
          <cell r="I27" t="str">
            <v>25I05-02</v>
          </cell>
          <cell r="J27">
            <v>15</v>
          </cell>
          <cell r="K27">
            <v>15</v>
          </cell>
          <cell r="L27">
            <v>45930</v>
          </cell>
          <cell r="M27">
            <v>3</v>
          </cell>
          <cell r="O27">
            <v>45930</v>
          </cell>
          <cell r="P27">
            <v>1</v>
          </cell>
          <cell r="T27" t="str">
            <v>000000000007426</v>
          </cell>
        </row>
        <row r="28">
          <cell r="D28">
            <v>45930</v>
          </cell>
          <cell r="E28" t="str">
            <v>25I25-01</v>
          </cell>
          <cell r="G28" t="str">
            <v/>
          </cell>
          <cell r="I28" t="str">
            <v>25I25-01</v>
          </cell>
          <cell r="J28">
            <v>114</v>
          </cell>
          <cell r="K28">
            <v>114</v>
          </cell>
          <cell r="O28">
            <v>48</v>
          </cell>
          <cell r="P28">
            <v>79</v>
          </cell>
          <cell r="T28" t="str">
            <v>000000000007426</v>
          </cell>
        </row>
        <row r="29">
          <cell r="C29">
            <v>48</v>
          </cell>
          <cell r="G29" t="str">
            <v/>
          </cell>
          <cell r="K29">
            <v>0</v>
          </cell>
          <cell r="O29">
            <v>129</v>
          </cell>
          <cell r="P29">
            <v>1</v>
          </cell>
          <cell r="T29" t="str">
            <v>000000000007426</v>
          </cell>
        </row>
        <row r="30">
          <cell r="G30" t="str">
            <v/>
          </cell>
          <cell r="K30">
            <v>0</v>
          </cell>
          <cell r="O30">
            <v>81</v>
          </cell>
          <cell r="T30" t="str">
            <v>000000000007426</v>
          </cell>
        </row>
        <row r="31">
          <cell r="C31">
            <v>1</v>
          </cell>
          <cell r="G31" t="str">
            <v/>
          </cell>
          <cell r="K31">
            <v>0</v>
          </cell>
          <cell r="O31">
            <v>81</v>
          </cell>
          <cell r="T31" t="str">
            <v>000000000007426</v>
          </cell>
        </row>
        <row r="32">
          <cell r="C32" t="str">
            <v>灯具-2　L＝1996</v>
          </cell>
          <cell r="G32" t="str">
            <v/>
          </cell>
          <cell r="K32">
            <v>0</v>
          </cell>
          <cell r="L32" t="str">
            <v>旧品加工</v>
          </cell>
          <cell r="M32">
            <v>15</v>
          </cell>
          <cell r="O32">
            <v>0</v>
          </cell>
          <cell r="T32" t="str">
            <v>000000000007426</v>
          </cell>
        </row>
        <row r="33">
          <cell r="C33">
            <v>3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-</v>
          </cell>
          <cell r="T33" t="str">
            <v>000000000007426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C</v>
          </cell>
          <cell r="P34">
            <v>81</v>
          </cell>
          <cell r="T34" t="str">
            <v>000000000007426</v>
          </cell>
        </row>
        <row r="35">
          <cell r="C35" t="str">
            <v>8FL281304 5010　L=888</v>
          </cell>
          <cell r="I35">
            <v>0</v>
          </cell>
          <cell r="J35">
            <v>0</v>
          </cell>
          <cell r="K35">
            <v>0</v>
          </cell>
          <cell r="L35">
            <v>45932</v>
          </cell>
          <cell r="M35">
            <v>1</v>
          </cell>
          <cell r="O35">
            <v>45932</v>
          </cell>
          <cell r="P35">
            <v>1</v>
          </cell>
          <cell r="T35" t="str">
            <v>000000000007286</v>
          </cell>
        </row>
        <row r="36">
          <cell r="D36">
            <v>45931</v>
          </cell>
          <cell r="E36" t="str">
            <v>25I22-10</v>
          </cell>
          <cell r="F36">
            <v>26</v>
          </cell>
          <cell r="G36">
            <v>888.35</v>
          </cell>
          <cell r="H36">
            <v>888.41</v>
          </cell>
          <cell r="I36" t="str">
            <v>25I22-10</v>
          </cell>
          <cell r="J36">
            <v>104</v>
          </cell>
          <cell r="K36">
            <v>52</v>
          </cell>
          <cell r="O36">
            <v>100</v>
          </cell>
          <cell r="T36" t="str">
            <v>000000000007286</v>
          </cell>
        </row>
        <row r="37">
          <cell r="C37">
            <v>100</v>
          </cell>
          <cell r="D37">
            <v>45931</v>
          </cell>
          <cell r="E37" t="str">
            <v>25I22-10</v>
          </cell>
          <cell r="F37">
            <v>26</v>
          </cell>
          <cell r="G37">
            <v>888.35</v>
          </cell>
          <cell r="H37">
            <v>888.15</v>
          </cell>
          <cell r="K37">
            <v>0</v>
          </cell>
          <cell r="O37">
            <v>52</v>
          </cell>
          <cell r="P37">
            <v>2</v>
          </cell>
          <cell r="T37" t="str">
            <v>000000000007286</v>
          </cell>
        </row>
        <row r="38">
          <cell r="G38" t="str">
            <v/>
          </cell>
          <cell r="K38">
            <v>0</v>
          </cell>
          <cell r="O38">
            <v>2</v>
          </cell>
          <cell r="T38" t="str">
            <v>000000000007286</v>
          </cell>
        </row>
        <row r="39">
          <cell r="C39">
            <v>2</v>
          </cell>
          <cell r="G39" t="str">
            <v/>
          </cell>
          <cell r="K39">
            <v>0</v>
          </cell>
          <cell r="O39">
            <v>4</v>
          </cell>
          <cell r="T39" t="str">
            <v>000000000007286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O40">
            <v>0</v>
          </cell>
          <cell r="T40" t="str">
            <v>000000000007286</v>
          </cell>
        </row>
        <row r="41">
          <cell r="C41">
            <v>1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M</v>
          </cell>
          <cell r="P41">
            <v>1</v>
          </cell>
          <cell r="T41" t="str">
            <v>000000000007286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0</v>
          </cell>
          <cell r="O42" t="str">
            <v>T</v>
          </cell>
          <cell r="P42">
            <v>4</v>
          </cell>
          <cell r="T42" t="str">
            <v>000000000007286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L43">
            <v>45932</v>
          </cell>
          <cell r="M43">
            <v>9</v>
          </cell>
          <cell r="O43">
            <v>45932</v>
          </cell>
          <cell r="P43">
            <v>1</v>
          </cell>
          <cell r="T43" t="str">
            <v>000000000007058</v>
          </cell>
        </row>
        <row r="44">
          <cell r="D44">
            <v>45931</v>
          </cell>
          <cell r="E44" t="str">
            <v>25I22-10</v>
          </cell>
          <cell r="F44">
            <v>26</v>
          </cell>
          <cell r="G44">
            <v>888.35</v>
          </cell>
          <cell r="H44">
            <v>888.15</v>
          </cell>
          <cell r="I44" t="str">
            <v>25I22-10</v>
          </cell>
          <cell r="J44">
            <v>901</v>
          </cell>
          <cell r="K44">
            <v>451</v>
          </cell>
          <cell r="O44">
            <v>900</v>
          </cell>
          <cell r="T44" t="str">
            <v>000000000007058</v>
          </cell>
        </row>
        <row r="45">
          <cell r="C45">
            <v>900</v>
          </cell>
          <cell r="D45">
            <v>45931</v>
          </cell>
          <cell r="E45" t="str">
            <v>25I22-10</v>
          </cell>
          <cell r="F45">
            <v>26</v>
          </cell>
          <cell r="G45">
            <v>888.35</v>
          </cell>
          <cell r="H45">
            <v>888.4</v>
          </cell>
          <cell r="K45">
            <v>0</v>
          </cell>
          <cell r="O45">
            <v>451</v>
          </cell>
          <cell r="T45" t="str">
            <v>000000000007058</v>
          </cell>
        </row>
        <row r="46">
          <cell r="D46">
            <v>45931</v>
          </cell>
          <cell r="E46" t="str">
            <v>25I22-10</v>
          </cell>
          <cell r="F46">
            <v>26</v>
          </cell>
          <cell r="G46">
            <v>888.35</v>
          </cell>
          <cell r="H46">
            <v>888.39</v>
          </cell>
          <cell r="K46">
            <v>0</v>
          </cell>
          <cell r="O46">
            <v>1</v>
          </cell>
          <cell r="T46" t="str">
            <v>000000000007058</v>
          </cell>
        </row>
        <row r="47">
          <cell r="C47">
            <v>2</v>
          </cell>
          <cell r="G47" t="str">
            <v/>
          </cell>
          <cell r="K47">
            <v>0</v>
          </cell>
          <cell r="O47">
            <v>1</v>
          </cell>
          <cell r="T47" t="str">
            <v>000000000007058</v>
          </cell>
        </row>
        <row r="48">
          <cell r="C48" t="str">
            <v>LED-A888</v>
          </cell>
          <cell r="G48" t="str">
            <v/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000000000007058</v>
          </cell>
        </row>
        <row r="49">
          <cell r="C49">
            <v>9</v>
          </cell>
          <cell r="G49" t="str">
            <v/>
          </cell>
          <cell r="K49">
            <v>0</v>
          </cell>
          <cell r="L49" t="str">
            <v>持出端材</v>
          </cell>
          <cell r="O49" t="str">
            <v>M</v>
          </cell>
          <cell r="T49" t="str">
            <v>000000000007058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T</v>
          </cell>
          <cell r="P50">
            <v>1</v>
          </cell>
          <cell r="T50" t="str">
            <v>000000000007058</v>
          </cell>
        </row>
        <row r="51">
          <cell r="C51" t="str">
            <v>8FL281304 8310　L=748</v>
          </cell>
          <cell r="D51">
            <v>45926</v>
          </cell>
          <cell r="E51" t="str">
            <v>25I09-06</v>
          </cell>
          <cell r="I51" t="str">
            <v>25I09-06</v>
          </cell>
          <cell r="J51">
            <v>4</v>
          </cell>
          <cell r="K51">
            <v>2</v>
          </cell>
          <cell r="L51">
            <v>45932</v>
          </cell>
          <cell r="M51">
            <v>2</v>
          </cell>
          <cell r="O51">
            <v>45932</v>
          </cell>
          <cell r="P51">
            <v>3</v>
          </cell>
          <cell r="T51" t="str">
            <v>000000000007057</v>
          </cell>
        </row>
        <row r="52">
          <cell r="D52">
            <v>45932</v>
          </cell>
          <cell r="E52" t="str">
            <v>25I22-10</v>
          </cell>
          <cell r="F52">
            <v>22</v>
          </cell>
          <cell r="G52">
            <v>748.1</v>
          </cell>
          <cell r="H52">
            <v>748.44</v>
          </cell>
          <cell r="I52" t="str">
            <v>25I22-10</v>
          </cell>
          <cell r="J52">
            <v>111</v>
          </cell>
          <cell r="K52">
            <v>56</v>
          </cell>
          <cell r="O52">
            <v>200</v>
          </cell>
          <cell r="T52" t="str">
            <v>000000000007057</v>
          </cell>
        </row>
        <row r="53">
          <cell r="C53">
            <v>200</v>
          </cell>
          <cell r="D53">
            <v>45932</v>
          </cell>
          <cell r="E53" t="str">
            <v>25I23-11</v>
          </cell>
          <cell r="F53">
            <v>26</v>
          </cell>
          <cell r="G53">
            <v>748.29</v>
          </cell>
          <cell r="H53">
            <v>748.39</v>
          </cell>
          <cell r="I53" t="str">
            <v>25I23-11</v>
          </cell>
          <cell r="J53">
            <v>86</v>
          </cell>
          <cell r="K53">
            <v>43</v>
          </cell>
          <cell r="O53">
            <v>101</v>
          </cell>
          <cell r="T53" t="str">
            <v>000000000007057</v>
          </cell>
        </row>
        <row r="54">
          <cell r="G54" t="str">
            <v/>
          </cell>
          <cell r="K54">
            <v>0</v>
          </cell>
          <cell r="O54">
            <v>2</v>
          </cell>
          <cell r="T54" t="str">
            <v>000000000007057</v>
          </cell>
        </row>
        <row r="55">
          <cell r="C55">
            <v>2</v>
          </cell>
          <cell r="G55" t="str">
            <v/>
          </cell>
          <cell r="K55">
            <v>0</v>
          </cell>
          <cell r="O55">
            <v>3</v>
          </cell>
          <cell r="T55" t="str">
            <v>000000000007057</v>
          </cell>
        </row>
        <row r="56">
          <cell r="C56" t="str">
            <v>LED-A888</v>
          </cell>
          <cell r="G56" t="str">
            <v/>
          </cell>
          <cell r="K56">
            <v>0</v>
          </cell>
          <cell r="L56" t="str">
            <v>旧品加工</v>
          </cell>
          <cell r="M56">
            <v>5</v>
          </cell>
          <cell r="O56">
            <v>1</v>
          </cell>
          <cell r="T56" t="str">
            <v>000000000007057</v>
          </cell>
        </row>
        <row r="57">
          <cell r="C57">
            <v>2</v>
          </cell>
          <cell r="G57" t="str">
            <v/>
          </cell>
          <cell r="K57">
            <v>0</v>
          </cell>
          <cell r="L57" t="str">
            <v>持出端材</v>
          </cell>
          <cell r="O57" t="str">
            <v>M/C</v>
          </cell>
          <cell r="T57" t="str">
            <v>000000000007057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1</v>
          </cell>
          <cell r="O58" t="str">
            <v>U</v>
          </cell>
          <cell r="P58">
            <v>3</v>
          </cell>
          <cell r="T58" t="str">
            <v>000000000007057</v>
          </cell>
        </row>
        <row r="59">
          <cell r="C59" t="str">
            <v>8FL281304 6110　L=1478</v>
          </cell>
          <cell r="D59">
            <v>45916</v>
          </cell>
          <cell r="E59" t="str">
            <v>25I06-03</v>
          </cell>
          <cell r="I59" t="str">
            <v>25I06-03</v>
          </cell>
          <cell r="J59">
            <v>3</v>
          </cell>
          <cell r="K59">
            <v>3</v>
          </cell>
          <cell r="L59">
            <v>45933</v>
          </cell>
          <cell r="M59">
            <v>6</v>
          </cell>
          <cell r="O59">
            <v>45933</v>
          </cell>
          <cell r="P59">
            <v>3</v>
          </cell>
          <cell r="T59" t="str">
            <v>000000000007059</v>
          </cell>
        </row>
        <row r="60">
          <cell r="D60">
            <v>45932</v>
          </cell>
          <cell r="E60" t="str">
            <v>25I23-11</v>
          </cell>
          <cell r="F60">
            <v>26</v>
          </cell>
          <cell r="G60">
            <v>1478.58</v>
          </cell>
          <cell r="H60">
            <v>1478.56</v>
          </cell>
          <cell r="I60" t="str">
            <v>25I23-11</v>
          </cell>
          <cell r="J60">
            <v>600</v>
          </cell>
          <cell r="K60">
            <v>600</v>
          </cell>
          <cell r="O60">
            <v>600</v>
          </cell>
          <cell r="T60" t="str">
            <v>000000000007059</v>
          </cell>
        </row>
        <row r="61">
          <cell r="C61">
            <v>600</v>
          </cell>
          <cell r="D61">
            <v>45932</v>
          </cell>
          <cell r="E61" t="str">
            <v>25I23-11</v>
          </cell>
          <cell r="F61">
            <v>26</v>
          </cell>
          <cell r="G61">
            <v>1478.58</v>
          </cell>
          <cell r="H61">
            <v>1478.76</v>
          </cell>
          <cell r="K61">
            <v>0</v>
          </cell>
          <cell r="O61">
            <v>603</v>
          </cell>
          <cell r="T61" t="str">
            <v>000000000007059</v>
          </cell>
        </row>
        <row r="62">
          <cell r="D62">
            <v>45932</v>
          </cell>
          <cell r="E62" t="str">
            <v>25I23-11</v>
          </cell>
          <cell r="F62">
            <v>26</v>
          </cell>
          <cell r="G62">
            <v>1478.58</v>
          </cell>
          <cell r="H62">
            <v>1478.68</v>
          </cell>
          <cell r="K62">
            <v>0</v>
          </cell>
          <cell r="O62">
            <v>3</v>
          </cell>
          <cell r="T62" t="str">
            <v>000000000007059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3</v>
          </cell>
          <cell r="T63" t="str">
            <v>000000000007059</v>
          </cell>
        </row>
        <row r="64">
          <cell r="C64" t="str">
            <v>LED-A1478</v>
          </cell>
          <cell r="G64" t="str">
            <v/>
          </cell>
          <cell r="K64">
            <v>0</v>
          </cell>
          <cell r="L64" t="str">
            <v>旧品加工</v>
          </cell>
          <cell r="M64">
            <v>3</v>
          </cell>
          <cell r="O64">
            <v>0</v>
          </cell>
          <cell r="T64" t="str">
            <v>000000000007059</v>
          </cell>
        </row>
        <row r="65">
          <cell r="C65">
            <v>6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C/M</v>
          </cell>
          <cell r="T65" t="str">
            <v>000000000007059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U/T</v>
          </cell>
          <cell r="P66">
            <v>3</v>
          </cell>
          <cell r="T66" t="str">
            <v>000000000007059</v>
          </cell>
        </row>
        <row r="67">
          <cell r="C67" t="str">
            <v>8FL281304 5010　L=888</v>
          </cell>
          <cell r="D67">
            <v>45932</v>
          </cell>
          <cell r="E67" t="str">
            <v>25I22-10</v>
          </cell>
          <cell r="I67" t="str">
            <v>25I22-10</v>
          </cell>
          <cell r="J67">
            <v>10</v>
          </cell>
          <cell r="K67">
            <v>5</v>
          </cell>
          <cell r="L67">
            <v>45933</v>
          </cell>
          <cell r="M67">
            <v>7</v>
          </cell>
          <cell r="O67">
            <v>45936</v>
          </cell>
          <cell r="P67">
            <v>6</v>
          </cell>
          <cell r="T67" t="str">
            <v>000000000007287</v>
          </cell>
        </row>
        <row r="68">
          <cell r="D68">
            <v>45933</v>
          </cell>
          <cell r="E68" t="str">
            <v>25I23-11</v>
          </cell>
          <cell r="F68">
            <v>24</v>
          </cell>
          <cell r="G68">
            <v>888.23</v>
          </cell>
          <cell r="H68">
            <v>888.17</v>
          </cell>
          <cell r="I68" t="str">
            <v>25I23-11</v>
          </cell>
          <cell r="J68">
            <v>296</v>
          </cell>
          <cell r="K68">
            <v>148</v>
          </cell>
          <cell r="L68">
            <v>45936</v>
          </cell>
          <cell r="M68">
            <v>3</v>
          </cell>
          <cell r="O68">
            <v>1000</v>
          </cell>
          <cell r="P68">
            <v>2</v>
          </cell>
          <cell r="T68" t="str">
            <v>000000000007287</v>
          </cell>
        </row>
        <row r="69">
          <cell r="C69">
            <v>1000</v>
          </cell>
          <cell r="D69">
            <v>45933</v>
          </cell>
          <cell r="E69" t="str">
            <v>25I24-12</v>
          </cell>
          <cell r="F69">
            <v>26</v>
          </cell>
          <cell r="G69">
            <v>888.35</v>
          </cell>
          <cell r="H69">
            <v>888.2</v>
          </cell>
          <cell r="I69" t="str">
            <v>25I24-12</v>
          </cell>
          <cell r="J69">
            <v>705</v>
          </cell>
          <cell r="K69">
            <v>353</v>
          </cell>
          <cell r="O69">
            <v>506</v>
          </cell>
          <cell r="T69" t="str">
            <v>000000000007287</v>
          </cell>
        </row>
        <row r="70">
          <cell r="D70">
            <v>45933</v>
          </cell>
          <cell r="E70" t="str">
            <v>25I24-12</v>
          </cell>
          <cell r="F70">
            <v>26</v>
          </cell>
          <cell r="G70">
            <v>888.35</v>
          </cell>
          <cell r="H70">
            <v>888.4</v>
          </cell>
          <cell r="K70">
            <v>0</v>
          </cell>
          <cell r="O70">
            <v>7</v>
          </cell>
          <cell r="T70" t="str">
            <v>000000000007287</v>
          </cell>
        </row>
        <row r="71">
          <cell r="C71">
            <v>2</v>
          </cell>
          <cell r="D71">
            <v>45933</v>
          </cell>
          <cell r="E71" t="str">
            <v>25I24-12</v>
          </cell>
          <cell r="F71">
            <v>26</v>
          </cell>
          <cell r="G71">
            <v>888.35</v>
          </cell>
          <cell r="H71">
            <v>888.35</v>
          </cell>
          <cell r="K71">
            <v>0</v>
          </cell>
          <cell r="O71">
            <v>13</v>
          </cell>
          <cell r="T71" t="str">
            <v>000000000007287</v>
          </cell>
        </row>
        <row r="72">
          <cell r="C72" t="str">
            <v>LED-A888</v>
          </cell>
          <cell r="G72" t="str">
            <v/>
          </cell>
          <cell r="K72">
            <v>0</v>
          </cell>
          <cell r="L72" t="str">
            <v>旧品加工</v>
          </cell>
          <cell r="M72">
            <v>11</v>
          </cell>
          <cell r="O72">
            <v>1</v>
          </cell>
          <cell r="T72" t="str">
            <v>000000000007287</v>
          </cell>
        </row>
        <row r="73">
          <cell r="C73">
            <v>10</v>
          </cell>
          <cell r="G73" t="str">
            <v/>
          </cell>
          <cell r="K73">
            <v>0</v>
          </cell>
          <cell r="L73" t="str">
            <v>持出端材</v>
          </cell>
          <cell r="O73" t="str">
            <v>C/M</v>
          </cell>
          <cell r="P73">
            <v>5</v>
          </cell>
          <cell r="T73" t="str">
            <v>000000000007287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1</v>
          </cell>
          <cell r="O74" t="str">
            <v>C/T/U</v>
          </cell>
          <cell r="P74">
            <v>13</v>
          </cell>
          <cell r="T74" t="str">
            <v>000000000007287</v>
          </cell>
        </row>
        <row r="75">
          <cell r="C75" t="str">
            <v>8FL281304 5010　L=888</v>
          </cell>
          <cell r="I75">
            <v>0</v>
          </cell>
          <cell r="J75">
            <v>0</v>
          </cell>
          <cell r="K75">
            <v>0</v>
          </cell>
          <cell r="L75">
            <v>45936</v>
          </cell>
          <cell r="M75">
            <v>4</v>
          </cell>
          <cell r="O75">
            <v>45936</v>
          </cell>
          <cell r="P75">
            <v>5</v>
          </cell>
          <cell r="T75" t="str">
            <v>000000000007288</v>
          </cell>
        </row>
        <row r="76">
          <cell r="D76">
            <v>45933</v>
          </cell>
          <cell r="E76" t="str">
            <v>25I24-12</v>
          </cell>
          <cell r="F76">
            <v>26</v>
          </cell>
          <cell r="G76">
            <v>888.35</v>
          </cell>
          <cell r="H76">
            <v>888.35</v>
          </cell>
          <cell r="I76" t="str">
            <v>25I24-12</v>
          </cell>
          <cell r="J76">
            <v>409</v>
          </cell>
          <cell r="K76">
            <v>205</v>
          </cell>
          <cell r="O76">
            <v>400</v>
          </cell>
          <cell r="T76" t="str">
            <v>000000000007288</v>
          </cell>
        </row>
        <row r="77">
          <cell r="C77">
            <v>400</v>
          </cell>
          <cell r="D77">
            <v>45933</v>
          </cell>
          <cell r="E77" t="str">
            <v>25I24-12</v>
          </cell>
          <cell r="F77">
            <v>26</v>
          </cell>
          <cell r="G77">
            <v>888.35</v>
          </cell>
          <cell r="H77">
            <v>888.32</v>
          </cell>
          <cell r="K77">
            <v>0</v>
          </cell>
          <cell r="O77">
            <v>205</v>
          </cell>
          <cell r="P77">
            <v>2</v>
          </cell>
          <cell r="T77" t="str">
            <v>000000000007288</v>
          </cell>
        </row>
        <row r="78">
          <cell r="G78" t="str">
            <v/>
          </cell>
          <cell r="K78">
            <v>0</v>
          </cell>
          <cell r="O78">
            <v>5</v>
          </cell>
          <cell r="T78" t="str">
            <v>000000000007288</v>
          </cell>
        </row>
        <row r="79">
          <cell r="C79">
            <v>2</v>
          </cell>
          <cell r="G79" t="str">
            <v/>
          </cell>
          <cell r="K79">
            <v>0</v>
          </cell>
          <cell r="O79">
            <v>9</v>
          </cell>
          <cell r="T79" t="str">
            <v>000000000007288</v>
          </cell>
        </row>
        <row r="80">
          <cell r="C80" t="str">
            <v>LED-A888</v>
          </cell>
          <cell r="G80" t="str">
            <v/>
          </cell>
          <cell r="K80">
            <v>0</v>
          </cell>
          <cell r="L80" t="str">
            <v>旧品加工</v>
          </cell>
          <cell r="O80">
            <v>0</v>
          </cell>
          <cell r="T80" t="str">
            <v>000000000007288</v>
          </cell>
        </row>
        <row r="81">
          <cell r="C81">
            <v>4</v>
          </cell>
          <cell r="G81" t="str">
            <v/>
          </cell>
          <cell r="K81">
            <v>0</v>
          </cell>
          <cell r="L81" t="str">
            <v>持出端材</v>
          </cell>
          <cell r="O81" t="str">
            <v>M</v>
          </cell>
          <cell r="P81">
            <v>2</v>
          </cell>
          <cell r="T81" t="str">
            <v>000000000007288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T</v>
          </cell>
          <cell r="P82">
            <v>9</v>
          </cell>
          <cell r="T82" t="str">
            <v>000000000007288</v>
          </cell>
        </row>
        <row r="83">
          <cell r="C83" t="str">
            <v>8FL281304 8110　L=444</v>
          </cell>
          <cell r="D83">
            <v>45910</v>
          </cell>
          <cell r="E83" t="str">
            <v>25I05-02</v>
          </cell>
          <cell r="I83" t="str">
            <v>25I05-02</v>
          </cell>
          <cell r="J83">
            <v>12</v>
          </cell>
          <cell r="K83">
            <v>3</v>
          </cell>
          <cell r="L83">
            <v>45937</v>
          </cell>
          <cell r="M83">
            <v>1</v>
          </cell>
          <cell r="O83">
            <v>45937</v>
          </cell>
          <cell r="P83">
            <v>1</v>
          </cell>
          <cell r="T83" t="str">
            <v>000000000007283</v>
          </cell>
        </row>
        <row r="84">
          <cell r="D84">
            <v>45936</v>
          </cell>
          <cell r="E84" t="str">
            <v>25I24-12</v>
          </cell>
          <cell r="F84">
            <v>26</v>
          </cell>
          <cell r="G84">
            <v>444.17</v>
          </cell>
          <cell r="H84">
            <v>443.8</v>
          </cell>
          <cell r="I84" t="str">
            <v>25I24-12</v>
          </cell>
          <cell r="J84">
            <v>87</v>
          </cell>
          <cell r="K84">
            <v>22</v>
          </cell>
          <cell r="O84">
            <v>100</v>
          </cell>
          <cell r="T84" t="str">
            <v>000000000007283</v>
          </cell>
        </row>
        <row r="85">
          <cell r="C85">
            <v>100</v>
          </cell>
          <cell r="D85">
            <v>45936</v>
          </cell>
          <cell r="E85" t="str">
            <v>25I24-12</v>
          </cell>
          <cell r="F85">
            <v>26</v>
          </cell>
          <cell r="G85">
            <v>444.17</v>
          </cell>
          <cell r="H85">
            <v>443.91</v>
          </cell>
          <cell r="K85">
            <v>0</v>
          </cell>
          <cell r="O85">
            <v>25</v>
          </cell>
          <cell r="T85" t="str">
            <v>000000000007283</v>
          </cell>
        </row>
        <row r="86">
          <cell r="G86" t="str">
            <v/>
          </cell>
          <cell r="K86">
            <v>0</v>
          </cell>
          <cell r="O86">
            <v>1</v>
          </cell>
          <cell r="T86" t="str">
            <v>000000000007283</v>
          </cell>
        </row>
        <row r="87">
          <cell r="C87">
            <v>4</v>
          </cell>
          <cell r="G87" t="str">
            <v/>
          </cell>
          <cell r="K87">
            <v>0</v>
          </cell>
          <cell r="O87">
            <v>1</v>
          </cell>
          <cell r="T87" t="str">
            <v>000000000007283</v>
          </cell>
        </row>
        <row r="88">
          <cell r="C88" t="str">
            <v>LED-A444</v>
          </cell>
          <cell r="G88" t="str">
            <v/>
          </cell>
          <cell r="K88">
            <v>0</v>
          </cell>
          <cell r="L88" t="str">
            <v>旧品加工</v>
          </cell>
          <cell r="M88">
            <v>13</v>
          </cell>
          <cell r="O88">
            <v>1</v>
          </cell>
          <cell r="T88" t="str">
            <v>000000000007283</v>
          </cell>
        </row>
        <row r="89">
          <cell r="C89">
            <v>1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M</v>
          </cell>
          <cell r="T89" t="str">
            <v>000000000007283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1</v>
          </cell>
          <cell r="O90" t="str">
            <v>T</v>
          </cell>
          <cell r="P90">
            <v>1</v>
          </cell>
          <cell r="T90" t="str">
            <v>000000000007283</v>
          </cell>
        </row>
        <row r="91">
          <cell r="C91" t="str">
            <v>8FL281304 4910　L=592</v>
          </cell>
          <cell r="D91">
            <v>45929</v>
          </cell>
          <cell r="E91" t="str">
            <v>25I20-08</v>
          </cell>
          <cell r="I91" t="str">
            <v>25I20-08</v>
          </cell>
          <cell r="J91">
            <v>0</v>
          </cell>
          <cell r="K91">
            <v>0</v>
          </cell>
          <cell r="L91">
            <v>45937</v>
          </cell>
          <cell r="M91">
            <v>4</v>
          </cell>
          <cell r="O91">
            <v>45937</v>
          </cell>
          <cell r="P91">
            <v>2</v>
          </cell>
          <cell r="T91" t="str">
            <v>000000000007284</v>
          </cell>
        </row>
        <row r="92">
          <cell r="D92">
            <v>45933</v>
          </cell>
          <cell r="E92" t="str">
            <v>25I24-12</v>
          </cell>
          <cell r="F92">
            <v>26</v>
          </cell>
          <cell r="G92">
            <v>592.23</v>
          </cell>
          <cell r="H92">
            <v>591.72</v>
          </cell>
          <cell r="I92" t="str">
            <v>25I24-12</v>
          </cell>
          <cell r="J92">
            <v>352</v>
          </cell>
          <cell r="K92">
            <v>118</v>
          </cell>
          <cell r="O92">
            <v>400</v>
          </cell>
          <cell r="T92" t="str">
            <v>000000000007284</v>
          </cell>
        </row>
        <row r="93">
          <cell r="C93">
            <v>400</v>
          </cell>
          <cell r="D93">
            <v>45933</v>
          </cell>
          <cell r="E93" t="str">
            <v>25I24-12</v>
          </cell>
          <cell r="F93">
            <v>26</v>
          </cell>
          <cell r="G93">
            <v>592.23</v>
          </cell>
          <cell r="H93">
            <v>591.97</v>
          </cell>
          <cell r="K93">
            <v>0</v>
          </cell>
          <cell r="O93">
            <v>118</v>
          </cell>
          <cell r="P93">
            <v>1</v>
          </cell>
          <cell r="T93" t="str">
            <v>000000000007284</v>
          </cell>
        </row>
        <row r="94">
          <cell r="G94" t="str">
            <v/>
          </cell>
          <cell r="K94">
            <v>0</v>
          </cell>
          <cell r="O94">
            <v>2</v>
          </cell>
          <cell r="T94" t="str">
            <v>000000000007284</v>
          </cell>
        </row>
        <row r="95">
          <cell r="C95">
            <v>3</v>
          </cell>
          <cell r="G95" t="str">
            <v/>
          </cell>
          <cell r="K95">
            <v>0</v>
          </cell>
          <cell r="O95">
            <v>4</v>
          </cell>
          <cell r="T95" t="str">
            <v>000000000007284</v>
          </cell>
        </row>
        <row r="96">
          <cell r="C96" t="str">
            <v>LED-A592</v>
          </cell>
          <cell r="G96" t="str">
            <v/>
          </cell>
          <cell r="K96">
            <v>0</v>
          </cell>
          <cell r="L96" t="str">
            <v>旧品加工</v>
          </cell>
          <cell r="M96">
            <v>2</v>
          </cell>
          <cell r="O96">
            <v>50</v>
          </cell>
          <cell r="T96" t="str">
            <v>000000000007284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持出端材</v>
          </cell>
          <cell r="M97">
            <v>48</v>
          </cell>
          <cell r="O97" t="str">
            <v>M</v>
          </cell>
          <cell r="P97">
            <v>1</v>
          </cell>
          <cell r="T97" t="str">
            <v>000000000007284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2</v>
          </cell>
          <cell r="O98" t="str">
            <v>T/U</v>
          </cell>
          <cell r="P98">
            <v>4</v>
          </cell>
          <cell r="T98" t="str">
            <v>000000000007284</v>
          </cell>
        </row>
        <row r="99">
          <cell r="C99" t="str">
            <v>8FL281304 4810　L=297</v>
          </cell>
          <cell r="D99">
            <v>45929</v>
          </cell>
          <cell r="E99" t="str">
            <v>25I20-08</v>
          </cell>
          <cell r="I99" t="str">
            <v>25I20-08</v>
          </cell>
          <cell r="J99">
            <v>6</v>
          </cell>
          <cell r="K99">
            <v>1</v>
          </cell>
          <cell r="L99">
            <v>45937</v>
          </cell>
          <cell r="M99">
            <v>2</v>
          </cell>
          <cell r="O99">
            <v>45937</v>
          </cell>
          <cell r="T99" t="str">
            <v>000000000007281</v>
          </cell>
        </row>
        <row r="100">
          <cell r="D100">
            <v>45936</v>
          </cell>
          <cell r="E100" t="str">
            <v>25I24-12</v>
          </cell>
          <cell r="F100">
            <v>26</v>
          </cell>
          <cell r="G100">
            <v>297.12</v>
          </cell>
          <cell r="H100">
            <v>297.22000000000003</v>
          </cell>
          <cell r="I100" t="str">
            <v>25I24-12</v>
          </cell>
          <cell r="J100">
            <v>144</v>
          </cell>
          <cell r="K100">
            <v>24</v>
          </cell>
          <cell r="O100">
            <v>200</v>
          </cell>
          <cell r="T100" t="str">
            <v>000000000007281</v>
          </cell>
        </row>
        <row r="101">
          <cell r="C101">
            <v>200</v>
          </cell>
          <cell r="D101">
            <v>45937</v>
          </cell>
          <cell r="E101" t="str">
            <v>25I24-12</v>
          </cell>
          <cell r="F101">
            <v>22</v>
          </cell>
          <cell r="G101">
            <v>297.04000000000002</v>
          </cell>
          <cell r="H101">
            <v>297.13</v>
          </cell>
          <cell r="K101">
            <v>0</v>
          </cell>
          <cell r="O101">
            <v>25</v>
          </cell>
          <cell r="T101" t="str">
            <v>000000000007281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000000000007281</v>
          </cell>
        </row>
        <row r="103">
          <cell r="C103">
            <v>6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000000000007281</v>
          </cell>
        </row>
        <row r="104">
          <cell r="C104" t="str">
            <v>LED-A300</v>
          </cell>
          <cell r="G104" t="str">
            <v/>
          </cell>
          <cell r="K104">
            <v>0</v>
          </cell>
          <cell r="L104" t="str">
            <v>旧品加工</v>
          </cell>
          <cell r="M104">
            <v>10</v>
          </cell>
          <cell r="O104">
            <v>46</v>
          </cell>
          <cell r="T104" t="str">
            <v>000000000007281</v>
          </cell>
        </row>
        <row r="105">
          <cell r="C105">
            <v>2</v>
          </cell>
          <cell r="G105" t="str">
            <v/>
          </cell>
          <cell r="K105">
            <v>0</v>
          </cell>
          <cell r="L105" t="str">
            <v>持出端材</v>
          </cell>
          <cell r="M105">
            <v>42</v>
          </cell>
          <cell r="O105" t="str">
            <v>M</v>
          </cell>
          <cell r="T105" t="str">
            <v>000000000007281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4</v>
          </cell>
          <cell r="O106" t="str">
            <v>T</v>
          </cell>
          <cell r="P106">
            <v>0</v>
          </cell>
          <cell r="T106" t="str">
            <v>000000000007281</v>
          </cell>
        </row>
        <row r="107">
          <cell r="C107" t="str">
            <v>8FL281304 4810　L=297</v>
          </cell>
          <cell r="I107">
            <v>0</v>
          </cell>
          <cell r="J107">
            <v>0</v>
          </cell>
          <cell r="K107">
            <v>0</v>
          </cell>
          <cell r="L107">
            <v>45937</v>
          </cell>
          <cell r="M107">
            <v>3</v>
          </cell>
          <cell r="O107">
            <v>45937</v>
          </cell>
          <cell r="P107">
            <v>3</v>
          </cell>
          <cell r="T107" t="str">
            <v>000000000007282</v>
          </cell>
        </row>
        <row r="108">
          <cell r="D108">
            <v>45937</v>
          </cell>
          <cell r="E108" t="str">
            <v>25I24-12</v>
          </cell>
          <cell r="F108">
            <v>22</v>
          </cell>
          <cell r="G108">
            <v>297.04000000000002</v>
          </cell>
          <cell r="H108">
            <v>297.14</v>
          </cell>
          <cell r="I108" t="str">
            <v>25I24-12</v>
          </cell>
          <cell r="J108">
            <v>303</v>
          </cell>
          <cell r="K108">
            <v>51</v>
          </cell>
          <cell r="O108">
            <v>300</v>
          </cell>
          <cell r="T108" t="str">
            <v>000000000007282</v>
          </cell>
        </row>
        <row r="109">
          <cell r="C109">
            <v>300</v>
          </cell>
          <cell r="D109">
            <v>45937</v>
          </cell>
          <cell r="E109" t="str">
            <v>25I24-12</v>
          </cell>
          <cell r="F109">
            <v>24</v>
          </cell>
          <cell r="G109">
            <v>297.08</v>
          </cell>
          <cell r="H109">
            <v>297.17</v>
          </cell>
          <cell r="K109">
            <v>0</v>
          </cell>
          <cell r="O109">
            <v>51</v>
          </cell>
          <cell r="T109" t="str">
            <v>000000000007282</v>
          </cell>
        </row>
        <row r="110">
          <cell r="G110" t="str">
            <v/>
          </cell>
          <cell r="K110">
            <v>0</v>
          </cell>
          <cell r="O110">
            <v>1</v>
          </cell>
          <cell r="T110" t="str">
            <v>000000000007282</v>
          </cell>
        </row>
        <row r="111">
          <cell r="C111">
            <v>6</v>
          </cell>
          <cell r="G111" t="str">
            <v/>
          </cell>
          <cell r="K111">
            <v>0</v>
          </cell>
          <cell r="O111">
            <v>3</v>
          </cell>
          <cell r="T111" t="str">
            <v>000000000007282</v>
          </cell>
        </row>
        <row r="112">
          <cell r="C112" t="str">
            <v>LED-A300</v>
          </cell>
          <cell r="G112" t="str">
            <v/>
          </cell>
          <cell r="K112">
            <v>0</v>
          </cell>
          <cell r="L112" t="str">
            <v>旧品加工</v>
          </cell>
          <cell r="O112">
            <v>0</v>
          </cell>
          <cell r="T112" t="str">
            <v>000000000007282</v>
          </cell>
        </row>
        <row r="113">
          <cell r="C113">
            <v>3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M</v>
          </cell>
          <cell r="T113" t="str">
            <v>000000000007282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T</v>
          </cell>
          <cell r="P114">
            <v>3</v>
          </cell>
          <cell r="T114" t="str">
            <v>000000000007282</v>
          </cell>
        </row>
        <row r="115">
          <cell r="C115" t="str">
            <v>灯具カバーPC IN 2070　L=1966</v>
          </cell>
          <cell r="I115">
            <v>0</v>
          </cell>
          <cell r="J115">
            <v>0</v>
          </cell>
          <cell r="K115">
            <v>0</v>
          </cell>
          <cell r="L115">
            <v>45937</v>
          </cell>
          <cell r="M115">
            <v>2</v>
          </cell>
          <cell r="O115">
            <v>45937</v>
          </cell>
          <cell r="T115" t="str">
            <v>000000000007427</v>
          </cell>
        </row>
        <row r="116">
          <cell r="D116">
            <v>45937</v>
          </cell>
          <cell r="E116" t="str">
            <v>25I25-01</v>
          </cell>
          <cell r="G116" t="str">
            <v/>
          </cell>
          <cell r="I116" t="str">
            <v>25I25-01</v>
          </cell>
          <cell r="J116">
            <v>74</v>
          </cell>
          <cell r="K116">
            <v>74</v>
          </cell>
          <cell r="O116">
            <v>32</v>
          </cell>
          <cell r="P116">
            <v>42</v>
          </cell>
          <cell r="T116" t="str">
            <v>000000000007427</v>
          </cell>
        </row>
        <row r="117">
          <cell r="C117">
            <v>32</v>
          </cell>
          <cell r="G117" t="str">
            <v/>
          </cell>
          <cell r="K117">
            <v>0</v>
          </cell>
          <cell r="O117">
            <v>74</v>
          </cell>
          <cell r="T117" t="str">
            <v>000000000007427</v>
          </cell>
        </row>
        <row r="118">
          <cell r="G118" t="str">
            <v/>
          </cell>
          <cell r="K118">
            <v>0</v>
          </cell>
          <cell r="O118">
            <v>42</v>
          </cell>
          <cell r="T118" t="str">
            <v>000000000007427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42</v>
          </cell>
          <cell r="T119" t="str">
            <v>000000000007427</v>
          </cell>
        </row>
        <row r="120">
          <cell r="C120" t="str">
            <v>灯具-2　L＝1996</v>
          </cell>
          <cell r="G120" t="str">
            <v/>
          </cell>
          <cell r="K120">
            <v>0</v>
          </cell>
          <cell r="L120" t="str">
            <v>旧品加工</v>
          </cell>
          <cell r="O120">
            <v>0</v>
          </cell>
          <cell r="T120" t="str">
            <v>000000000007427</v>
          </cell>
        </row>
        <row r="121">
          <cell r="C121">
            <v>2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-</v>
          </cell>
          <cell r="T121" t="str">
            <v>000000000007427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 t="str">
            <v>C</v>
          </cell>
          <cell r="P122">
            <v>42</v>
          </cell>
          <cell r="T122" t="str">
            <v>000000000007427</v>
          </cell>
        </row>
        <row r="123">
          <cell r="C123" t="str">
            <v>灯具カバーPC IN 2070　L=1966</v>
          </cell>
          <cell r="I123">
            <v>0</v>
          </cell>
          <cell r="J123">
            <v>0</v>
          </cell>
          <cell r="K123">
            <v>0</v>
          </cell>
          <cell r="L123">
            <v>45937</v>
          </cell>
          <cell r="M123">
            <v>1</v>
          </cell>
          <cell r="O123">
            <v>45937</v>
          </cell>
          <cell r="P123">
            <v>3</v>
          </cell>
          <cell r="T123" t="str">
            <v>000000000007925</v>
          </cell>
        </row>
        <row r="124">
          <cell r="D124">
            <v>45937</v>
          </cell>
          <cell r="E124" t="str">
            <v>25I25-01</v>
          </cell>
          <cell r="G124" t="str">
            <v/>
          </cell>
          <cell r="I124" t="str">
            <v>25I25-01</v>
          </cell>
          <cell r="J124">
            <v>9</v>
          </cell>
          <cell r="K124">
            <v>9</v>
          </cell>
          <cell r="O124">
            <v>16</v>
          </cell>
          <cell r="P124">
            <v>4</v>
          </cell>
          <cell r="T124" t="str">
            <v>000000000007925</v>
          </cell>
        </row>
        <row r="125">
          <cell r="C125">
            <v>16</v>
          </cell>
          <cell r="D125">
            <v>45937</v>
          </cell>
          <cell r="E125" t="str">
            <v>25J01-01</v>
          </cell>
          <cell r="G125" t="str">
            <v/>
          </cell>
          <cell r="I125" t="str">
            <v>25J01-01</v>
          </cell>
          <cell r="J125">
            <v>14</v>
          </cell>
          <cell r="K125">
            <v>14</v>
          </cell>
          <cell r="O125">
            <v>23</v>
          </cell>
          <cell r="T125" t="str">
            <v>000000000007925</v>
          </cell>
        </row>
        <row r="126">
          <cell r="G126" t="str">
            <v/>
          </cell>
          <cell r="K126">
            <v>0</v>
          </cell>
          <cell r="O126">
            <v>7</v>
          </cell>
          <cell r="T126" t="str">
            <v>000000000007925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7</v>
          </cell>
          <cell r="T127" t="str">
            <v>000000000007925</v>
          </cell>
        </row>
        <row r="128">
          <cell r="C128" t="str">
            <v>灯具-2　L＝1996</v>
          </cell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000000000007925</v>
          </cell>
        </row>
        <row r="129">
          <cell r="C129">
            <v>1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-</v>
          </cell>
          <cell r="T129" t="str">
            <v>000000000007925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O130" t="str">
            <v>C</v>
          </cell>
          <cell r="P130">
            <v>7</v>
          </cell>
          <cell r="T130" t="str">
            <v>000000000007925</v>
          </cell>
        </row>
        <row r="131">
          <cell r="C131" t="str">
            <v>灯具カバーPC IN 2110　L=1815</v>
          </cell>
          <cell r="D131">
            <v>45920</v>
          </cell>
          <cell r="E131" t="str">
            <v>25I06-02</v>
          </cell>
          <cell r="I131" t="str">
            <v>25I06-02</v>
          </cell>
          <cell r="J131">
            <v>2</v>
          </cell>
          <cell r="K131">
            <v>2</v>
          </cell>
          <cell r="L131">
            <v>45937</v>
          </cell>
          <cell r="M131">
            <v>1</v>
          </cell>
          <cell r="O131">
            <v>45938</v>
          </cell>
          <cell r="P131">
            <v>1</v>
          </cell>
          <cell r="T131" t="str">
            <v>000000000007423-1</v>
          </cell>
        </row>
        <row r="132">
          <cell r="D132">
            <v>45938</v>
          </cell>
          <cell r="E132" t="str">
            <v>25I27-01</v>
          </cell>
          <cell r="G132" t="str">
            <v/>
          </cell>
          <cell r="I132" t="str">
            <v>25I27-01</v>
          </cell>
          <cell r="J132">
            <v>131</v>
          </cell>
          <cell r="K132">
            <v>131</v>
          </cell>
          <cell r="L132">
            <v>45938</v>
          </cell>
          <cell r="M132">
            <v>5</v>
          </cell>
          <cell r="O132">
            <v>96</v>
          </cell>
          <cell r="P132">
            <v>36</v>
          </cell>
          <cell r="T132" t="str">
            <v>000000000007423-1</v>
          </cell>
        </row>
        <row r="133">
          <cell r="C133">
            <v>96</v>
          </cell>
          <cell r="G133" t="str">
            <v/>
          </cell>
          <cell r="K133">
            <v>0</v>
          </cell>
          <cell r="O133">
            <v>133</v>
          </cell>
          <cell r="T133" t="str">
            <v>000000000007423-1</v>
          </cell>
        </row>
        <row r="134">
          <cell r="G134" t="str">
            <v/>
          </cell>
          <cell r="K134">
            <v>0</v>
          </cell>
          <cell r="O134">
            <v>37</v>
          </cell>
          <cell r="T134" t="str">
            <v>000000000007423-1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37</v>
          </cell>
          <cell r="T135" t="str">
            <v>000000000007423-1</v>
          </cell>
        </row>
        <row r="136">
          <cell r="C136" t="str">
            <v>灯具-2　L＝1996</v>
          </cell>
          <cell r="G136" t="str">
            <v/>
          </cell>
          <cell r="K136">
            <v>0</v>
          </cell>
          <cell r="L136" t="str">
            <v>旧品加工</v>
          </cell>
          <cell r="M136">
            <v>2</v>
          </cell>
          <cell r="O136">
            <v>0</v>
          </cell>
          <cell r="T136" t="str">
            <v>000000000007423-1</v>
          </cell>
        </row>
        <row r="137">
          <cell r="C137">
            <v>6</v>
          </cell>
          <cell r="G137" t="str">
            <v/>
          </cell>
          <cell r="K137">
            <v>0</v>
          </cell>
          <cell r="L137" t="str">
            <v>持出端材</v>
          </cell>
          <cell r="O137" t="str">
            <v>-</v>
          </cell>
          <cell r="T137" t="str">
            <v>000000000007423-1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C/T</v>
          </cell>
          <cell r="P138">
            <v>37</v>
          </cell>
          <cell r="T138" t="str">
            <v>000000000007423-1</v>
          </cell>
        </row>
        <row r="139">
          <cell r="C139" t="str">
            <v>灯具カバーPC IN 2090　L=840</v>
          </cell>
          <cell r="D139">
            <v>45908</v>
          </cell>
          <cell r="E139" t="str">
            <v>25I04-01</v>
          </cell>
          <cell r="I139" t="str">
            <v>25I04-01</v>
          </cell>
          <cell r="J139">
            <v>11</v>
          </cell>
          <cell r="K139">
            <v>11</v>
          </cell>
          <cell r="L139">
            <v>45938</v>
          </cell>
          <cell r="M139">
            <v>10</v>
          </cell>
          <cell r="O139">
            <v>45938</v>
          </cell>
          <cell r="P139">
            <v>14</v>
          </cell>
          <cell r="T139" t="str">
            <v>000000000007416</v>
          </cell>
        </row>
        <row r="140">
          <cell r="D140">
            <v>45938</v>
          </cell>
          <cell r="E140" t="str">
            <v>25I24-01</v>
          </cell>
          <cell r="G140" t="str">
            <v/>
          </cell>
          <cell r="I140" t="str">
            <v>25I24-01</v>
          </cell>
          <cell r="J140">
            <v>185</v>
          </cell>
          <cell r="K140">
            <v>185</v>
          </cell>
          <cell r="O140">
            <v>160</v>
          </cell>
          <cell r="P140">
            <v>21</v>
          </cell>
          <cell r="T140" t="str">
            <v>000000000007416</v>
          </cell>
        </row>
        <row r="141">
          <cell r="C141">
            <v>160</v>
          </cell>
          <cell r="G141" t="str">
            <v/>
          </cell>
          <cell r="K141">
            <v>0</v>
          </cell>
          <cell r="O141">
            <v>196</v>
          </cell>
          <cell r="P141">
            <v>1</v>
          </cell>
          <cell r="T141" t="str">
            <v>000000000007416</v>
          </cell>
        </row>
        <row r="142">
          <cell r="G142" t="str">
            <v/>
          </cell>
          <cell r="K142">
            <v>0</v>
          </cell>
          <cell r="O142">
            <v>36</v>
          </cell>
          <cell r="T142" t="str">
            <v>000000000007416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36</v>
          </cell>
          <cell r="T143" t="str">
            <v>000000000007416</v>
          </cell>
        </row>
        <row r="144">
          <cell r="C144" t="str">
            <v>灯具-2　L＝1996</v>
          </cell>
          <cell r="G144" t="str">
            <v/>
          </cell>
          <cell r="K144">
            <v>0</v>
          </cell>
          <cell r="L144" t="str">
            <v>旧品加工</v>
          </cell>
          <cell r="M144">
            <v>11</v>
          </cell>
          <cell r="O144">
            <v>0</v>
          </cell>
          <cell r="T144" t="str">
            <v>000000000007416</v>
          </cell>
        </row>
        <row r="145">
          <cell r="C145">
            <v>5</v>
          </cell>
          <cell r="G145" t="str">
            <v/>
          </cell>
          <cell r="K145">
            <v>0</v>
          </cell>
          <cell r="L145" t="str">
            <v>持出端材</v>
          </cell>
          <cell r="O145" t="str">
            <v>-</v>
          </cell>
          <cell r="T145" t="str">
            <v>000000000007416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O146" t="str">
            <v>T</v>
          </cell>
          <cell r="P146">
            <v>36</v>
          </cell>
          <cell r="T146" t="str">
            <v>000000000007416</v>
          </cell>
        </row>
        <row r="147">
          <cell r="C147" t="str">
            <v>灯具カバーPC IN 2140　L=547</v>
          </cell>
          <cell r="D147">
            <v>45881</v>
          </cell>
          <cell r="E147" t="str">
            <v>25G30-01</v>
          </cell>
          <cell r="I147" t="str">
            <v>25G30-01</v>
          </cell>
          <cell r="J147">
            <v>4</v>
          </cell>
          <cell r="K147">
            <v>4</v>
          </cell>
          <cell r="L147">
            <v>45938</v>
          </cell>
          <cell r="M147">
            <v>9</v>
          </cell>
          <cell r="O147">
            <v>45938</v>
          </cell>
          <cell r="P147">
            <v>6</v>
          </cell>
          <cell r="T147" t="str">
            <v>000000000007415</v>
          </cell>
        </row>
        <row r="148">
          <cell r="D148">
            <v>45938</v>
          </cell>
          <cell r="E148" t="str">
            <v>25I25-01</v>
          </cell>
          <cell r="G148" t="str">
            <v/>
          </cell>
          <cell r="I148" t="str">
            <v>25I25-01</v>
          </cell>
          <cell r="J148">
            <v>186</v>
          </cell>
          <cell r="K148">
            <v>186</v>
          </cell>
          <cell r="O148">
            <v>144</v>
          </cell>
          <cell r="P148">
            <v>40</v>
          </cell>
          <cell r="T148" t="str">
            <v>000000000007415</v>
          </cell>
        </row>
        <row r="149">
          <cell r="C149">
            <v>144</v>
          </cell>
          <cell r="G149" t="str">
            <v/>
          </cell>
          <cell r="K149">
            <v>0</v>
          </cell>
          <cell r="O149">
            <v>190</v>
          </cell>
          <cell r="T149" t="str">
            <v>000000000007415</v>
          </cell>
        </row>
        <row r="150">
          <cell r="G150" t="str">
            <v/>
          </cell>
          <cell r="K150">
            <v>0</v>
          </cell>
          <cell r="O150">
            <v>46</v>
          </cell>
          <cell r="T150" t="str">
            <v>000000000007415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46</v>
          </cell>
          <cell r="T151" t="str">
            <v>000000000007415</v>
          </cell>
        </row>
        <row r="152">
          <cell r="C152" t="str">
            <v>灯具-1　L=1370</v>
          </cell>
          <cell r="G152" t="str">
            <v/>
          </cell>
          <cell r="K152">
            <v>0</v>
          </cell>
          <cell r="L152" t="str">
            <v>旧品加工</v>
          </cell>
          <cell r="M152">
            <v>4</v>
          </cell>
          <cell r="O152">
            <v>0</v>
          </cell>
          <cell r="T152" t="str">
            <v>000000000007415</v>
          </cell>
        </row>
        <row r="153">
          <cell r="C153">
            <v>4.5</v>
          </cell>
          <cell r="G153" t="str">
            <v/>
          </cell>
          <cell r="K153">
            <v>0</v>
          </cell>
          <cell r="L153" t="str">
            <v>持出端材</v>
          </cell>
          <cell r="O153" t="str">
            <v>-</v>
          </cell>
          <cell r="T153" t="str">
            <v>000000000007415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C</v>
          </cell>
          <cell r="P154">
            <v>46</v>
          </cell>
          <cell r="T154" t="str">
            <v>000000000007415</v>
          </cell>
        </row>
        <row r="155">
          <cell r="C155" t="str">
            <v>灯具カバーPC IN 2130　L=908</v>
          </cell>
          <cell r="D155">
            <v>45918</v>
          </cell>
          <cell r="E155" t="str">
            <v>25I07-01</v>
          </cell>
          <cell r="I155" t="str">
            <v>25I07-01</v>
          </cell>
          <cell r="J155">
            <v>14</v>
          </cell>
          <cell r="K155">
            <v>14</v>
          </cell>
          <cell r="L155">
            <v>45939</v>
          </cell>
          <cell r="M155">
            <v>10</v>
          </cell>
          <cell r="O155">
            <v>45939</v>
          </cell>
          <cell r="P155">
            <v>5</v>
          </cell>
          <cell r="T155" t="str">
            <v>000000000007417</v>
          </cell>
        </row>
        <row r="156">
          <cell r="D156">
            <v>45939</v>
          </cell>
          <cell r="E156" t="str">
            <v>25I25-01</v>
          </cell>
          <cell r="G156" t="str">
            <v/>
          </cell>
          <cell r="I156" t="str">
            <v>25I25-01</v>
          </cell>
          <cell r="J156">
            <v>194</v>
          </cell>
          <cell r="K156">
            <v>194</v>
          </cell>
          <cell r="O156">
            <v>160</v>
          </cell>
          <cell r="P156">
            <v>39</v>
          </cell>
          <cell r="T156" t="str">
            <v>000000000007417</v>
          </cell>
        </row>
        <row r="157">
          <cell r="C157">
            <v>160</v>
          </cell>
          <cell r="G157" t="str">
            <v/>
          </cell>
          <cell r="K157">
            <v>0</v>
          </cell>
          <cell r="O157">
            <v>208</v>
          </cell>
          <cell r="P157">
            <v>4</v>
          </cell>
          <cell r="T157" t="str">
            <v>000000000007417</v>
          </cell>
        </row>
        <row r="158">
          <cell r="G158" t="str">
            <v/>
          </cell>
          <cell r="K158">
            <v>0</v>
          </cell>
          <cell r="O158">
            <v>48</v>
          </cell>
          <cell r="T158" t="str">
            <v>000000000007417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48</v>
          </cell>
          <cell r="T159" t="str">
            <v>000000000007417</v>
          </cell>
        </row>
        <row r="160">
          <cell r="C160" t="str">
            <v>灯具-1　L=1370</v>
          </cell>
          <cell r="G160" t="str">
            <v/>
          </cell>
          <cell r="K160">
            <v>0</v>
          </cell>
          <cell r="L160" t="str">
            <v>旧品加工</v>
          </cell>
          <cell r="M160">
            <v>14</v>
          </cell>
          <cell r="O160">
            <v>0</v>
          </cell>
          <cell r="T160" t="str">
            <v>000000000007417</v>
          </cell>
        </row>
        <row r="161">
          <cell r="C161">
            <v>10</v>
          </cell>
          <cell r="G161" t="str">
            <v/>
          </cell>
          <cell r="K161">
            <v>0</v>
          </cell>
          <cell r="L161" t="str">
            <v>持出端材</v>
          </cell>
          <cell r="O161" t="str">
            <v>-</v>
          </cell>
          <cell r="T161" t="str">
            <v>000000000007417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T</v>
          </cell>
          <cell r="P162">
            <v>48</v>
          </cell>
          <cell r="T162" t="str">
            <v>000000000007417</v>
          </cell>
        </row>
        <row r="163">
          <cell r="C163" t="str">
            <v>灯具カバーPC IN 2050　L=1183.5</v>
          </cell>
          <cell r="D163">
            <v>45922</v>
          </cell>
          <cell r="E163" t="str">
            <v>25I07-01</v>
          </cell>
          <cell r="I163" t="str">
            <v>25I07-01</v>
          </cell>
          <cell r="J163">
            <v>10</v>
          </cell>
          <cell r="K163">
            <v>10</v>
          </cell>
          <cell r="L163">
            <v>45939</v>
          </cell>
          <cell r="M163">
            <v>10</v>
          </cell>
          <cell r="O163">
            <v>45939</v>
          </cell>
          <cell r="P163">
            <v>12</v>
          </cell>
          <cell r="T163" t="str">
            <v>000000000007418</v>
          </cell>
        </row>
        <row r="164">
          <cell r="D164">
            <v>45939</v>
          </cell>
          <cell r="E164" t="str">
            <v>25I26-01</v>
          </cell>
          <cell r="G164" t="str">
            <v/>
          </cell>
          <cell r="I164" t="str">
            <v>25I26-01</v>
          </cell>
          <cell r="J164">
            <v>198</v>
          </cell>
          <cell r="K164">
            <v>198</v>
          </cell>
          <cell r="O164">
            <v>160</v>
          </cell>
          <cell r="P164">
            <v>33</v>
          </cell>
          <cell r="T164" t="str">
            <v>000000000007418</v>
          </cell>
        </row>
        <row r="165">
          <cell r="C165">
            <v>160</v>
          </cell>
          <cell r="G165" t="str">
            <v/>
          </cell>
          <cell r="K165">
            <v>0</v>
          </cell>
          <cell r="O165">
            <v>208</v>
          </cell>
          <cell r="P165">
            <v>3</v>
          </cell>
          <cell r="T165" t="str">
            <v>000000000007418</v>
          </cell>
        </row>
        <row r="166">
          <cell r="G166" t="str">
            <v/>
          </cell>
          <cell r="K166">
            <v>0</v>
          </cell>
          <cell r="O166">
            <v>48</v>
          </cell>
          <cell r="T166" t="str">
            <v>000000000007418</v>
          </cell>
        </row>
        <row r="167">
          <cell r="C167">
            <v>1</v>
          </cell>
          <cell r="G167" t="str">
            <v/>
          </cell>
          <cell r="K167">
            <v>0</v>
          </cell>
          <cell r="O167">
            <v>48</v>
          </cell>
          <cell r="T167" t="str">
            <v>000000000007418</v>
          </cell>
        </row>
        <row r="168">
          <cell r="C168" t="str">
            <v>灯具-1　L=1370</v>
          </cell>
          <cell r="G168" t="str">
            <v/>
          </cell>
          <cell r="K168">
            <v>0</v>
          </cell>
          <cell r="L168" t="str">
            <v>旧品加工</v>
          </cell>
          <cell r="M168">
            <v>10</v>
          </cell>
          <cell r="O168">
            <v>0</v>
          </cell>
          <cell r="T168" t="str">
            <v>000000000007418</v>
          </cell>
        </row>
        <row r="169">
          <cell r="C169">
            <v>10</v>
          </cell>
          <cell r="G169" t="str">
            <v/>
          </cell>
          <cell r="K169">
            <v>0</v>
          </cell>
          <cell r="L169" t="str">
            <v>持出端材</v>
          </cell>
          <cell r="O169" t="str">
            <v>-</v>
          </cell>
          <cell r="T169" t="str">
            <v>000000000007418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 t="str">
            <v>C</v>
          </cell>
          <cell r="P170">
            <v>48</v>
          </cell>
          <cell r="T170" t="str">
            <v>000000000007418</v>
          </cell>
        </row>
        <row r="171">
          <cell r="C171" t="str">
            <v>採光ルーバーパネルB　L=1996</v>
          </cell>
          <cell r="I171">
            <v>0</v>
          </cell>
          <cell r="J171">
            <v>0</v>
          </cell>
          <cell r="K171">
            <v>0</v>
          </cell>
          <cell r="L171">
            <v>45944</v>
          </cell>
          <cell r="M171">
            <v>6</v>
          </cell>
          <cell r="O171">
            <v>45944</v>
          </cell>
          <cell r="P171">
            <v>3</v>
          </cell>
          <cell r="T171" t="str">
            <v>000000000007383</v>
          </cell>
        </row>
        <row r="172">
          <cell r="D172">
            <v>45940</v>
          </cell>
          <cell r="E172" t="str">
            <v>25H29-03</v>
          </cell>
          <cell r="F172">
            <v>24</v>
          </cell>
          <cell r="G172">
            <v>1997.52</v>
          </cell>
          <cell r="H172">
            <v>1997.1</v>
          </cell>
          <cell r="I172" t="str">
            <v>25H29-03</v>
          </cell>
          <cell r="J172">
            <v>278</v>
          </cell>
          <cell r="K172">
            <v>278</v>
          </cell>
          <cell r="O172">
            <v>252</v>
          </cell>
          <cell r="P172">
            <v>22</v>
          </cell>
          <cell r="T172" t="str">
            <v>000000000007383</v>
          </cell>
        </row>
        <row r="173">
          <cell r="C173">
            <v>252</v>
          </cell>
          <cell r="D173">
            <v>45940</v>
          </cell>
          <cell r="E173" t="str">
            <v>25H29-03</v>
          </cell>
          <cell r="F173">
            <v>24</v>
          </cell>
          <cell r="G173">
            <v>1997.52</v>
          </cell>
          <cell r="H173">
            <v>1997.1</v>
          </cell>
          <cell r="K173">
            <v>0</v>
          </cell>
          <cell r="O173">
            <v>278</v>
          </cell>
          <cell r="P173">
            <v>1</v>
          </cell>
          <cell r="T173" t="str">
            <v>000000000007383</v>
          </cell>
        </row>
        <row r="174">
          <cell r="D174">
            <v>45944</v>
          </cell>
          <cell r="E174" t="str">
            <v>25H29-03</v>
          </cell>
          <cell r="F174">
            <v>20</v>
          </cell>
          <cell r="G174">
            <v>1997</v>
          </cell>
          <cell r="H174">
            <v>1997.3</v>
          </cell>
          <cell r="K174">
            <v>0</v>
          </cell>
          <cell r="O174">
            <v>26</v>
          </cell>
          <cell r="T174" t="str">
            <v>000000000007383</v>
          </cell>
        </row>
        <row r="175">
          <cell r="C175">
            <v>1</v>
          </cell>
          <cell r="D175">
            <v>45944</v>
          </cell>
          <cell r="E175" t="str">
            <v>25H29-03</v>
          </cell>
          <cell r="F175">
            <v>22</v>
          </cell>
          <cell r="G175">
            <v>1997.26</v>
          </cell>
          <cell r="H175">
            <v>1997.4</v>
          </cell>
          <cell r="K175">
            <v>0</v>
          </cell>
          <cell r="O175">
            <v>26</v>
          </cell>
          <cell r="T175" t="str">
            <v>000000000007383</v>
          </cell>
        </row>
        <row r="176">
          <cell r="C176" t="str">
            <v>上-1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000000000007383</v>
          </cell>
        </row>
        <row r="177">
          <cell r="C177">
            <v>6</v>
          </cell>
          <cell r="G177" t="str">
            <v/>
          </cell>
          <cell r="K177">
            <v>0</v>
          </cell>
          <cell r="L177" t="str">
            <v>持出端材</v>
          </cell>
          <cell r="O177" t="str">
            <v>M/C</v>
          </cell>
          <cell r="T177" t="str">
            <v>000000000007383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T</v>
          </cell>
          <cell r="P178">
            <v>26</v>
          </cell>
          <cell r="T178" t="str">
            <v>000000000007383</v>
          </cell>
        </row>
        <row r="179">
          <cell r="C179" t="str">
            <v>灯具カバーPC IN 2100　L=1923</v>
          </cell>
          <cell r="D179">
            <v>45918</v>
          </cell>
          <cell r="E179" t="str">
            <v>25I05-01</v>
          </cell>
          <cell r="I179" t="str">
            <v>25I05-01</v>
          </cell>
          <cell r="J179">
            <v>1</v>
          </cell>
          <cell r="K179">
            <v>1</v>
          </cell>
          <cell r="L179">
            <v>45940</v>
          </cell>
          <cell r="M179">
            <v>10</v>
          </cell>
          <cell r="O179">
            <v>45940</v>
          </cell>
          <cell r="P179">
            <v>3</v>
          </cell>
          <cell r="T179" t="str">
            <v>000000000007425</v>
          </cell>
        </row>
        <row r="180">
          <cell r="D180">
            <v>45940</v>
          </cell>
          <cell r="E180" t="str">
            <v>25I26-01</v>
          </cell>
          <cell r="G180" t="str">
            <v/>
          </cell>
          <cell r="I180" t="str">
            <v>25I26-01</v>
          </cell>
          <cell r="J180">
            <v>191</v>
          </cell>
          <cell r="K180">
            <v>191</v>
          </cell>
          <cell r="O180">
            <v>160</v>
          </cell>
          <cell r="P180">
            <v>28</v>
          </cell>
          <cell r="T180" t="str">
            <v>000000000007425</v>
          </cell>
        </row>
        <row r="181">
          <cell r="C181">
            <v>160</v>
          </cell>
          <cell r="G181" t="str">
            <v/>
          </cell>
          <cell r="K181">
            <v>0</v>
          </cell>
          <cell r="O181">
            <v>192</v>
          </cell>
          <cell r="P181">
            <v>1</v>
          </cell>
          <cell r="T181" t="str">
            <v>000000000007425</v>
          </cell>
        </row>
        <row r="182">
          <cell r="G182" t="str">
            <v/>
          </cell>
          <cell r="K182">
            <v>0</v>
          </cell>
          <cell r="O182">
            <v>32</v>
          </cell>
          <cell r="T182" t="str">
            <v>000000000007425</v>
          </cell>
        </row>
        <row r="183">
          <cell r="C183">
            <v>1</v>
          </cell>
          <cell r="G183" t="str">
            <v/>
          </cell>
          <cell r="K183">
            <v>0</v>
          </cell>
          <cell r="O183">
            <v>32</v>
          </cell>
          <cell r="T183" t="str">
            <v>000000000007425</v>
          </cell>
        </row>
        <row r="184">
          <cell r="C184" t="str">
            <v>灯具-2　L＝1996</v>
          </cell>
          <cell r="G184" t="str">
            <v/>
          </cell>
          <cell r="K184">
            <v>0</v>
          </cell>
          <cell r="L184" t="str">
            <v>旧品加工</v>
          </cell>
          <cell r="M184">
            <v>1</v>
          </cell>
          <cell r="O184">
            <v>0</v>
          </cell>
          <cell r="T184" t="str">
            <v>000000000007425</v>
          </cell>
        </row>
        <row r="185">
          <cell r="C185">
            <v>10</v>
          </cell>
          <cell r="G185" t="str">
            <v/>
          </cell>
          <cell r="K185">
            <v>0</v>
          </cell>
          <cell r="L185" t="str">
            <v>持出端材</v>
          </cell>
          <cell r="O185" t="str">
            <v>-</v>
          </cell>
          <cell r="T185" t="str">
            <v>000000000007425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O186" t="str">
            <v>M</v>
          </cell>
          <cell r="P186">
            <v>32</v>
          </cell>
          <cell r="T186" t="str">
            <v>000000000007425</v>
          </cell>
        </row>
        <row r="187">
          <cell r="C187" t="str">
            <v>灯具カバーPC IN 2070　L=1966</v>
          </cell>
          <cell r="I187">
            <v>0</v>
          </cell>
          <cell r="J187">
            <v>0</v>
          </cell>
          <cell r="K187">
            <v>0</v>
          </cell>
          <cell r="L187">
            <v>45944</v>
          </cell>
          <cell r="M187">
            <v>2</v>
          </cell>
          <cell r="O187">
            <v>45945</v>
          </cell>
          <cell r="P187">
            <v>17</v>
          </cell>
          <cell r="T187" t="str">
            <v>000000000007926-1</v>
          </cell>
        </row>
        <row r="188">
          <cell r="D188">
            <v>45944</v>
          </cell>
          <cell r="E188" t="str">
            <v>25J01-01</v>
          </cell>
          <cell r="G188" t="str">
            <v/>
          </cell>
          <cell r="I188" t="str">
            <v>25J01-01</v>
          </cell>
          <cell r="J188">
            <v>186</v>
          </cell>
          <cell r="K188">
            <v>186</v>
          </cell>
          <cell r="L188">
            <v>45945</v>
          </cell>
          <cell r="M188">
            <v>10</v>
          </cell>
          <cell r="O188">
            <v>192</v>
          </cell>
          <cell r="P188">
            <v>13</v>
          </cell>
          <cell r="T188" t="str">
            <v>000000000007926-1</v>
          </cell>
        </row>
        <row r="189">
          <cell r="C189">
            <v>192</v>
          </cell>
          <cell r="D189">
            <v>45945</v>
          </cell>
          <cell r="E189" t="str">
            <v>25J02-02</v>
          </cell>
          <cell r="G189" t="str">
            <v/>
          </cell>
          <cell r="I189" t="str">
            <v>25J02-02</v>
          </cell>
          <cell r="J189">
            <v>64</v>
          </cell>
          <cell r="K189">
            <v>64</v>
          </cell>
          <cell r="O189">
            <v>250</v>
          </cell>
          <cell r="T189" t="str">
            <v>000000000007926-1</v>
          </cell>
        </row>
        <row r="190">
          <cell r="G190" t="str">
            <v/>
          </cell>
          <cell r="K190">
            <v>0</v>
          </cell>
          <cell r="O190">
            <v>58</v>
          </cell>
          <cell r="T190" t="str">
            <v>000000000007926-1</v>
          </cell>
        </row>
        <row r="191">
          <cell r="C191">
            <v>1</v>
          </cell>
          <cell r="G191" t="str">
            <v/>
          </cell>
          <cell r="K191">
            <v>0</v>
          </cell>
          <cell r="O191">
            <v>58</v>
          </cell>
          <cell r="T191" t="str">
            <v>000000000007926-1</v>
          </cell>
        </row>
        <row r="192">
          <cell r="C192" t="str">
            <v>灯具-2　L＝1996</v>
          </cell>
          <cell r="G192" t="str">
            <v/>
          </cell>
          <cell r="K192">
            <v>0</v>
          </cell>
          <cell r="L192" t="str">
            <v>旧品加工</v>
          </cell>
          <cell r="O192">
            <v>0</v>
          </cell>
          <cell r="P192">
            <v>28</v>
          </cell>
          <cell r="T192" t="str">
            <v>000000000007926-1</v>
          </cell>
        </row>
        <row r="193">
          <cell r="C193">
            <v>12</v>
          </cell>
          <cell r="G193" t="str">
            <v/>
          </cell>
          <cell r="K193">
            <v>0</v>
          </cell>
          <cell r="L193" t="str">
            <v>持出端材</v>
          </cell>
          <cell r="O193" t="str">
            <v>-</v>
          </cell>
          <cell r="T193" t="str">
            <v>000000000007926-1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 t="str">
            <v>M</v>
          </cell>
          <cell r="P194">
            <v>58</v>
          </cell>
          <cell r="T194" t="str">
            <v>000000000007926-1</v>
          </cell>
        </row>
        <row r="195">
          <cell r="C195" t="str">
            <v>灯具カバーPC IN 2500　L=1238</v>
          </cell>
          <cell r="D195">
            <v>45847</v>
          </cell>
          <cell r="E195" t="str">
            <v>25G03-01</v>
          </cell>
          <cell r="I195" t="str">
            <v>25G03-01</v>
          </cell>
          <cell r="J195">
            <v>8</v>
          </cell>
          <cell r="K195">
            <v>8</v>
          </cell>
          <cell r="L195">
            <v>45945</v>
          </cell>
          <cell r="M195">
            <v>4</v>
          </cell>
          <cell r="O195">
            <v>45945</v>
          </cell>
          <cell r="P195">
            <v>1</v>
          </cell>
          <cell r="T195" t="str">
            <v>000000000007419</v>
          </cell>
        </row>
        <row r="196">
          <cell r="D196">
            <v>45945</v>
          </cell>
          <cell r="E196" t="str">
            <v>25I27-01</v>
          </cell>
          <cell r="G196" t="str">
            <v/>
          </cell>
          <cell r="I196" t="str">
            <v>25I27-01</v>
          </cell>
          <cell r="J196">
            <v>89</v>
          </cell>
          <cell r="K196">
            <v>89</v>
          </cell>
          <cell r="O196">
            <v>64</v>
          </cell>
          <cell r="P196">
            <v>32</v>
          </cell>
          <cell r="T196" t="str">
            <v>000000000007419</v>
          </cell>
        </row>
        <row r="197">
          <cell r="C197">
            <v>64</v>
          </cell>
          <cell r="G197" t="str">
            <v/>
          </cell>
          <cell r="K197">
            <v>0</v>
          </cell>
          <cell r="O197">
            <v>97</v>
          </cell>
          <cell r="T197" t="str">
            <v>000000000007419</v>
          </cell>
        </row>
        <row r="198">
          <cell r="G198" t="str">
            <v/>
          </cell>
          <cell r="K198">
            <v>0</v>
          </cell>
          <cell r="O198">
            <v>33</v>
          </cell>
          <cell r="T198" t="str">
            <v>000000000007419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33</v>
          </cell>
          <cell r="T199" t="str">
            <v>000000000007419</v>
          </cell>
        </row>
        <row r="200">
          <cell r="C200" t="str">
            <v>灯具-1　L=1370</v>
          </cell>
          <cell r="G200" t="str">
            <v/>
          </cell>
          <cell r="K200">
            <v>0</v>
          </cell>
          <cell r="L200" t="str">
            <v>旧品加工</v>
          </cell>
          <cell r="M200">
            <v>8</v>
          </cell>
          <cell r="O200">
            <v>0</v>
          </cell>
          <cell r="T200" t="str">
            <v>000000000007419</v>
          </cell>
        </row>
        <row r="201">
          <cell r="C201">
            <v>4</v>
          </cell>
          <cell r="G201" t="str">
            <v/>
          </cell>
          <cell r="K201">
            <v>0</v>
          </cell>
          <cell r="L201" t="str">
            <v>持出端材</v>
          </cell>
          <cell r="O201" t="str">
            <v>-</v>
          </cell>
          <cell r="T201" t="str">
            <v>000000000007419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 t="str">
            <v>C</v>
          </cell>
          <cell r="P202">
            <v>33</v>
          </cell>
          <cell r="T202" t="str">
            <v>000000000007419</v>
          </cell>
        </row>
        <row r="203">
          <cell r="C203" t="str">
            <v>灯具カバーPC IN 2080　L=1540</v>
          </cell>
          <cell r="I203">
            <v>0</v>
          </cell>
          <cell r="J203">
            <v>0</v>
          </cell>
          <cell r="K203">
            <v>0</v>
          </cell>
          <cell r="L203">
            <v>45946</v>
          </cell>
          <cell r="M203">
            <v>5</v>
          </cell>
          <cell r="O203">
            <v>45946</v>
          </cell>
          <cell r="P203">
            <v>2</v>
          </cell>
          <cell r="T203" t="str">
            <v>000000000007421</v>
          </cell>
        </row>
        <row r="204">
          <cell r="D204">
            <v>45946</v>
          </cell>
          <cell r="E204" t="str">
            <v>25I27-01</v>
          </cell>
          <cell r="G204" t="str">
            <v/>
          </cell>
          <cell r="I204" t="str">
            <v>25I27-01</v>
          </cell>
          <cell r="J204">
            <v>95</v>
          </cell>
          <cell r="K204">
            <v>95</v>
          </cell>
          <cell r="O204">
            <v>80</v>
          </cell>
          <cell r="P204">
            <v>13</v>
          </cell>
          <cell r="T204" t="str">
            <v>000000000007421</v>
          </cell>
        </row>
        <row r="205">
          <cell r="C205">
            <v>80</v>
          </cell>
          <cell r="G205" t="str">
            <v/>
          </cell>
          <cell r="K205">
            <v>0</v>
          </cell>
          <cell r="O205">
            <v>95</v>
          </cell>
          <cell r="T205" t="str">
            <v>000000000007421</v>
          </cell>
        </row>
        <row r="206">
          <cell r="G206" t="str">
            <v/>
          </cell>
          <cell r="K206">
            <v>0</v>
          </cell>
          <cell r="O206">
            <v>15</v>
          </cell>
          <cell r="T206" t="str">
            <v>000000000007421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15</v>
          </cell>
          <cell r="T207" t="str">
            <v>000000000007421</v>
          </cell>
        </row>
        <row r="208">
          <cell r="C208" t="str">
            <v>灯具-2　L＝1996</v>
          </cell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000000000007421</v>
          </cell>
        </row>
        <row r="209">
          <cell r="C209">
            <v>5</v>
          </cell>
          <cell r="G209" t="str">
            <v/>
          </cell>
          <cell r="K209">
            <v>0</v>
          </cell>
          <cell r="L209" t="str">
            <v>持出端材</v>
          </cell>
          <cell r="O209" t="str">
            <v>-</v>
          </cell>
          <cell r="T209" t="str">
            <v>000000000007421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 t="str">
            <v>T</v>
          </cell>
          <cell r="P210">
            <v>15</v>
          </cell>
          <cell r="T210" t="str">
            <v>000000000007421</v>
          </cell>
        </row>
        <row r="211">
          <cell r="C211" t="str">
            <v>灯具カバーPC IN 2060　L=1258.5</v>
          </cell>
          <cell r="D211">
            <v>45888</v>
          </cell>
          <cell r="E211" t="str">
            <v>25G31-01</v>
          </cell>
          <cell r="I211" t="str">
            <v>25G31-01</v>
          </cell>
          <cell r="J211">
            <v>2</v>
          </cell>
          <cell r="K211">
            <v>2</v>
          </cell>
          <cell r="L211">
            <v>45946</v>
          </cell>
          <cell r="M211">
            <v>9</v>
          </cell>
          <cell r="O211">
            <v>45946</v>
          </cell>
          <cell r="P211">
            <v>2</v>
          </cell>
          <cell r="T211" t="str">
            <v>000000000007420</v>
          </cell>
        </row>
        <row r="212">
          <cell r="D212">
            <v>45946</v>
          </cell>
          <cell r="E212" t="str">
            <v>25I26-01</v>
          </cell>
          <cell r="G212" t="str">
            <v/>
          </cell>
          <cell r="I212" t="str">
            <v>25I26-01</v>
          </cell>
          <cell r="J212">
            <v>161</v>
          </cell>
          <cell r="K212">
            <v>161</v>
          </cell>
          <cell r="O212">
            <v>144</v>
          </cell>
          <cell r="P212">
            <v>16</v>
          </cell>
          <cell r="T212" t="str">
            <v>000000000007420</v>
          </cell>
        </row>
        <row r="213">
          <cell r="C213">
            <v>144</v>
          </cell>
          <cell r="G213" t="str">
            <v/>
          </cell>
          <cell r="K213">
            <v>0</v>
          </cell>
          <cell r="O213">
            <v>163</v>
          </cell>
          <cell r="P213">
            <v>1</v>
          </cell>
          <cell r="T213" t="str">
            <v>000000000007420</v>
          </cell>
        </row>
        <row r="214">
          <cell r="G214" t="str">
            <v/>
          </cell>
          <cell r="K214">
            <v>0</v>
          </cell>
          <cell r="O214">
            <v>19</v>
          </cell>
          <cell r="T214" t="str">
            <v>000000000007420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19</v>
          </cell>
          <cell r="T215" t="str">
            <v>000000000007420</v>
          </cell>
        </row>
        <row r="216">
          <cell r="C216" t="str">
            <v>灯具-1　L=1370</v>
          </cell>
          <cell r="G216" t="str">
            <v/>
          </cell>
          <cell r="K216">
            <v>0</v>
          </cell>
          <cell r="L216" t="str">
            <v>旧品加工</v>
          </cell>
          <cell r="M216">
            <v>2</v>
          </cell>
          <cell r="O216">
            <v>0</v>
          </cell>
          <cell r="T216" t="str">
            <v>000000000007420</v>
          </cell>
        </row>
        <row r="217">
          <cell r="C217">
            <v>9</v>
          </cell>
          <cell r="G217" t="str">
            <v/>
          </cell>
          <cell r="K217">
            <v>0</v>
          </cell>
          <cell r="L217" t="str">
            <v>持出端材</v>
          </cell>
          <cell r="O217" t="str">
            <v>-</v>
          </cell>
          <cell r="T217" t="str">
            <v>000000000007420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 t="str">
            <v>T</v>
          </cell>
          <cell r="P218">
            <v>19</v>
          </cell>
          <cell r="T218" t="str">
            <v>000000000007420</v>
          </cell>
        </row>
        <row r="219">
          <cell r="C219" t="str">
            <v>灯具カバーPC  　2190    L=1240</v>
          </cell>
          <cell r="I219">
            <v>0</v>
          </cell>
          <cell r="J219">
            <v>0</v>
          </cell>
          <cell r="K219">
            <v>0</v>
          </cell>
          <cell r="L219">
            <v>45946</v>
          </cell>
          <cell r="M219">
            <v>12</v>
          </cell>
          <cell r="O219">
            <v>45946</v>
          </cell>
          <cell r="P219">
            <v>3</v>
          </cell>
          <cell r="T219" t="str">
            <v>000000000007414</v>
          </cell>
        </row>
        <row r="220">
          <cell r="D220">
            <v>45946</v>
          </cell>
          <cell r="E220" t="str">
            <v>25I26-01</v>
          </cell>
          <cell r="F220">
            <v>22</v>
          </cell>
          <cell r="G220">
            <v>1240.2</v>
          </cell>
          <cell r="H220">
            <v>1240.06</v>
          </cell>
          <cell r="I220" t="str">
            <v>25I26-01</v>
          </cell>
          <cell r="J220">
            <v>32</v>
          </cell>
          <cell r="K220">
            <v>32</v>
          </cell>
          <cell r="O220">
            <v>24</v>
          </cell>
          <cell r="P220">
            <v>5</v>
          </cell>
          <cell r="T220" t="str">
            <v>000000000007414</v>
          </cell>
        </row>
        <row r="221">
          <cell r="C221">
            <v>24</v>
          </cell>
          <cell r="D221">
            <v>45946</v>
          </cell>
          <cell r="E221" t="str">
            <v>25I26-01</v>
          </cell>
          <cell r="F221">
            <v>22</v>
          </cell>
          <cell r="G221">
            <v>1240.2</v>
          </cell>
          <cell r="H221">
            <v>1240.04</v>
          </cell>
          <cell r="K221">
            <v>0</v>
          </cell>
          <cell r="O221">
            <v>32</v>
          </cell>
          <cell r="T221" t="str">
            <v>000000000007414</v>
          </cell>
        </row>
        <row r="222">
          <cell r="G222" t="str">
            <v/>
          </cell>
          <cell r="K222">
            <v>0</v>
          </cell>
          <cell r="O222">
            <v>8</v>
          </cell>
          <cell r="T222" t="str">
            <v>000000000007414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8</v>
          </cell>
          <cell r="T223" t="str">
            <v>000000000007414</v>
          </cell>
        </row>
        <row r="224">
          <cell r="C224" t="str">
            <v>H型ジョイナー</v>
          </cell>
          <cell r="G224" t="str">
            <v/>
          </cell>
          <cell r="K224">
            <v>0</v>
          </cell>
          <cell r="L224" t="str">
            <v>旧品加工</v>
          </cell>
          <cell r="O224">
            <v>0</v>
          </cell>
          <cell r="T224" t="str">
            <v>000000000007414</v>
          </cell>
        </row>
        <row r="225">
          <cell r="C225">
            <v>12</v>
          </cell>
          <cell r="G225" t="str">
            <v/>
          </cell>
          <cell r="K225">
            <v>0</v>
          </cell>
          <cell r="L225" t="str">
            <v>持出端材</v>
          </cell>
          <cell r="O225" t="str">
            <v>C</v>
          </cell>
          <cell r="T225" t="str">
            <v>000000000007414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 t="str">
            <v>T</v>
          </cell>
          <cell r="P226">
            <v>8</v>
          </cell>
          <cell r="T226" t="str">
            <v>000000000007414</v>
          </cell>
        </row>
        <row r="227">
          <cell r="C227" t="str">
            <v>灯具カバーPC IN 2470　L=1648</v>
          </cell>
          <cell r="D227">
            <v>45848</v>
          </cell>
          <cell r="E227" t="str">
            <v>25G03-01</v>
          </cell>
          <cell r="I227" t="str">
            <v>25G03-01</v>
          </cell>
          <cell r="J227">
            <v>2</v>
          </cell>
          <cell r="K227">
            <v>2</v>
          </cell>
          <cell r="L227">
            <v>45947</v>
          </cell>
          <cell r="M227">
            <v>5</v>
          </cell>
          <cell r="O227">
            <v>45947</v>
          </cell>
          <cell r="P227">
            <v>8</v>
          </cell>
          <cell r="T227" t="str">
            <v>000000000007422</v>
          </cell>
        </row>
        <row r="228">
          <cell r="D228">
            <v>45947</v>
          </cell>
          <cell r="E228" t="str">
            <v>25I27-01</v>
          </cell>
          <cell r="G228" t="str">
            <v/>
          </cell>
          <cell r="I228" t="str">
            <v>25I27-01</v>
          </cell>
          <cell r="J228">
            <v>90</v>
          </cell>
          <cell r="K228">
            <v>90</v>
          </cell>
          <cell r="O228">
            <v>80</v>
          </cell>
          <cell r="P228">
            <v>4</v>
          </cell>
          <cell r="T228" t="str">
            <v>000000000007422</v>
          </cell>
        </row>
        <row r="229">
          <cell r="C229">
            <v>80</v>
          </cell>
          <cell r="G229" t="str">
            <v/>
          </cell>
          <cell r="K229">
            <v>0</v>
          </cell>
          <cell r="O229">
            <v>92</v>
          </cell>
          <cell r="T229" t="str">
            <v>000000000007422</v>
          </cell>
        </row>
        <row r="230">
          <cell r="G230" t="str">
            <v/>
          </cell>
          <cell r="K230">
            <v>0</v>
          </cell>
          <cell r="O230">
            <v>12</v>
          </cell>
          <cell r="T230" t="str">
            <v>000000000007422</v>
          </cell>
        </row>
        <row r="231">
          <cell r="C231">
            <v>1</v>
          </cell>
          <cell r="G231" t="str">
            <v/>
          </cell>
          <cell r="K231">
            <v>0</v>
          </cell>
          <cell r="O231">
            <v>12</v>
          </cell>
          <cell r="T231" t="str">
            <v>000000000007422</v>
          </cell>
        </row>
        <row r="232">
          <cell r="C232" t="str">
            <v>灯具-1　L=1370</v>
          </cell>
          <cell r="G232" t="str">
            <v/>
          </cell>
          <cell r="K232">
            <v>0</v>
          </cell>
          <cell r="L232" t="str">
            <v>旧品加工</v>
          </cell>
          <cell r="M232">
            <v>2</v>
          </cell>
          <cell r="O232">
            <v>0</v>
          </cell>
          <cell r="T232" t="str">
            <v>000000000007422</v>
          </cell>
        </row>
        <row r="233">
          <cell r="C233">
            <v>5</v>
          </cell>
          <cell r="G233" t="str">
            <v/>
          </cell>
          <cell r="K233">
            <v>0</v>
          </cell>
          <cell r="L233" t="str">
            <v>持出端材</v>
          </cell>
          <cell r="O233" t="str">
            <v>-</v>
          </cell>
          <cell r="T233" t="str">
            <v>000000000007422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O234" t="str">
            <v>T</v>
          </cell>
          <cell r="P234">
            <v>12</v>
          </cell>
          <cell r="T234" t="str">
            <v>000000000007422</v>
          </cell>
        </row>
        <row r="235">
          <cell r="C235" t="str">
            <v>灯具カバーPC IN 2110　L=1815</v>
          </cell>
          <cell r="I235">
            <v>0</v>
          </cell>
          <cell r="J235">
            <v>0</v>
          </cell>
          <cell r="K235">
            <v>0</v>
          </cell>
          <cell r="L235">
            <v>45947</v>
          </cell>
          <cell r="M235">
            <v>4</v>
          </cell>
          <cell r="O235">
            <v>45947</v>
          </cell>
          <cell r="P235">
            <v>3</v>
          </cell>
          <cell r="T235" t="str">
            <v>000000000007423-2</v>
          </cell>
        </row>
        <row r="236">
          <cell r="D236">
            <v>45947</v>
          </cell>
          <cell r="E236" t="str">
            <v>25I27-01</v>
          </cell>
          <cell r="G236" t="str">
            <v/>
          </cell>
          <cell r="I236" t="str">
            <v>25I27-01</v>
          </cell>
          <cell r="J236">
            <v>72</v>
          </cell>
          <cell r="K236">
            <v>72</v>
          </cell>
          <cell r="O236">
            <v>64</v>
          </cell>
          <cell r="P236">
            <v>5</v>
          </cell>
          <cell r="T236" t="str">
            <v>000000000007423-2</v>
          </cell>
        </row>
        <row r="237">
          <cell r="C237">
            <v>64</v>
          </cell>
          <cell r="G237" t="str">
            <v/>
          </cell>
          <cell r="K237">
            <v>0</v>
          </cell>
          <cell r="O237">
            <v>72</v>
          </cell>
          <cell r="T237" t="str">
            <v>000000000007423-2</v>
          </cell>
        </row>
        <row r="238">
          <cell r="G238" t="str">
            <v/>
          </cell>
          <cell r="K238">
            <v>0</v>
          </cell>
          <cell r="O238">
            <v>8</v>
          </cell>
          <cell r="T238" t="str">
            <v>000000000007423-2</v>
          </cell>
        </row>
        <row r="239">
          <cell r="C239">
            <v>1</v>
          </cell>
          <cell r="G239" t="str">
            <v/>
          </cell>
          <cell r="K239">
            <v>0</v>
          </cell>
          <cell r="O239">
            <v>8</v>
          </cell>
          <cell r="T239" t="str">
            <v>000000000007423-2</v>
          </cell>
        </row>
        <row r="240">
          <cell r="C240" t="str">
            <v>灯具-2　L＝1996</v>
          </cell>
          <cell r="G240" t="str">
            <v/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000000000007423-2</v>
          </cell>
        </row>
        <row r="241">
          <cell r="C241">
            <v>4</v>
          </cell>
          <cell r="G241" t="str">
            <v/>
          </cell>
          <cell r="K241">
            <v>0</v>
          </cell>
          <cell r="L241" t="str">
            <v>持出端材</v>
          </cell>
          <cell r="O241" t="str">
            <v>-</v>
          </cell>
          <cell r="T241" t="str">
            <v>000000000007423-2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O242" t="str">
            <v>T</v>
          </cell>
          <cell r="P242">
            <v>8</v>
          </cell>
          <cell r="T242" t="str">
            <v>000000000007423-2</v>
          </cell>
        </row>
        <row r="243">
          <cell r="C243" t="str">
            <v>灯具カバーPC IN 2130　L=908</v>
          </cell>
          <cell r="D243">
            <v>45889</v>
          </cell>
          <cell r="E243" t="str">
            <v>25G30-01</v>
          </cell>
          <cell r="I243" t="str">
            <v>25G30-01</v>
          </cell>
          <cell r="J243">
            <v>1</v>
          </cell>
          <cell r="K243">
            <v>1</v>
          </cell>
          <cell r="L243">
            <v>45855</v>
          </cell>
          <cell r="M243">
            <v>11</v>
          </cell>
          <cell r="O243">
            <v>45855</v>
          </cell>
          <cell r="P243">
            <v>11</v>
          </cell>
          <cell r="T243" t="str">
            <v>000000000008225</v>
          </cell>
        </row>
        <row r="244">
          <cell r="D244">
            <v>45939</v>
          </cell>
          <cell r="E244" t="str">
            <v>25I25-01</v>
          </cell>
          <cell r="G244" t="str">
            <v/>
          </cell>
          <cell r="I244" t="str">
            <v>25I25-01</v>
          </cell>
          <cell r="J244">
            <v>6</v>
          </cell>
          <cell r="K244">
            <v>6</v>
          </cell>
          <cell r="O244">
            <v>176</v>
          </cell>
          <cell r="P244">
            <v>20</v>
          </cell>
          <cell r="T244" t="str">
            <v>000000000008225</v>
          </cell>
        </row>
        <row r="245">
          <cell r="C245">
            <v>176</v>
          </cell>
          <cell r="D245">
            <v>45947</v>
          </cell>
          <cell r="E245" t="str">
            <v>25J02-01</v>
          </cell>
          <cell r="G245" t="str">
            <v/>
          </cell>
          <cell r="I245" t="str">
            <v>25J02-01</v>
          </cell>
          <cell r="J245">
            <v>200</v>
          </cell>
          <cell r="K245">
            <v>200</v>
          </cell>
          <cell r="O245">
            <v>207</v>
          </cell>
          <cell r="T245" t="str">
            <v>000000000008225</v>
          </cell>
        </row>
        <row r="246">
          <cell r="G246" t="str">
            <v/>
          </cell>
          <cell r="K246">
            <v>0</v>
          </cell>
          <cell r="O246">
            <v>31</v>
          </cell>
          <cell r="T246" t="str">
            <v>000000000008225</v>
          </cell>
        </row>
        <row r="247">
          <cell r="C247">
            <v>1</v>
          </cell>
          <cell r="G247" t="str">
            <v/>
          </cell>
          <cell r="K247">
            <v>0</v>
          </cell>
          <cell r="O247">
            <v>31</v>
          </cell>
          <cell r="T247" t="str">
            <v>000000000008225</v>
          </cell>
        </row>
        <row r="248">
          <cell r="C248" t="str">
            <v>灯具-1　L=1370</v>
          </cell>
          <cell r="G248" t="str">
            <v/>
          </cell>
          <cell r="K248">
            <v>0</v>
          </cell>
          <cell r="L248" t="str">
            <v>旧品加工</v>
          </cell>
          <cell r="M248">
            <v>1</v>
          </cell>
          <cell r="O248">
            <v>0</v>
          </cell>
          <cell r="T248" t="str">
            <v>000000000008225</v>
          </cell>
        </row>
        <row r="249">
          <cell r="C249">
            <v>11</v>
          </cell>
          <cell r="G249" t="str">
            <v/>
          </cell>
          <cell r="K249">
            <v>0</v>
          </cell>
          <cell r="L249" t="str">
            <v>持出端材</v>
          </cell>
          <cell r="O249" t="str">
            <v>-</v>
          </cell>
          <cell r="T249" t="str">
            <v>000000000008225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O250" t="str">
            <v>T/C</v>
          </cell>
          <cell r="P250">
            <v>31</v>
          </cell>
          <cell r="T250" t="str">
            <v>000000000008225</v>
          </cell>
        </row>
        <row r="251">
          <cell r="C251" t="str">
            <v>灯具カバーPC IN 2090　L=840</v>
          </cell>
          <cell r="D251">
            <v>45938</v>
          </cell>
          <cell r="E251" t="str">
            <v>25I24-01</v>
          </cell>
          <cell r="I251" t="str">
            <v>25I24-01</v>
          </cell>
          <cell r="J251">
            <v>15</v>
          </cell>
          <cell r="K251">
            <v>15</v>
          </cell>
          <cell r="L251">
            <v>45981</v>
          </cell>
          <cell r="M251">
            <v>11</v>
          </cell>
          <cell r="O251">
            <v>45981</v>
          </cell>
          <cell r="P251">
            <v>10</v>
          </cell>
          <cell r="T251" t="str">
            <v>000000000008224</v>
          </cell>
        </row>
        <row r="252">
          <cell r="D252">
            <v>45950</v>
          </cell>
          <cell r="E252" t="str">
            <v>25J02-01</v>
          </cell>
          <cell r="G252" t="str">
            <v/>
          </cell>
          <cell r="I252" t="str">
            <v>25J02-01</v>
          </cell>
          <cell r="J252">
            <v>197</v>
          </cell>
          <cell r="K252">
            <v>197</v>
          </cell>
          <cell r="O252">
            <v>176</v>
          </cell>
          <cell r="P252">
            <v>26</v>
          </cell>
          <cell r="T252" t="str">
            <v>000000000008224</v>
          </cell>
        </row>
        <row r="253">
          <cell r="C253">
            <v>176</v>
          </cell>
          <cell r="G253" t="str">
            <v/>
          </cell>
          <cell r="K253">
            <v>0</v>
          </cell>
          <cell r="O253">
            <v>212</v>
          </cell>
          <cell r="T253" t="str">
            <v>000000000008224</v>
          </cell>
        </row>
        <row r="254">
          <cell r="G254" t="str">
            <v/>
          </cell>
          <cell r="K254">
            <v>0</v>
          </cell>
          <cell r="O254">
            <v>36</v>
          </cell>
          <cell r="T254" t="str">
            <v>000000000008224</v>
          </cell>
        </row>
        <row r="255">
          <cell r="C255">
            <v>1</v>
          </cell>
          <cell r="G255" t="str">
            <v/>
          </cell>
          <cell r="K255">
            <v>0</v>
          </cell>
          <cell r="O255">
            <v>36</v>
          </cell>
          <cell r="T255" t="str">
            <v>000000000008224</v>
          </cell>
        </row>
        <row r="256">
          <cell r="C256" t="str">
            <v>灯具-2　L＝1996</v>
          </cell>
          <cell r="G256" t="str">
            <v/>
          </cell>
          <cell r="K256">
            <v>0</v>
          </cell>
          <cell r="L256" t="str">
            <v>旧品加工</v>
          </cell>
          <cell r="M256">
            <v>15</v>
          </cell>
          <cell r="O256">
            <v>0</v>
          </cell>
          <cell r="T256" t="str">
            <v>000000000008224</v>
          </cell>
        </row>
        <row r="257">
          <cell r="C257">
            <v>5.5</v>
          </cell>
          <cell r="G257" t="str">
            <v/>
          </cell>
          <cell r="K257">
            <v>0</v>
          </cell>
          <cell r="L257" t="str">
            <v>持出端材</v>
          </cell>
          <cell r="O257" t="str">
            <v>-</v>
          </cell>
          <cell r="T257" t="str">
            <v>000000000008224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O258" t="str">
            <v>T</v>
          </cell>
          <cell r="P258">
            <v>36</v>
          </cell>
          <cell r="T258" t="str">
            <v>000000000008224</v>
          </cell>
        </row>
        <row r="259">
          <cell r="C259" t="str">
            <v>照明ｶﾊﾞｰS15　L=550</v>
          </cell>
          <cell r="I259">
            <v>0</v>
          </cell>
          <cell r="J259">
            <v>0</v>
          </cell>
          <cell r="K259">
            <v>0</v>
          </cell>
          <cell r="L259">
            <v>45947</v>
          </cell>
          <cell r="M259">
            <v>10</v>
          </cell>
          <cell r="O259">
            <v>45947</v>
          </cell>
          <cell r="T259" t="str">
            <v>000000000008066</v>
          </cell>
        </row>
        <row r="260">
          <cell r="D260">
            <v>45947</v>
          </cell>
          <cell r="E260" t="str">
            <v>25A16C</v>
          </cell>
          <cell r="F260">
            <v>20</v>
          </cell>
          <cell r="G260">
            <v>550</v>
          </cell>
          <cell r="H260">
            <v>550.25</v>
          </cell>
          <cell r="I260" t="str">
            <v>25A16C</v>
          </cell>
          <cell r="J260">
            <v>300</v>
          </cell>
          <cell r="K260">
            <v>100</v>
          </cell>
          <cell r="O260">
            <v>500</v>
          </cell>
          <cell r="T260" t="str">
            <v>000000000008066</v>
          </cell>
        </row>
        <row r="261">
          <cell r="C261">
            <v>500</v>
          </cell>
          <cell r="D261">
            <v>45947</v>
          </cell>
          <cell r="E261" t="str">
            <v>25A16B</v>
          </cell>
          <cell r="F261">
            <v>26</v>
          </cell>
          <cell r="G261">
            <v>550.20000000000005</v>
          </cell>
          <cell r="H261">
            <v>550.29999999999995</v>
          </cell>
          <cell r="I261" t="str">
            <v>25A16B</v>
          </cell>
          <cell r="J261">
            <v>200</v>
          </cell>
          <cell r="K261">
            <v>67</v>
          </cell>
          <cell r="O261">
            <v>167</v>
          </cell>
          <cell r="T261" t="str">
            <v>000000000008066</v>
          </cell>
        </row>
        <row r="262">
          <cell r="D262">
            <v>45947</v>
          </cell>
          <cell r="E262" t="str">
            <v>25A16B</v>
          </cell>
          <cell r="F262">
            <v>26</v>
          </cell>
          <cell r="G262">
            <v>550.20000000000005</v>
          </cell>
          <cell r="H262">
            <v>550.21</v>
          </cell>
          <cell r="K262">
            <v>0</v>
          </cell>
          <cell r="O262">
            <v>0</v>
          </cell>
          <cell r="T262" t="str">
            <v>000000000008066</v>
          </cell>
        </row>
        <row r="263">
          <cell r="C263">
            <v>3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000000000008066</v>
          </cell>
        </row>
        <row r="264">
          <cell r="C264" t="str">
            <v>基材梱包箱</v>
          </cell>
          <cell r="G264" t="str">
            <v/>
          </cell>
          <cell r="K264">
            <v>0</v>
          </cell>
          <cell r="L264" t="str">
            <v>旧品加工</v>
          </cell>
          <cell r="O264">
            <v>0</v>
          </cell>
          <cell r="T264" t="str">
            <v>000000000008066</v>
          </cell>
        </row>
        <row r="265">
          <cell r="C265">
            <v>10</v>
          </cell>
          <cell r="G265" t="str">
            <v/>
          </cell>
          <cell r="K265">
            <v>0</v>
          </cell>
          <cell r="L265" t="str">
            <v>持出端材</v>
          </cell>
          <cell r="O265" t="str">
            <v>M</v>
          </cell>
          <cell r="T265" t="str">
            <v>000000000008066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O266" t="str">
            <v>M</v>
          </cell>
          <cell r="P266">
            <v>0</v>
          </cell>
          <cell r="T266" t="str">
            <v>000000000008066</v>
          </cell>
        </row>
        <row r="267">
          <cell r="C267" t="str">
            <v>照明ｶﾊﾞｰL15　L=820</v>
          </cell>
          <cell r="I267">
            <v>0</v>
          </cell>
          <cell r="J267">
            <v>0</v>
          </cell>
          <cell r="K267">
            <v>0</v>
          </cell>
          <cell r="L267">
            <v>45946</v>
          </cell>
          <cell r="M267">
            <v>6</v>
          </cell>
          <cell r="O267">
            <v>45946</v>
          </cell>
          <cell r="T267" t="str">
            <v>000000000008266</v>
          </cell>
        </row>
        <row r="268">
          <cell r="D268">
            <v>45946</v>
          </cell>
          <cell r="E268" t="str">
            <v>25A16B</v>
          </cell>
          <cell r="F268">
            <v>22</v>
          </cell>
          <cell r="G268">
            <v>820.1</v>
          </cell>
          <cell r="H268">
            <v>820.35</v>
          </cell>
          <cell r="I268" t="str">
            <v>25A16B</v>
          </cell>
          <cell r="J268">
            <v>100</v>
          </cell>
          <cell r="K268">
            <v>50</v>
          </cell>
          <cell r="O268">
            <v>300</v>
          </cell>
          <cell r="T268" t="str">
            <v>000000000008266</v>
          </cell>
        </row>
        <row r="269">
          <cell r="C269">
            <v>300</v>
          </cell>
          <cell r="D269">
            <v>45946</v>
          </cell>
          <cell r="E269" t="str">
            <v>25A16C</v>
          </cell>
          <cell r="F269">
            <v>22</v>
          </cell>
          <cell r="G269">
            <v>820.1</v>
          </cell>
          <cell r="H269">
            <v>819.83</v>
          </cell>
          <cell r="I269" t="str">
            <v>25A16C</v>
          </cell>
          <cell r="J269">
            <v>200</v>
          </cell>
          <cell r="K269">
            <v>100</v>
          </cell>
          <cell r="O269">
            <v>150</v>
          </cell>
          <cell r="T269" t="str">
            <v>000000000008266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000000000008266</v>
          </cell>
        </row>
        <row r="271">
          <cell r="C271">
            <v>2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000000000008266</v>
          </cell>
        </row>
        <row r="272">
          <cell r="C272" t="str">
            <v>基材梱包箱</v>
          </cell>
          <cell r="G272" t="str">
            <v/>
          </cell>
          <cell r="K272">
            <v>0</v>
          </cell>
          <cell r="L272" t="str">
            <v>旧品加工</v>
          </cell>
          <cell r="O272">
            <v>0</v>
          </cell>
          <cell r="T272" t="str">
            <v>000000000008266</v>
          </cell>
        </row>
        <row r="273">
          <cell r="C273">
            <v>6</v>
          </cell>
          <cell r="G273" t="str">
            <v/>
          </cell>
          <cell r="K273">
            <v>0</v>
          </cell>
          <cell r="L273" t="str">
            <v>持出端材</v>
          </cell>
          <cell r="O273" t="str">
            <v>M</v>
          </cell>
          <cell r="T273" t="str">
            <v>000000000008266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0</v>
          </cell>
          <cell r="O274" t="str">
            <v>M</v>
          </cell>
          <cell r="P274">
            <v>0</v>
          </cell>
          <cell r="T274" t="str">
            <v>000000000008266</v>
          </cell>
        </row>
        <row r="275">
          <cell r="C275" t="str">
            <v>8FL281304 6110　L=1478</v>
          </cell>
          <cell r="D275">
            <v>45933</v>
          </cell>
          <cell r="E275" t="str">
            <v>25I23-11</v>
          </cell>
          <cell r="I275" t="str">
            <v>25I23-11</v>
          </cell>
          <cell r="J275">
            <v>6</v>
          </cell>
          <cell r="K275">
            <v>6</v>
          </cell>
          <cell r="L275">
            <v>45950</v>
          </cell>
          <cell r="M275">
            <v>9</v>
          </cell>
          <cell r="O275">
            <v>45951</v>
          </cell>
          <cell r="P275">
            <v>8</v>
          </cell>
          <cell r="T275" t="str">
            <v>000000000007290</v>
          </cell>
        </row>
        <row r="276">
          <cell r="D276">
            <v>45937</v>
          </cell>
          <cell r="E276" t="str">
            <v>25I24-12</v>
          </cell>
          <cell r="F276" t="str">
            <v>-</v>
          </cell>
          <cell r="G276" t="str">
            <v/>
          </cell>
          <cell r="H276" t="str">
            <v>-</v>
          </cell>
          <cell r="I276" t="str">
            <v>25I24-12</v>
          </cell>
          <cell r="J276">
            <v>16</v>
          </cell>
          <cell r="K276">
            <v>16</v>
          </cell>
          <cell r="L276">
            <v>45951</v>
          </cell>
          <cell r="M276">
            <v>4</v>
          </cell>
          <cell r="O276">
            <v>1300</v>
          </cell>
          <cell r="T276" t="str">
            <v>000000000007290</v>
          </cell>
        </row>
        <row r="277">
          <cell r="C277">
            <v>1300</v>
          </cell>
          <cell r="D277">
            <v>45947</v>
          </cell>
          <cell r="E277" t="str">
            <v>25I25-13</v>
          </cell>
          <cell r="F277">
            <v>26</v>
          </cell>
          <cell r="G277">
            <v>1478.58</v>
          </cell>
          <cell r="H277">
            <v>1478.58</v>
          </cell>
          <cell r="I277" t="str">
            <v>25I25-13</v>
          </cell>
          <cell r="J277">
            <v>800</v>
          </cell>
          <cell r="K277">
            <v>800</v>
          </cell>
          <cell r="O277">
            <v>1309</v>
          </cell>
          <cell r="P277">
            <v>1</v>
          </cell>
          <cell r="T277" t="str">
            <v>000000000007290</v>
          </cell>
        </row>
        <row r="278">
          <cell r="D278">
            <v>45950</v>
          </cell>
          <cell r="E278" t="str">
            <v>25I25-13</v>
          </cell>
          <cell r="F278">
            <v>22</v>
          </cell>
          <cell r="G278">
            <v>1478.19</v>
          </cell>
          <cell r="H278">
            <v>1478.38</v>
          </cell>
          <cell r="I278" t="str">
            <v>25I26-14</v>
          </cell>
          <cell r="J278">
            <v>487</v>
          </cell>
          <cell r="K278">
            <v>487</v>
          </cell>
          <cell r="O278">
            <v>9</v>
          </cell>
          <cell r="T278" t="str">
            <v>000000000007290</v>
          </cell>
        </row>
        <row r="279">
          <cell r="C279">
            <v>1</v>
          </cell>
          <cell r="D279">
            <v>45950</v>
          </cell>
          <cell r="E279" t="str">
            <v>25I25-13</v>
          </cell>
          <cell r="F279">
            <v>22</v>
          </cell>
          <cell r="G279">
            <v>1478.19</v>
          </cell>
          <cell r="H279">
            <v>1478.39</v>
          </cell>
          <cell r="K279">
            <v>0</v>
          </cell>
          <cell r="O279">
            <v>9</v>
          </cell>
          <cell r="T279" t="str">
            <v>000000000007290</v>
          </cell>
        </row>
        <row r="280">
          <cell r="C280" t="str">
            <v>LED-A1478</v>
          </cell>
          <cell r="D280">
            <v>45950</v>
          </cell>
          <cell r="E280" t="str">
            <v>25I26-14</v>
          </cell>
          <cell r="F280">
            <v>22</v>
          </cell>
          <cell r="G280">
            <v>1478.19</v>
          </cell>
          <cell r="H280">
            <v>1478.27</v>
          </cell>
          <cell r="K280">
            <v>0</v>
          </cell>
          <cell r="L280" t="str">
            <v>旧品加工</v>
          </cell>
          <cell r="M280">
            <v>6</v>
          </cell>
          <cell r="O280">
            <v>0</v>
          </cell>
          <cell r="T280" t="str">
            <v>000000000007290</v>
          </cell>
        </row>
        <row r="281">
          <cell r="C281">
            <v>13</v>
          </cell>
          <cell r="D281">
            <v>45950</v>
          </cell>
          <cell r="E281" t="str">
            <v>25I26-14</v>
          </cell>
          <cell r="F281">
            <v>20</v>
          </cell>
          <cell r="G281">
            <v>1478</v>
          </cell>
          <cell r="H281">
            <v>1478.16</v>
          </cell>
          <cell r="K281">
            <v>0</v>
          </cell>
          <cell r="L281" t="str">
            <v>持出端材</v>
          </cell>
          <cell r="O281" t="str">
            <v>M/C</v>
          </cell>
          <cell r="T281" t="str">
            <v>000000000007290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O282" t="str">
            <v>T/U</v>
          </cell>
          <cell r="P282">
            <v>9</v>
          </cell>
          <cell r="T282" t="str">
            <v>000000000007290</v>
          </cell>
        </row>
        <row r="283">
          <cell r="C283" t="str">
            <v>採光ルーバーパネルB　L=1996</v>
          </cell>
          <cell r="D283">
            <v>45944</v>
          </cell>
          <cell r="E283" t="str">
            <v>25H29-03</v>
          </cell>
          <cell r="I283" t="str">
            <v>25H29-03</v>
          </cell>
          <cell r="J283">
            <v>21</v>
          </cell>
          <cell r="K283">
            <v>21</v>
          </cell>
          <cell r="L283">
            <v>45951</v>
          </cell>
          <cell r="M283">
            <v>6</v>
          </cell>
          <cell r="O283">
            <v>45951</v>
          </cell>
          <cell r="P283">
            <v>1</v>
          </cell>
          <cell r="T283" t="str">
            <v>000000000008267</v>
          </cell>
        </row>
        <row r="284">
          <cell r="D284">
            <v>45951</v>
          </cell>
          <cell r="E284" t="str">
            <v>25J13-01</v>
          </cell>
          <cell r="F284">
            <v>18</v>
          </cell>
          <cell r="G284">
            <v>1995.74</v>
          </cell>
          <cell r="H284">
            <v>1996.21</v>
          </cell>
          <cell r="I284" t="str">
            <v>25J13-01</v>
          </cell>
          <cell r="J284">
            <v>285</v>
          </cell>
          <cell r="K284">
            <v>285</v>
          </cell>
          <cell r="O284">
            <v>252</v>
          </cell>
          <cell r="P284">
            <v>51</v>
          </cell>
          <cell r="T284" t="str">
            <v>000000000008267</v>
          </cell>
        </row>
        <row r="285">
          <cell r="C285">
            <v>252</v>
          </cell>
          <cell r="D285">
            <v>45951</v>
          </cell>
          <cell r="E285" t="str">
            <v>25J13-01</v>
          </cell>
          <cell r="F285">
            <v>20</v>
          </cell>
          <cell r="G285">
            <v>1996</v>
          </cell>
          <cell r="H285">
            <v>1996.6</v>
          </cell>
          <cell r="K285">
            <v>0</v>
          </cell>
          <cell r="O285">
            <v>306</v>
          </cell>
          <cell r="P285">
            <v>2</v>
          </cell>
          <cell r="T285" t="str">
            <v>000000000008267</v>
          </cell>
        </row>
        <row r="286">
          <cell r="G286" t="str">
            <v/>
          </cell>
          <cell r="K286">
            <v>0</v>
          </cell>
          <cell r="O286">
            <v>54</v>
          </cell>
          <cell r="T286" t="str">
            <v>000000000008267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54</v>
          </cell>
          <cell r="T287" t="str">
            <v>000000000008267</v>
          </cell>
        </row>
        <row r="288">
          <cell r="C288" t="str">
            <v>上-1</v>
          </cell>
          <cell r="G288" t="str">
            <v/>
          </cell>
          <cell r="K288">
            <v>0</v>
          </cell>
          <cell r="L288" t="str">
            <v>旧品加工</v>
          </cell>
          <cell r="M288">
            <v>21</v>
          </cell>
          <cell r="O288">
            <v>0</v>
          </cell>
          <cell r="T288" t="str">
            <v>000000000008267</v>
          </cell>
        </row>
        <row r="289">
          <cell r="C289">
            <v>6</v>
          </cell>
          <cell r="G289" t="str">
            <v/>
          </cell>
          <cell r="K289">
            <v>0</v>
          </cell>
          <cell r="L289" t="str">
            <v>持出端材</v>
          </cell>
          <cell r="O289" t="str">
            <v>M/C</v>
          </cell>
          <cell r="T289" t="str">
            <v>000000000008267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O290" t="str">
            <v>T/U</v>
          </cell>
          <cell r="P290">
            <v>54</v>
          </cell>
          <cell r="T290" t="str">
            <v>000000000008267</v>
          </cell>
        </row>
        <row r="291">
          <cell r="C291" t="str">
            <v>8FL281304 6110　L=1478</v>
          </cell>
          <cell r="I291">
            <v>0</v>
          </cell>
          <cell r="J291">
            <v>0</v>
          </cell>
          <cell r="K291">
            <v>0</v>
          </cell>
          <cell r="L291">
            <v>45952</v>
          </cell>
          <cell r="M291">
            <v>4</v>
          </cell>
          <cell r="O291">
            <v>45952</v>
          </cell>
          <cell r="P291">
            <v>3</v>
          </cell>
          <cell r="T291" t="str">
            <v>000000000007956</v>
          </cell>
        </row>
        <row r="292">
          <cell r="D292">
            <v>45951</v>
          </cell>
          <cell r="E292" t="str">
            <v>25I26-14</v>
          </cell>
          <cell r="F292">
            <v>20</v>
          </cell>
          <cell r="G292">
            <v>1478</v>
          </cell>
          <cell r="H292">
            <v>1477.99</v>
          </cell>
          <cell r="I292" t="str">
            <v>25I26-14</v>
          </cell>
          <cell r="J292">
            <v>313</v>
          </cell>
          <cell r="K292">
            <v>313</v>
          </cell>
          <cell r="O292">
            <v>400</v>
          </cell>
          <cell r="T292" t="str">
            <v>000000000007956</v>
          </cell>
        </row>
        <row r="293">
          <cell r="C293">
            <v>400</v>
          </cell>
          <cell r="D293">
            <v>45951</v>
          </cell>
          <cell r="E293" t="str">
            <v>25J16-01</v>
          </cell>
          <cell r="F293">
            <v>20</v>
          </cell>
          <cell r="G293">
            <v>1478</v>
          </cell>
          <cell r="H293">
            <v>1478.36</v>
          </cell>
          <cell r="I293" t="str">
            <v>25J16-01</v>
          </cell>
          <cell r="J293">
            <v>90</v>
          </cell>
          <cell r="K293">
            <v>90</v>
          </cell>
          <cell r="O293">
            <v>403</v>
          </cell>
          <cell r="T293" t="str">
            <v>000000000007956</v>
          </cell>
        </row>
        <row r="294">
          <cell r="G294" t="str">
            <v/>
          </cell>
          <cell r="K294">
            <v>0</v>
          </cell>
          <cell r="O294">
            <v>3</v>
          </cell>
          <cell r="T294" t="str">
            <v>000000000007956</v>
          </cell>
        </row>
        <row r="295">
          <cell r="C295">
            <v>1</v>
          </cell>
          <cell r="G295" t="str">
            <v/>
          </cell>
          <cell r="K295">
            <v>0</v>
          </cell>
          <cell r="O295">
            <v>3</v>
          </cell>
          <cell r="T295" t="str">
            <v>000000000007956</v>
          </cell>
        </row>
        <row r="296">
          <cell r="C296" t="str">
            <v>LED-A1478</v>
          </cell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000000000007956</v>
          </cell>
        </row>
        <row r="297">
          <cell r="C297">
            <v>4</v>
          </cell>
          <cell r="G297" t="str">
            <v/>
          </cell>
          <cell r="K297">
            <v>0</v>
          </cell>
          <cell r="L297" t="str">
            <v>持出端材</v>
          </cell>
          <cell r="O297" t="str">
            <v>C/M</v>
          </cell>
          <cell r="T297" t="str">
            <v>000000000007956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O298" t="str">
            <v>T/U</v>
          </cell>
          <cell r="P298">
            <v>3</v>
          </cell>
          <cell r="T298" t="str">
            <v>000000000007956</v>
          </cell>
        </row>
        <row r="299">
          <cell r="C299" t="str">
            <v>8FL281304 5010　L=888</v>
          </cell>
          <cell r="D299">
            <v>45936</v>
          </cell>
          <cell r="E299" t="str">
            <v>25I24-12</v>
          </cell>
          <cell r="I299" t="str">
            <v>25I24-12</v>
          </cell>
          <cell r="J299">
            <v>4</v>
          </cell>
          <cell r="K299">
            <v>2</v>
          </cell>
          <cell r="L299">
            <v>45952</v>
          </cell>
          <cell r="M299">
            <v>7</v>
          </cell>
          <cell r="O299">
            <v>45952</v>
          </cell>
          <cell r="P299">
            <v>6</v>
          </cell>
          <cell r="T299" t="str">
            <v>000000000007954</v>
          </cell>
        </row>
        <row r="300">
          <cell r="D300">
            <v>45951</v>
          </cell>
          <cell r="E300" t="str">
            <v>25J16-01</v>
          </cell>
          <cell r="F300">
            <v>20</v>
          </cell>
          <cell r="G300">
            <v>888</v>
          </cell>
          <cell r="H300">
            <v>888.24</v>
          </cell>
          <cell r="I300" t="str">
            <v>25J16-01</v>
          </cell>
          <cell r="J300">
            <v>701</v>
          </cell>
          <cell r="K300">
            <v>351</v>
          </cell>
          <cell r="O300">
            <v>700</v>
          </cell>
          <cell r="T300" t="str">
            <v>000000000007954</v>
          </cell>
        </row>
        <row r="301">
          <cell r="C301">
            <v>700</v>
          </cell>
          <cell r="D301">
            <v>45952</v>
          </cell>
          <cell r="E301" t="str">
            <v>25J16-01</v>
          </cell>
          <cell r="F301">
            <v>16</v>
          </cell>
          <cell r="G301">
            <v>887.77</v>
          </cell>
          <cell r="H301">
            <v>887.97</v>
          </cell>
          <cell r="K301">
            <v>0</v>
          </cell>
          <cell r="O301">
            <v>353</v>
          </cell>
          <cell r="P301">
            <v>1</v>
          </cell>
          <cell r="T301" t="str">
            <v>000000000007954</v>
          </cell>
        </row>
        <row r="302">
          <cell r="D302">
            <v>45952</v>
          </cell>
          <cell r="E302" t="str">
            <v>25J16-01</v>
          </cell>
          <cell r="F302">
            <v>18</v>
          </cell>
          <cell r="G302">
            <v>887.88</v>
          </cell>
          <cell r="H302">
            <v>887.83</v>
          </cell>
          <cell r="K302">
            <v>0</v>
          </cell>
          <cell r="O302">
            <v>4</v>
          </cell>
          <cell r="T302" t="str">
            <v>000000000007954</v>
          </cell>
        </row>
        <row r="303">
          <cell r="C303">
            <v>2</v>
          </cell>
          <cell r="G303" t="str">
            <v/>
          </cell>
          <cell r="K303">
            <v>0</v>
          </cell>
          <cell r="O303">
            <v>7</v>
          </cell>
          <cell r="T303" t="str">
            <v>000000000007954</v>
          </cell>
        </row>
        <row r="304">
          <cell r="C304" t="str">
            <v>LED-A888</v>
          </cell>
          <cell r="G304" t="str">
            <v/>
          </cell>
          <cell r="K304">
            <v>0</v>
          </cell>
          <cell r="L304" t="str">
            <v>旧品加工</v>
          </cell>
          <cell r="M304">
            <v>5</v>
          </cell>
          <cell r="O304">
            <v>1</v>
          </cell>
          <cell r="T304" t="str">
            <v>000000000007954</v>
          </cell>
        </row>
        <row r="305">
          <cell r="C305">
            <v>7</v>
          </cell>
          <cell r="G305" t="str">
            <v/>
          </cell>
          <cell r="K305">
            <v>0</v>
          </cell>
          <cell r="L305" t="str">
            <v>持出端材</v>
          </cell>
          <cell r="O305" t="str">
            <v>C/M</v>
          </cell>
          <cell r="T305" t="str">
            <v>000000000007954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1</v>
          </cell>
          <cell r="O306" t="str">
            <v>T/U</v>
          </cell>
          <cell r="P306">
            <v>7</v>
          </cell>
          <cell r="T306" t="str">
            <v>000000000007954</v>
          </cell>
        </row>
        <row r="307">
          <cell r="C307" t="str">
            <v>8FL281304 5010　L=888</v>
          </cell>
          <cell r="I307">
            <v>0</v>
          </cell>
          <cell r="J307">
            <v>0</v>
          </cell>
          <cell r="K307">
            <v>0</v>
          </cell>
          <cell r="L307">
            <v>45953</v>
          </cell>
          <cell r="M307">
            <v>2</v>
          </cell>
          <cell r="O307">
            <v>45953</v>
          </cell>
          <cell r="T307" t="str">
            <v>000000000007953</v>
          </cell>
        </row>
        <row r="308">
          <cell r="D308">
            <v>45952</v>
          </cell>
          <cell r="E308" t="str">
            <v>25J16-01</v>
          </cell>
          <cell r="F308">
            <v>20</v>
          </cell>
          <cell r="G308">
            <v>888</v>
          </cell>
          <cell r="H308">
            <v>887.83</v>
          </cell>
          <cell r="I308" t="str">
            <v>25J16-01</v>
          </cell>
          <cell r="J308">
            <v>200</v>
          </cell>
          <cell r="K308">
            <v>100</v>
          </cell>
          <cell r="O308">
            <v>200</v>
          </cell>
          <cell r="T308" t="str">
            <v>000000000007953</v>
          </cell>
        </row>
        <row r="309">
          <cell r="C309">
            <v>200</v>
          </cell>
          <cell r="D309">
            <v>45952</v>
          </cell>
          <cell r="E309" t="str">
            <v>25J16-01</v>
          </cell>
          <cell r="F309">
            <v>20</v>
          </cell>
          <cell r="G309">
            <v>888</v>
          </cell>
          <cell r="H309">
            <v>887.96</v>
          </cell>
          <cell r="K309">
            <v>0</v>
          </cell>
          <cell r="O309">
            <v>100</v>
          </cell>
          <cell r="T309" t="str">
            <v>000000000007953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000000000007953</v>
          </cell>
        </row>
        <row r="311">
          <cell r="C311">
            <v>2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000000000007953</v>
          </cell>
        </row>
        <row r="312">
          <cell r="C312" t="str">
            <v>LED-A888</v>
          </cell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000000000007953</v>
          </cell>
        </row>
        <row r="313">
          <cell r="C313">
            <v>2</v>
          </cell>
          <cell r="G313" t="str">
            <v/>
          </cell>
          <cell r="K313">
            <v>0</v>
          </cell>
          <cell r="L313" t="str">
            <v>持出端材</v>
          </cell>
          <cell r="O313" t="str">
            <v>C</v>
          </cell>
          <cell r="T313" t="str">
            <v>000000000007953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O314" t="str">
            <v>T</v>
          </cell>
          <cell r="P314">
            <v>0</v>
          </cell>
          <cell r="T314" t="str">
            <v>000000000007953</v>
          </cell>
        </row>
        <row r="315">
          <cell r="C315" t="str">
            <v>8FL281304 4910　L=592</v>
          </cell>
          <cell r="D315">
            <v>45937</v>
          </cell>
          <cell r="E315" t="str">
            <v>25I26-14</v>
          </cell>
          <cell r="I315" t="str">
            <v>25I26-14</v>
          </cell>
          <cell r="J315">
            <v>6</v>
          </cell>
          <cell r="K315">
            <v>2</v>
          </cell>
          <cell r="L315">
            <v>45953</v>
          </cell>
          <cell r="M315">
            <v>3</v>
          </cell>
          <cell r="O315">
            <v>45953</v>
          </cell>
          <cell r="P315">
            <v>1</v>
          </cell>
          <cell r="T315" t="str">
            <v>000000000007952</v>
          </cell>
        </row>
        <row r="316">
          <cell r="D316">
            <v>45952</v>
          </cell>
          <cell r="E316" t="str">
            <v>25J16-01</v>
          </cell>
          <cell r="F316">
            <v>20</v>
          </cell>
          <cell r="G316">
            <v>592</v>
          </cell>
          <cell r="H316">
            <v>591.72</v>
          </cell>
          <cell r="I316" t="str">
            <v>25J16-01</v>
          </cell>
          <cell r="J316">
            <v>291</v>
          </cell>
          <cell r="K316">
            <v>97</v>
          </cell>
          <cell r="O316">
            <v>300</v>
          </cell>
          <cell r="T316" t="str">
            <v>000000000007952</v>
          </cell>
        </row>
        <row r="317">
          <cell r="C317">
            <v>300</v>
          </cell>
          <cell r="D317">
            <v>45952</v>
          </cell>
          <cell r="E317" t="str">
            <v>25J16-01</v>
          </cell>
          <cell r="F317">
            <v>20</v>
          </cell>
          <cell r="G317">
            <v>592</v>
          </cell>
          <cell r="H317">
            <v>591.78</v>
          </cell>
          <cell r="K317">
            <v>0</v>
          </cell>
          <cell r="O317">
            <v>99</v>
          </cell>
          <cell r="T317" t="str">
            <v>000000000007952</v>
          </cell>
        </row>
        <row r="318">
          <cell r="G318" t="str">
            <v/>
          </cell>
          <cell r="K318">
            <v>0</v>
          </cell>
          <cell r="O318">
            <v>1</v>
          </cell>
          <cell r="T318" t="str">
            <v>000000000007952</v>
          </cell>
        </row>
        <row r="319">
          <cell r="C319">
            <v>3</v>
          </cell>
          <cell r="G319" t="str">
            <v/>
          </cell>
          <cell r="K319">
            <v>0</v>
          </cell>
          <cell r="O319">
            <v>1</v>
          </cell>
          <cell r="T319" t="str">
            <v>000000000007952</v>
          </cell>
        </row>
        <row r="320">
          <cell r="C320" t="str">
            <v>LED-A592</v>
          </cell>
          <cell r="G320" t="str">
            <v/>
          </cell>
          <cell r="K320">
            <v>0</v>
          </cell>
          <cell r="L320" t="str">
            <v>旧品加工</v>
          </cell>
          <cell r="M320">
            <v>8</v>
          </cell>
          <cell r="O320">
            <v>2</v>
          </cell>
          <cell r="T320" t="str">
            <v>000000000007952</v>
          </cell>
        </row>
        <row r="321">
          <cell r="C321">
            <v>3</v>
          </cell>
          <cell r="G321" t="str">
            <v/>
          </cell>
          <cell r="K321">
            <v>0</v>
          </cell>
          <cell r="L321" t="str">
            <v>持出端材</v>
          </cell>
          <cell r="O321" t="str">
            <v>C</v>
          </cell>
          <cell r="T321" t="str">
            <v>000000000007952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2</v>
          </cell>
          <cell r="O322" t="str">
            <v>T</v>
          </cell>
          <cell r="P322">
            <v>1</v>
          </cell>
          <cell r="T322" t="str">
            <v>000000000007952</v>
          </cell>
        </row>
        <row r="323">
          <cell r="C323" t="str">
            <v>8FL281304 4810　L=297</v>
          </cell>
          <cell r="D323">
            <v>45937</v>
          </cell>
          <cell r="E323" t="str">
            <v>25I24-12</v>
          </cell>
          <cell r="I323" t="str">
            <v>25I24-12</v>
          </cell>
          <cell r="J323">
            <v>0</v>
          </cell>
          <cell r="K323">
            <v>0</v>
          </cell>
          <cell r="L323">
            <v>45953</v>
          </cell>
          <cell r="M323">
            <v>4</v>
          </cell>
          <cell r="O323">
            <v>45953</v>
          </cell>
          <cell r="T323" t="str">
            <v>000000000007951</v>
          </cell>
        </row>
        <row r="324">
          <cell r="D324">
            <v>45952</v>
          </cell>
          <cell r="E324" t="str">
            <v>25J16-01</v>
          </cell>
          <cell r="G324" t="str">
            <v/>
          </cell>
          <cell r="I324" t="str">
            <v>25J16-01</v>
          </cell>
          <cell r="J324">
            <v>288</v>
          </cell>
          <cell r="K324">
            <v>48</v>
          </cell>
          <cell r="O324">
            <v>400</v>
          </cell>
          <cell r="T324" t="str">
            <v>000000000007951</v>
          </cell>
        </row>
        <row r="325">
          <cell r="C325">
            <v>400</v>
          </cell>
          <cell r="D325">
            <v>45952</v>
          </cell>
          <cell r="E325" t="str">
            <v>25I26-15</v>
          </cell>
          <cell r="G325" t="str">
            <v/>
          </cell>
          <cell r="I325" t="str">
            <v>25I26-15</v>
          </cell>
          <cell r="J325">
            <v>34</v>
          </cell>
          <cell r="K325">
            <v>6</v>
          </cell>
          <cell r="O325">
            <v>54</v>
          </cell>
          <cell r="T325" t="str">
            <v>000000000007951</v>
          </cell>
        </row>
        <row r="326">
          <cell r="G326" t="str">
            <v/>
          </cell>
          <cell r="K326">
            <v>0</v>
          </cell>
          <cell r="O326">
            <v>1</v>
          </cell>
          <cell r="T326" t="str">
            <v>000000000007951</v>
          </cell>
        </row>
        <row r="327">
          <cell r="C327">
            <v>6</v>
          </cell>
          <cell r="G327" t="str">
            <v/>
          </cell>
          <cell r="K327">
            <v>0</v>
          </cell>
          <cell r="O327">
            <v>1</v>
          </cell>
          <cell r="T327" t="str">
            <v>000000000007951</v>
          </cell>
        </row>
        <row r="328">
          <cell r="C328" t="str">
            <v>LED-A300</v>
          </cell>
          <cell r="G328" t="str">
            <v/>
          </cell>
          <cell r="K328">
            <v>0</v>
          </cell>
          <cell r="L328" t="str">
            <v>旧品加工</v>
          </cell>
          <cell r="M328">
            <v>5</v>
          </cell>
          <cell r="O328">
            <v>74</v>
          </cell>
          <cell r="T328" t="str">
            <v>000000000007951</v>
          </cell>
        </row>
        <row r="329">
          <cell r="C329">
            <v>4</v>
          </cell>
          <cell r="G329" t="str">
            <v/>
          </cell>
          <cell r="K329">
            <v>0</v>
          </cell>
          <cell r="L329" t="str">
            <v>持出端材</v>
          </cell>
          <cell r="M329">
            <v>69</v>
          </cell>
          <cell r="O329" t="str">
            <v>C</v>
          </cell>
          <cell r="P329">
            <v>1</v>
          </cell>
          <cell r="T329" t="str">
            <v>000000000007951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5</v>
          </cell>
          <cell r="O330" t="str">
            <v>T</v>
          </cell>
          <cell r="P330">
            <v>1</v>
          </cell>
          <cell r="T330" t="str">
            <v>000000000007951</v>
          </cell>
        </row>
        <row r="331">
          <cell r="C331" t="str">
            <v>採光ルーバーパネルB　L=1996</v>
          </cell>
          <cell r="D331">
            <v>45951</v>
          </cell>
          <cell r="E331" t="str">
            <v>25J13-01</v>
          </cell>
          <cell r="I331" t="str">
            <v>25J13-01</v>
          </cell>
          <cell r="J331">
            <v>14</v>
          </cell>
          <cell r="K331">
            <v>14</v>
          </cell>
          <cell r="L331">
            <v>45953</v>
          </cell>
          <cell r="M331">
            <v>5</v>
          </cell>
          <cell r="O331">
            <v>45953</v>
          </cell>
          <cell r="P331">
            <v>1</v>
          </cell>
          <cell r="T331" t="str">
            <v>000000000008268</v>
          </cell>
        </row>
        <row r="332">
          <cell r="D332">
            <v>45952</v>
          </cell>
          <cell r="E332" t="str">
            <v>25J14-02</v>
          </cell>
          <cell r="F332">
            <v>20</v>
          </cell>
          <cell r="G332">
            <v>1996</v>
          </cell>
          <cell r="H332">
            <v>1996.4</v>
          </cell>
          <cell r="I332" t="str">
            <v>25J14-02</v>
          </cell>
          <cell r="J332">
            <v>270</v>
          </cell>
          <cell r="K332">
            <v>270</v>
          </cell>
          <cell r="O332">
            <v>210</v>
          </cell>
          <cell r="P332">
            <v>73</v>
          </cell>
          <cell r="T332" t="str">
            <v>000000000008268</v>
          </cell>
        </row>
        <row r="333">
          <cell r="C333">
            <v>210</v>
          </cell>
          <cell r="D333">
            <v>45952</v>
          </cell>
          <cell r="E333" t="str">
            <v>25J14-02</v>
          </cell>
          <cell r="F333">
            <v>20</v>
          </cell>
          <cell r="G333">
            <v>1996</v>
          </cell>
          <cell r="H333">
            <v>1996.5</v>
          </cell>
          <cell r="K333">
            <v>0</v>
          </cell>
          <cell r="O333">
            <v>284</v>
          </cell>
          <cell r="T333" t="str">
            <v>000000000008268</v>
          </cell>
        </row>
        <row r="334">
          <cell r="G334" t="str">
            <v/>
          </cell>
          <cell r="K334">
            <v>0</v>
          </cell>
          <cell r="O334">
            <v>74</v>
          </cell>
          <cell r="T334" t="str">
            <v>000000000008268</v>
          </cell>
        </row>
        <row r="335">
          <cell r="C335">
            <v>1</v>
          </cell>
          <cell r="G335" t="str">
            <v/>
          </cell>
          <cell r="K335">
            <v>0</v>
          </cell>
          <cell r="O335">
            <v>74</v>
          </cell>
          <cell r="T335" t="str">
            <v>000000000008268</v>
          </cell>
        </row>
        <row r="336">
          <cell r="C336" t="str">
            <v>上-1</v>
          </cell>
          <cell r="G336" t="str">
            <v/>
          </cell>
          <cell r="K336">
            <v>0</v>
          </cell>
          <cell r="L336" t="str">
            <v>旧品加工</v>
          </cell>
          <cell r="M336">
            <v>14</v>
          </cell>
          <cell r="O336">
            <v>0</v>
          </cell>
          <cell r="T336" t="str">
            <v>000000000008268</v>
          </cell>
        </row>
        <row r="337">
          <cell r="C337">
            <v>5</v>
          </cell>
          <cell r="G337" t="str">
            <v/>
          </cell>
          <cell r="K337">
            <v>0</v>
          </cell>
          <cell r="L337" t="str">
            <v>持出端材</v>
          </cell>
          <cell r="O337" t="str">
            <v>M/C</v>
          </cell>
          <cell r="T337" t="str">
            <v>000000000008268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O338" t="str">
            <v>T/U</v>
          </cell>
          <cell r="P338">
            <v>74</v>
          </cell>
          <cell r="T338" t="str">
            <v>000000000008268</v>
          </cell>
        </row>
        <row r="339">
          <cell r="C339" t="str">
            <v>採光ルーバーパネルB　L=1996</v>
          </cell>
          <cell r="D339">
            <v>45952</v>
          </cell>
          <cell r="E339" t="str">
            <v>25J14-02</v>
          </cell>
          <cell r="I339" t="str">
            <v>25J14-02</v>
          </cell>
          <cell r="J339">
            <v>30</v>
          </cell>
          <cell r="K339">
            <v>30</v>
          </cell>
          <cell r="L339">
            <v>45954</v>
          </cell>
          <cell r="M339">
            <v>7</v>
          </cell>
          <cell r="O339">
            <v>45954</v>
          </cell>
          <cell r="P339">
            <v>1</v>
          </cell>
          <cell r="T339" t="str">
            <v>000000000008269</v>
          </cell>
        </row>
        <row r="340">
          <cell r="D340">
            <v>45953</v>
          </cell>
          <cell r="E340" t="str">
            <v>25J14-03</v>
          </cell>
          <cell r="F340">
            <v>20</v>
          </cell>
          <cell r="G340">
            <v>1996</v>
          </cell>
          <cell r="H340">
            <v>1996.8</v>
          </cell>
          <cell r="I340" t="str">
            <v>25J14-03</v>
          </cell>
          <cell r="J340">
            <v>296</v>
          </cell>
          <cell r="K340">
            <v>296</v>
          </cell>
          <cell r="O340">
            <v>294</v>
          </cell>
          <cell r="P340">
            <v>31</v>
          </cell>
          <cell r="T340" t="str">
            <v>000000000008269</v>
          </cell>
        </row>
        <row r="341">
          <cell r="C341">
            <v>294</v>
          </cell>
          <cell r="D341">
            <v>45953</v>
          </cell>
          <cell r="E341" t="str">
            <v>25J14-03</v>
          </cell>
          <cell r="F341">
            <v>22</v>
          </cell>
          <cell r="G341">
            <v>1996.26</v>
          </cell>
          <cell r="H341">
            <v>1997.4</v>
          </cell>
          <cell r="K341">
            <v>0</v>
          </cell>
          <cell r="O341">
            <v>326</v>
          </cell>
          <cell r="T341" t="str">
            <v>000000000008269</v>
          </cell>
        </row>
        <row r="342">
          <cell r="G342" t="str">
            <v/>
          </cell>
          <cell r="K342">
            <v>0</v>
          </cell>
          <cell r="O342">
            <v>32</v>
          </cell>
          <cell r="T342" t="str">
            <v>000000000008269</v>
          </cell>
        </row>
        <row r="343">
          <cell r="C343">
            <v>1</v>
          </cell>
          <cell r="G343" t="str">
            <v/>
          </cell>
          <cell r="K343">
            <v>0</v>
          </cell>
          <cell r="O343">
            <v>32</v>
          </cell>
          <cell r="T343" t="str">
            <v>000000000008269</v>
          </cell>
        </row>
        <row r="344">
          <cell r="C344" t="str">
            <v>上-1</v>
          </cell>
          <cell r="G344" t="str">
            <v/>
          </cell>
          <cell r="K344">
            <v>0</v>
          </cell>
          <cell r="L344" t="str">
            <v>旧品加工</v>
          </cell>
          <cell r="M344">
            <v>30</v>
          </cell>
          <cell r="O344">
            <v>0</v>
          </cell>
          <cell r="T344" t="str">
            <v>000000000008269</v>
          </cell>
        </row>
        <row r="345">
          <cell r="C345">
            <v>7</v>
          </cell>
          <cell r="G345" t="str">
            <v/>
          </cell>
          <cell r="K345">
            <v>0</v>
          </cell>
          <cell r="L345" t="str">
            <v>持出端材</v>
          </cell>
          <cell r="O345" t="str">
            <v>M/C</v>
          </cell>
          <cell r="T345" t="str">
            <v>000000000008269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O346" t="str">
            <v>T</v>
          </cell>
          <cell r="P346">
            <v>32</v>
          </cell>
          <cell r="T346" t="str">
            <v>000000000008269</v>
          </cell>
        </row>
        <row r="347">
          <cell r="C347" t="str">
            <v>灯具カバーPC IN 2050　L=1183.5</v>
          </cell>
          <cell r="D347">
            <v>45939</v>
          </cell>
          <cell r="E347" t="str">
            <v>25I26-01</v>
          </cell>
          <cell r="I347" t="str">
            <v>25I26-01</v>
          </cell>
          <cell r="J347">
            <v>2</v>
          </cell>
          <cell r="K347">
            <v>2</v>
          </cell>
          <cell r="L347">
            <v>45954</v>
          </cell>
          <cell r="M347">
            <v>8</v>
          </cell>
          <cell r="O347">
            <v>45954</v>
          </cell>
          <cell r="P347">
            <v>25</v>
          </cell>
          <cell r="T347" t="str">
            <v>000000000008226</v>
          </cell>
        </row>
        <row r="348">
          <cell r="D348">
            <v>45954</v>
          </cell>
          <cell r="E348" t="str">
            <v>25J02-01</v>
          </cell>
          <cell r="G348" t="str">
            <v/>
          </cell>
          <cell r="I348" t="str">
            <v>25J02-01</v>
          </cell>
          <cell r="J348">
            <v>191</v>
          </cell>
          <cell r="K348">
            <v>191</v>
          </cell>
          <cell r="O348">
            <v>152</v>
          </cell>
          <cell r="P348">
            <v>16</v>
          </cell>
          <cell r="T348" t="str">
            <v>000000000008226</v>
          </cell>
        </row>
        <row r="349">
          <cell r="C349">
            <v>128</v>
          </cell>
          <cell r="G349" t="str">
            <v/>
          </cell>
          <cell r="I349" t="str">
            <v>黒部不良　24本</v>
          </cell>
          <cell r="K349">
            <v>0</v>
          </cell>
          <cell r="O349">
            <v>193</v>
          </cell>
          <cell r="T349" t="str">
            <v>000000000008226</v>
          </cell>
        </row>
        <row r="350">
          <cell r="G350" t="str">
            <v/>
          </cell>
          <cell r="K350">
            <v>0</v>
          </cell>
          <cell r="O350">
            <v>41</v>
          </cell>
          <cell r="T350" t="str">
            <v>000000000008226</v>
          </cell>
        </row>
        <row r="351">
          <cell r="C351">
            <v>1</v>
          </cell>
          <cell r="G351" t="str">
            <v/>
          </cell>
          <cell r="K351">
            <v>0</v>
          </cell>
          <cell r="O351">
            <v>41</v>
          </cell>
          <cell r="T351" t="str">
            <v>000000000008226</v>
          </cell>
        </row>
        <row r="352">
          <cell r="C352" t="str">
            <v>灯具-1　L=1370</v>
          </cell>
          <cell r="G352" t="str">
            <v/>
          </cell>
          <cell r="K352">
            <v>0</v>
          </cell>
          <cell r="L352" t="str">
            <v>旧品加工</v>
          </cell>
          <cell r="M352">
            <v>2</v>
          </cell>
          <cell r="O352">
            <v>0</v>
          </cell>
          <cell r="T352" t="str">
            <v>000000000008226</v>
          </cell>
        </row>
        <row r="353">
          <cell r="C353">
            <v>8</v>
          </cell>
          <cell r="G353" t="str">
            <v/>
          </cell>
          <cell r="K353">
            <v>0</v>
          </cell>
          <cell r="L353" t="str">
            <v>持出端材</v>
          </cell>
          <cell r="O353" t="str">
            <v>-</v>
          </cell>
          <cell r="T353" t="str">
            <v>000000000008226</v>
          </cell>
        </row>
        <row r="354">
          <cell r="E354" t="str">
            <v>黒部不良　24本</v>
          </cell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O354" t="str">
            <v>T/C</v>
          </cell>
          <cell r="P354">
            <v>41</v>
          </cell>
          <cell r="T354" t="str">
            <v>000000000008226</v>
          </cell>
        </row>
        <row r="355">
          <cell r="C355" t="str">
            <v>灯具カバーPC IN 2110　L=1815</v>
          </cell>
          <cell r="I355">
            <v>0</v>
          </cell>
          <cell r="J355">
            <v>0</v>
          </cell>
          <cell r="K355">
            <v>0</v>
          </cell>
          <cell r="L355">
            <v>45957</v>
          </cell>
          <cell r="M355">
            <v>9</v>
          </cell>
          <cell r="O355">
            <v>45957</v>
          </cell>
          <cell r="P355">
            <v>7</v>
          </cell>
          <cell r="T355" t="str">
            <v>000000000007424</v>
          </cell>
        </row>
        <row r="356">
          <cell r="D356">
            <v>45957</v>
          </cell>
          <cell r="E356" t="str">
            <v>25J23-01</v>
          </cell>
          <cell r="G356" t="str">
            <v/>
          </cell>
          <cell r="I356" t="str">
            <v>25J23-01</v>
          </cell>
          <cell r="J356">
            <v>187</v>
          </cell>
          <cell r="K356">
            <v>187</v>
          </cell>
          <cell r="O356">
            <v>144</v>
          </cell>
          <cell r="P356">
            <v>35</v>
          </cell>
          <cell r="T356" t="str">
            <v>000000000007424</v>
          </cell>
        </row>
        <row r="357">
          <cell r="C357">
            <v>144</v>
          </cell>
          <cell r="G357" t="str">
            <v/>
          </cell>
          <cell r="K357">
            <v>0</v>
          </cell>
          <cell r="O357">
            <v>187</v>
          </cell>
          <cell r="P357">
            <v>1</v>
          </cell>
          <cell r="T357" t="str">
            <v>000000000007424</v>
          </cell>
        </row>
        <row r="358">
          <cell r="G358" t="str">
            <v/>
          </cell>
          <cell r="K358">
            <v>0</v>
          </cell>
          <cell r="O358">
            <v>43</v>
          </cell>
          <cell r="T358" t="str">
            <v>000000000007424</v>
          </cell>
        </row>
        <row r="359">
          <cell r="C359">
            <v>1</v>
          </cell>
          <cell r="G359" t="str">
            <v/>
          </cell>
          <cell r="K359">
            <v>0</v>
          </cell>
          <cell r="O359">
            <v>43</v>
          </cell>
          <cell r="T359" t="str">
            <v>000000000007424</v>
          </cell>
        </row>
        <row r="360">
          <cell r="C360" t="str">
            <v>灯具-2　L＝1996</v>
          </cell>
          <cell r="G360" t="str">
            <v/>
          </cell>
          <cell r="K360">
            <v>0</v>
          </cell>
          <cell r="L360" t="str">
            <v>旧品加工</v>
          </cell>
          <cell r="O360">
            <v>0</v>
          </cell>
          <cell r="T360" t="str">
            <v>000000000007424</v>
          </cell>
        </row>
        <row r="361">
          <cell r="C361">
            <v>9</v>
          </cell>
          <cell r="G361" t="str">
            <v/>
          </cell>
          <cell r="K361">
            <v>0</v>
          </cell>
          <cell r="L361" t="str">
            <v>持出端材</v>
          </cell>
          <cell r="O361" t="str">
            <v>-</v>
          </cell>
          <cell r="T361" t="str">
            <v>000000000007424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O362" t="str">
            <v>C</v>
          </cell>
          <cell r="P362">
            <v>43</v>
          </cell>
          <cell r="T362" t="str">
            <v>000000000007424</v>
          </cell>
        </row>
        <row r="363">
          <cell r="C363" t="str">
            <v>8FL281304 5010　L=888</v>
          </cell>
          <cell r="D363">
            <v>45953</v>
          </cell>
          <cell r="E363" t="str">
            <v>25J16-01</v>
          </cell>
          <cell r="I363" t="str">
            <v>25J16-01</v>
          </cell>
          <cell r="J363">
            <v>2</v>
          </cell>
          <cell r="K363">
            <v>1</v>
          </cell>
          <cell r="L363">
            <v>45957</v>
          </cell>
          <cell r="M363">
            <v>3</v>
          </cell>
          <cell r="O363">
            <v>45959</v>
          </cell>
          <cell r="P363">
            <v>9</v>
          </cell>
          <cell r="T363" t="str">
            <v>000000000007289</v>
          </cell>
        </row>
        <row r="364">
          <cell r="D364">
            <v>45954</v>
          </cell>
          <cell r="E364" t="str">
            <v>25I26-15</v>
          </cell>
          <cell r="F364">
            <v>20</v>
          </cell>
          <cell r="G364">
            <v>888</v>
          </cell>
          <cell r="H364">
            <v>888.26</v>
          </cell>
          <cell r="I364" t="str">
            <v>25I26-15</v>
          </cell>
          <cell r="J364">
            <v>84</v>
          </cell>
          <cell r="K364">
            <v>42</v>
          </cell>
          <cell r="L364">
            <v>45958</v>
          </cell>
          <cell r="M364">
            <v>14</v>
          </cell>
          <cell r="O364">
            <v>2000</v>
          </cell>
          <cell r="T364" t="str">
            <v>000000000007289</v>
          </cell>
        </row>
        <row r="365">
          <cell r="C365">
            <v>2000</v>
          </cell>
          <cell r="D365">
            <v>45954</v>
          </cell>
          <cell r="E365" t="str">
            <v>25J16-02</v>
          </cell>
          <cell r="F365">
            <v>20</v>
          </cell>
          <cell r="G365">
            <v>888</v>
          </cell>
          <cell r="H365">
            <v>888.05</v>
          </cell>
          <cell r="I365" t="str">
            <v>25J16-02</v>
          </cell>
          <cell r="J365">
            <v>1600</v>
          </cell>
          <cell r="K365">
            <v>800</v>
          </cell>
          <cell r="L365">
            <v>45959</v>
          </cell>
          <cell r="M365">
            <v>3</v>
          </cell>
          <cell r="O365">
            <v>1005</v>
          </cell>
          <cell r="T365" t="str">
            <v>000000000007289</v>
          </cell>
        </row>
        <row r="366">
          <cell r="D366">
            <v>45957</v>
          </cell>
          <cell r="E366" t="str">
            <v>25J16-02</v>
          </cell>
          <cell r="F366">
            <v>20</v>
          </cell>
          <cell r="G366">
            <v>888</v>
          </cell>
          <cell r="H366">
            <v>888.14</v>
          </cell>
          <cell r="I366" t="str">
            <v>25J17-03</v>
          </cell>
          <cell r="J366">
            <v>324</v>
          </cell>
          <cell r="K366">
            <v>162</v>
          </cell>
          <cell r="O366">
            <v>5</v>
          </cell>
          <cell r="T366" t="str">
            <v>000000000007289</v>
          </cell>
        </row>
        <row r="367">
          <cell r="C367">
            <v>2</v>
          </cell>
          <cell r="D367">
            <v>45957</v>
          </cell>
          <cell r="E367" t="str">
            <v>25J16-02</v>
          </cell>
          <cell r="F367">
            <v>20</v>
          </cell>
          <cell r="G367">
            <v>888</v>
          </cell>
          <cell r="H367">
            <v>888.1</v>
          </cell>
          <cell r="K367">
            <v>0</v>
          </cell>
          <cell r="O367">
            <v>10</v>
          </cell>
          <cell r="T367" t="str">
            <v>000000000007289</v>
          </cell>
        </row>
        <row r="368">
          <cell r="C368" t="str">
            <v>LED-A888</v>
          </cell>
          <cell r="D368">
            <v>45957</v>
          </cell>
          <cell r="E368" t="str">
            <v>25J16-02</v>
          </cell>
          <cell r="F368">
            <v>20</v>
          </cell>
          <cell r="G368">
            <v>888</v>
          </cell>
          <cell r="H368">
            <v>888.17</v>
          </cell>
          <cell r="K368">
            <v>0</v>
          </cell>
          <cell r="L368" t="str">
            <v>旧品加工</v>
          </cell>
          <cell r="M368">
            <v>2</v>
          </cell>
          <cell r="O368">
            <v>0</v>
          </cell>
          <cell r="T368" t="str">
            <v>000000000007289</v>
          </cell>
        </row>
        <row r="369">
          <cell r="C369">
            <v>20</v>
          </cell>
          <cell r="D369">
            <v>45957</v>
          </cell>
          <cell r="E369" t="str">
            <v>25J16-02</v>
          </cell>
          <cell r="F369">
            <v>22</v>
          </cell>
          <cell r="G369">
            <v>888.12</v>
          </cell>
          <cell r="H369">
            <v>888.2</v>
          </cell>
          <cell r="K369">
            <v>0</v>
          </cell>
          <cell r="L369" t="str">
            <v>持出端材</v>
          </cell>
          <cell r="O369" t="str">
            <v>C/M</v>
          </cell>
          <cell r="P369">
            <v>1</v>
          </cell>
          <cell r="T369" t="str">
            <v>000000000007289</v>
          </cell>
        </row>
        <row r="370">
          <cell r="D370">
            <v>45958</v>
          </cell>
          <cell r="E370" t="str">
            <v>25J17-03</v>
          </cell>
          <cell r="F370">
            <v>22</v>
          </cell>
          <cell r="G370">
            <v>888.12</v>
          </cell>
          <cell r="H370">
            <v>888.19</v>
          </cell>
          <cell r="K370">
            <v>0</v>
          </cell>
          <cell r="L370" t="str">
            <v>α端材</v>
          </cell>
          <cell r="M370">
            <v>0</v>
          </cell>
          <cell r="O370" t="str">
            <v>T/U</v>
          </cell>
          <cell r="P370">
            <v>10</v>
          </cell>
          <cell r="T370" t="str">
            <v>000000000007289</v>
          </cell>
        </row>
        <row r="371">
          <cell r="C371" t="str">
            <v>MDPQ-689B L4 　L=2574　　</v>
          </cell>
          <cell r="I371">
            <v>0</v>
          </cell>
          <cell r="J371">
            <v>0</v>
          </cell>
          <cell r="K371">
            <v>0</v>
          </cell>
          <cell r="L371">
            <v>45959</v>
          </cell>
          <cell r="M371">
            <v>1</v>
          </cell>
          <cell r="O371">
            <v>45959</v>
          </cell>
          <cell r="T371" t="str">
            <v>000000000008804</v>
          </cell>
        </row>
        <row r="372">
          <cell r="D372">
            <v>45959</v>
          </cell>
          <cell r="E372" t="str">
            <v>21L09B ③</v>
          </cell>
          <cell r="G372">
            <v>2574</v>
          </cell>
          <cell r="H372">
            <v>2574.5</v>
          </cell>
          <cell r="I372" t="str">
            <v>21L09B ③</v>
          </cell>
          <cell r="J372">
            <v>100</v>
          </cell>
          <cell r="K372">
            <v>100</v>
          </cell>
          <cell r="O372">
            <v>100</v>
          </cell>
          <cell r="T372" t="str">
            <v>000000000008804</v>
          </cell>
        </row>
        <row r="373">
          <cell r="C373">
            <v>100</v>
          </cell>
          <cell r="D373">
            <v>45959</v>
          </cell>
          <cell r="E373" t="str">
            <v>21L09B ③</v>
          </cell>
          <cell r="G373">
            <v>2574</v>
          </cell>
          <cell r="H373">
            <v>2573.9</v>
          </cell>
          <cell r="K373">
            <v>0</v>
          </cell>
          <cell r="O373">
            <v>100</v>
          </cell>
          <cell r="T373" t="str">
            <v>000000000008804</v>
          </cell>
        </row>
        <row r="374">
          <cell r="G374">
            <v>2574</v>
          </cell>
          <cell r="K374">
            <v>0</v>
          </cell>
          <cell r="O374">
            <v>0</v>
          </cell>
          <cell r="T374" t="str">
            <v>000000000008804</v>
          </cell>
        </row>
        <row r="375">
          <cell r="C375">
            <v>1</v>
          </cell>
          <cell r="G375">
            <v>2574</v>
          </cell>
          <cell r="K375">
            <v>0</v>
          </cell>
          <cell r="O375">
            <v>0</v>
          </cell>
          <cell r="T375" t="str">
            <v>000000000008804</v>
          </cell>
        </row>
        <row r="376">
          <cell r="G376">
            <v>2574</v>
          </cell>
          <cell r="K376">
            <v>0</v>
          </cell>
          <cell r="L376" t="str">
            <v>旧品加工</v>
          </cell>
          <cell r="O376">
            <v>0</v>
          </cell>
          <cell r="T376" t="str">
            <v>000000000008804</v>
          </cell>
        </row>
        <row r="377">
          <cell r="C377">
            <v>1</v>
          </cell>
          <cell r="G377">
            <v>2574</v>
          </cell>
          <cell r="K377">
            <v>0</v>
          </cell>
          <cell r="L377" t="str">
            <v>持出端材</v>
          </cell>
          <cell r="O377" t="str">
            <v>M</v>
          </cell>
          <cell r="T377" t="str">
            <v>000000000008804</v>
          </cell>
        </row>
        <row r="378">
          <cell r="G378">
            <v>2574</v>
          </cell>
          <cell r="K378">
            <v>0</v>
          </cell>
          <cell r="L378" t="str">
            <v>α端材</v>
          </cell>
          <cell r="M378">
            <v>0</v>
          </cell>
          <cell r="O378" t="str">
            <v>M</v>
          </cell>
          <cell r="P378">
            <v>0</v>
          </cell>
          <cell r="T378" t="str">
            <v>000000000008804</v>
          </cell>
        </row>
        <row r="379">
          <cell r="C379" t="str">
            <v>8FL281304 5010　L=888</v>
          </cell>
          <cell r="I379">
            <v>0</v>
          </cell>
          <cell r="J379">
            <v>0</v>
          </cell>
          <cell r="K379">
            <v>0</v>
          </cell>
          <cell r="O379">
            <v>0</v>
          </cell>
          <cell r="T379" t="str">
            <v>000000000007955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>
            <v>0</v>
          </cell>
          <cell r="T380" t="str">
            <v>000000000007955</v>
          </cell>
        </row>
        <row r="381">
          <cell r="C381">
            <v>2000</v>
          </cell>
          <cell r="G381" t="str">
            <v/>
          </cell>
          <cell r="K381">
            <v>0</v>
          </cell>
          <cell r="O381">
            <v>0</v>
          </cell>
          <cell r="T381" t="str">
            <v>000000000007955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000000000007955</v>
          </cell>
        </row>
        <row r="383">
          <cell r="C383">
            <v>2</v>
          </cell>
          <cell r="G383" t="str">
            <v/>
          </cell>
          <cell r="K383">
            <v>0</v>
          </cell>
          <cell r="O383">
            <v>0</v>
          </cell>
          <cell r="T383" t="str">
            <v>000000000007955</v>
          </cell>
        </row>
        <row r="384">
          <cell r="C384" t="str">
            <v>LED-A888</v>
          </cell>
          <cell r="G384" t="str">
            <v/>
          </cell>
          <cell r="K384">
            <v>0</v>
          </cell>
          <cell r="L384" t="str">
            <v>旧品加工</v>
          </cell>
          <cell r="O384">
            <v>0</v>
          </cell>
          <cell r="T384" t="str">
            <v>000000000007955</v>
          </cell>
        </row>
        <row r="385">
          <cell r="C385">
            <v>0</v>
          </cell>
          <cell r="G385" t="str">
            <v/>
          </cell>
          <cell r="K385">
            <v>0</v>
          </cell>
          <cell r="L385" t="str">
            <v>持出端材</v>
          </cell>
          <cell r="T385" t="str">
            <v>000000000007955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>
            <v>0</v>
          </cell>
          <cell r="P386">
            <v>0</v>
          </cell>
          <cell r="T386" t="str">
            <v>000000000007955</v>
          </cell>
        </row>
        <row r="387">
          <cell r="C387" t="str">
            <v>8FL281304 5010　L=888</v>
          </cell>
          <cell r="I387">
            <v>0</v>
          </cell>
          <cell r="J387">
            <v>0</v>
          </cell>
          <cell r="K387">
            <v>0</v>
          </cell>
          <cell r="O387">
            <v>0</v>
          </cell>
          <cell r="T387" t="str">
            <v>000000000008361</v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>000000000008361</v>
          </cell>
        </row>
        <row r="389">
          <cell r="C389">
            <v>400</v>
          </cell>
          <cell r="G389" t="str">
            <v/>
          </cell>
          <cell r="K389">
            <v>0</v>
          </cell>
          <cell r="O389">
            <v>0</v>
          </cell>
          <cell r="T389" t="str">
            <v>000000000008361</v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>000000000008361</v>
          </cell>
        </row>
        <row r="391">
          <cell r="C391">
            <v>2</v>
          </cell>
          <cell r="G391" t="str">
            <v/>
          </cell>
          <cell r="K391">
            <v>0</v>
          </cell>
          <cell r="O391">
            <v>0</v>
          </cell>
          <cell r="T391" t="str">
            <v>000000000008361</v>
          </cell>
        </row>
        <row r="392">
          <cell r="C392" t="str">
            <v>LED-A888</v>
          </cell>
          <cell r="G392" t="str">
            <v/>
          </cell>
          <cell r="K392">
            <v>0</v>
          </cell>
          <cell r="L392" t="str">
            <v>旧品加工</v>
          </cell>
          <cell r="O392">
            <v>0</v>
          </cell>
          <cell r="T392" t="str">
            <v>000000000008361</v>
          </cell>
        </row>
        <row r="393">
          <cell r="C393">
            <v>0</v>
          </cell>
          <cell r="G393" t="str">
            <v/>
          </cell>
          <cell r="K393">
            <v>0</v>
          </cell>
          <cell r="L393" t="str">
            <v>持出端材</v>
          </cell>
          <cell r="T393" t="str">
            <v>000000000008361</v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M394">
            <v>0</v>
          </cell>
          <cell r="P394">
            <v>0</v>
          </cell>
          <cell r="T394" t="str">
            <v>000000000008361</v>
          </cell>
        </row>
        <row r="395">
          <cell r="C395" t="str">
            <v>8FL281304 8310　L=748</v>
          </cell>
          <cell r="I395">
            <v>0</v>
          </cell>
          <cell r="J395">
            <v>0</v>
          </cell>
          <cell r="K395">
            <v>0</v>
          </cell>
          <cell r="O395">
            <v>0</v>
          </cell>
          <cell r="T395" t="str">
            <v>000000000008360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000000000008360</v>
          </cell>
        </row>
        <row r="397">
          <cell r="C397">
            <v>200</v>
          </cell>
          <cell r="G397" t="str">
            <v/>
          </cell>
          <cell r="K397">
            <v>0</v>
          </cell>
          <cell r="O397">
            <v>0</v>
          </cell>
          <cell r="T397" t="str">
            <v>000000000008360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000000000008360</v>
          </cell>
        </row>
        <row r="399">
          <cell r="C399">
            <v>2</v>
          </cell>
          <cell r="G399" t="str">
            <v/>
          </cell>
          <cell r="K399">
            <v>0</v>
          </cell>
          <cell r="O399">
            <v>0</v>
          </cell>
          <cell r="T399" t="str">
            <v>000000000008360</v>
          </cell>
        </row>
        <row r="400">
          <cell r="C400" t="str">
            <v>LED-A888</v>
          </cell>
          <cell r="G400" t="str">
            <v/>
          </cell>
          <cell r="K400">
            <v>0</v>
          </cell>
          <cell r="L400" t="str">
            <v>旧品加工</v>
          </cell>
          <cell r="O400">
            <v>0</v>
          </cell>
          <cell r="T400" t="str">
            <v>000000000008360</v>
          </cell>
        </row>
        <row r="401">
          <cell r="C401">
            <v>0</v>
          </cell>
          <cell r="G401" t="str">
            <v/>
          </cell>
          <cell r="K401">
            <v>0</v>
          </cell>
          <cell r="L401" t="str">
            <v>持出端材</v>
          </cell>
          <cell r="T401" t="str">
            <v>000000000008360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M402">
            <v>0</v>
          </cell>
          <cell r="P402">
            <v>0</v>
          </cell>
          <cell r="T402" t="str">
            <v>000000000008360</v>
          </cell>
        </row>
        <row r="403">
          <cell r="C403" t="str">
            <v>8FL281304 4910　L=592</v>
          </cell>
          <cell r="I403">
            <v>0</v>
          </cell>
          <cell r="J403">
            <v>0</v>
          </cell>
          <cell r="K403">
            <v>0</v>
          </cell>
          <cell r="O403">
            <v>0</v>
          </cell>
          <cell r="T403" t="str">
            <v>000000000008357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000000000008357</v>
          </cell>
        </row>
        <row r="405">
          <cell r="C405">
            <v>200</v>
          </cell>
          <cell r="G405" t="str">
            <v/>
          </cell>
          <cell r="K405">
            <v>0</v>
          </cell>
          <cell r="O405">
            <v>0</v>
          </cell>
          <cell r="T405" t="str">
            <v>000000000008357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000000000008357</v>
          </cell>
        </row>
        <row r="407">
          <cell r="C407">
            <v>3</v>
          </cell>
          <cell r="G407" t="str">
            <v/>
          </cell>
          <cell r="K407">
            <v>0</v>
          </cell>
          <cell r="O407">
            <v>0</v>
          </cell>
          <cell r="T407" t="str">
            <v>000000000008357</v>
          </cell>
        </row>
        <row r="408">
          <cell r="C408" t="str">
            <v>LED-A592</v>
          </cell>
          <cell r="G408" t="str">
            <v/>
          </cell>
          <cell r="K408">
            <v>0</v>
          </cell>
          <cell r="L408" t="str">
            <v>旧品加工</v>
          </cell>
          <cell r="O408">
            <v>0</v>
          </cell>
          <cell r="T408" t="str">
            <v>000000000008357</v>
          </cell>
        </row>
        <row r="409">
          <cell r="C409">
            <v>0</v>
          </cell>
          <cell r="G409" t="str">
            <v/>
          </cell>
          <cell r="K409">
            <v>0</v>
          </cell>
          <cell r="L409" t="str">
            <v>持出端材</v>
          </cell>
          <cell r="T409" t="str">
            <v>000000000008357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M410">
            <v>0</v>
          </cell>
          <cell r="P410">
            <v>0</v>
          </cell>
          <cell r="T410" t="str">
            <v>000000000008357</v>
          </cell>
        </row>
        <row r="411">
          <cell r="C411" t="str">
            <v>8FL281304 4810　L=297</v>
          </cell>
          <cell r="I411">
            <v>0</v>
          </cell>
          <cell r="J411">
            <v>0</v>
          </cell>
          <cell r="K411">
            <v>0</v>
          </cell>
          <cell r="O411">
            <v>0</v>
          </cell>
          <cell r="T411" t="str">
            <v>000000000008354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000000000008354</v>
          </cell>
        </row>
        <row r="413">
          <cell r="C413">
            <v>300</v>
          </cell>
          <cell r="G413" t="str">
            <v/>
          </cell>
          <cell r="K413">
            <v>0</v>
          </cell>
          <cell r="O413">
            <v>0</v>
          </cell>
          <cell r="T413" t="str">
            <v>000000000008354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000000000008354</v>
          </cell>
        </row>
        <row r="415">
          <cell r="C415">
            <v>6</v>
          </cell>
          <cell r="G415" t="str">
            <v/>
          </cell>
          <cell r="K415">
            <v>0</v>
          </cell>
          <cell r="O415">
            <v>0</v>
          </cell>
          <cell r="T415" t="str">
            <v>000000000008354</v>
          </cell>
        </row>
        <row r="416">
          <cell r="C416" t="str">
            <v>LED-A300</v>
          </cell>
          <cell r="G416" t="str">
            <v/>
          </cell>
          <cell r="K416">
            <v>0</v>
          </cell>
          <cell r="L416" t="str">
            <v>旧品加工</v>
          </cell>
          <cell r="O416">
            <v>0</v>
          </cell>
          <cell r="T416" t="str">
            <v>000000000008354</v>
          </cell>
        </row>
        <row r="417">
          <cell r="C417">
            <v>0</v>
          </cell>
          <cell r="G417" t="str">
            <v/>
          </cell>
          <cell r="K417">
            <v>0</v>
          </cell>
          <cell r="L417" t="str">
            <v>持出端材</v>
          </cell>
          <cell r="T417" t="str">
            <v>000000000008354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M418">
            <v>0</v>
          </cell>
          <cell r="P418">
            <v>0</v>
          </cell>
          <cell r="T418" t="str">
            <v>000000000008354</v>
          </cell>
        </row>
        <row r="419">
          <cell r="C419" t="str">
            <v>灯具カバーPC IN 2070　L=1966</v>
          </cell>
          <cell r="I419">
            <v>0</v>
          </cell>
          <cell r="J419">
            <v>0</v>
          </cell>
          <cell r="K419">
            <v>0</v>
          </cell>
          <cell r="O419">
            <v>0</v>
          </cell>
          <cell r="T419" t="str">
            <v>000000000007926-2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000000000007926-2</v>
          </cell>
        </row>
        <row r="421">
          <cell r="C421">
            <v>144</v>
          </cell>
          <cell r="G421" t="str">
            <v/>
          </cell>
          <cell r="K421">
            <v>0</v>
          </cell>
          <cell r="O421">
            <v>0</v>
          </cell>
          <cell r="T421" t="str">
            <v>000000000007926-2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000000000007926-2</v>
          </cell>
        </row>
        <row r="423">
          <cell r="C423">
            <v>1</v>
          </cell>
          <cell r="G423" t="str">
            <v/>
          </cell>
          <cell r="K423">
            <v>0</v>
          </cell>
          <cell r="O423">
            <v>0</v>
          </cell>
          <cell r="T423" t="str">
            <v>000000000007926-2</v>
          </cell>
        </row>
        <row r="424">
          <cell r="C424" t="str">
            <v>灯具-2　L＝1996</v>
          </cell>
          <cell r="G424" t="str">
            <v/>
          </cell>
          <cell r="K424">
            <v>0</v>
          </cell>
          <cell r="L424" t="str">
            <v>旧品加工</v>
          </cell>
          <cell r="O424">
            <v>0</v>
          </cell>
          <cell r="T424" t="str">
            <v>000000000007926-2</v>
          </cell>
        </row>
        <row r="425">
          <cell r="C425">
            <v>0</v>
          </cell>
          <cell r="G425" t="str">
            <v/>
          </cell>
          <cell r="K425">
            <v>0</v>
          </cell>
          <cell r="L425" t="str">
            <v>持出端材</v>
          </cell>
          <cell r="T425" t="str">
            <v>000000000007926-2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M426">
            <v>0</v>
          </cell>
          <cell r="P426">
            <v>0</v>
          </cell>
          <cell r="T426" t="str">
            <v>000000000007926-2</v>
          </cell>
        </row>
        <row r="427">
          <cell r="C427" t="str">
            <v>灯具カバーPC IN 2110　L=1815</v>
          </cell>
          <cell r="I427">
            <v>0</v>
          </cell>
          <cell r="J427">
            <v>0</v>
          </cell>
          <cell r="K427">
            <v>0</v>
          </cell>
          <cell r="O427">
            <v>0</v>
          </cell>
          <cell r="T427" t="str">
            <v>000000000008710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000000000008710</v>
          </cell>
        </row>
        <row r="429">
          <cell r="C429">
            <v>192</v>
          </cell>
          <cell r="G429" t="str">
            <v/>
          </cell>
          <cell r="K429">
            <v>0</v>
          </cell>
          <cell r="O429">
            <v>0</v>
          </cell>
          <cell r="T429" t="str">
            <v>000000000008710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000000000008710</v>
          </cell>
        </row>
        <row r="431">
          <cell r="C431">
            <v>1</v>
          </cell>
          <cell r="G431" t="str">
            <v/>
          </cell>
          <cell r="K431">
            <v>0</v>
          </cell>
          <cell r="O431">
            <v>0</v>
          </cell>
          <cell r="T431" t="str">
            <v>000000000008710</v>
          </cell>
        </row>
        <row r="432">
          <cell r="C432" t="str">
            <v>灯具-2　L＝1996</v>
          </cell>
          <cell r="G432" t="str">
            <v/>
          </cell>
          <cell r="K432">
            <v>0</v>
          </cell>
          <cell r="L432" t="str">
            <v>旧品加工</v>
          </cell>
          <cell r="O432">
            <v>0</v>
          </cell>
          <cell r="T432" t="str">
            <v>000000000008710</v>
          </cell>
        </row>
        <row r="433">
          <cell r="C433">
            <v>0</v>
          </cell>
          <cell r="G433" t="str">
            <v/>
          </cell>
          <cell r="K433">
            <v>0</v>
          </cell>
          <cell r="L433" t="str">
            <v>持出端材</v>
          </cell>
          <cell r="T433" t="str">
            <v>000000000008710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M434">
            <v>0</v>
          </cell>
          <cell r="P434">
            <v>0</v>
          </cell>
          <cell r="T434" t="str">
            <v>000000000008710</v>
          </cell>
        </row>
        <row r="435">
          <cell r="C435" t="str">
            <v>灯具カバーPC IN 2080　L=1540</v>
          </cell>
          <cell r="I435">
            <v>0</v>
          </cell>
          <cell r="J435">
            <v>0</v>
          </cell>
          <cell r="K435">
            <v>0</v>
          </cell>
          <cell r="O435">
            <v>0</v>
          </cell>
          <cell r="T435" t="str">
            <v>000000000008709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000000000008709</v>
          </cell>
        </row>
        <row r="437">
          <cell r="C437">
            <v>96</v>
          </cell>
          <cell r="G437" t="str">
            <v/>
          </cell>
          <cell r="K437">
            <v>0</v>
          </cell>
          <cell r="O437">
            <v>0</v>
          </cell>
          <cell r="T437" t="str">
            <v>000000000008709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000000000008709</v>
          </cell>
        </row>
        <row r="439">
          <cell r="C439">
            <v>1</v>
          </cell>
          <cell r="G439" t="str">
            <v/>
          </cell>
          <cell r="K439">
            <v>0</v>
          </cell>
          <cell r="O439">
            <v>0</v>
          </cell>
          <cell r="T439" t="str">
            <v>000000000008709</v>
          </cell>
        </row>
        <row r="440">
          <cell r="C440" t="str">
            <v>灯具-2　L＝1996</v>
          </cell>
          <cell r="G440" t="str">
            <v/>
          </cell>
          <cell r="K440">
            <v>0</v>
          </cell>
          <cell r="L440" t="str">
            <v>旧品加工</v>
          </cell>
          <cell r="O440">
            <v>0</v>
          </cell>
          <cell r="T440" t="str">
            <v>000000000008709</v>
          </cell>
        </row>
        <row r="441">
          <cell r="C441">
            <v>0</v>
          </cell>
          <cell r="G441" t="str">
            <v/>
          </cell>
          <cell r="K441">
            <v>0</v>
          </cell>
          <cell r="L441" t="str">
            <v>持出端材</v>
          </cell>
          <cell r="T441" t="str">
            <v>000000000008709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M442">
            <v>0</v>
          </cell>
          <cell r="P442">
            <v>0</v>
          </cell>
          <cell r="T442" t="str">
            <v>000000000008709</v>
          </cell>
        </row>
        <row r="443">
          <cell r="C443" t="str">
            <v>採光ルーバーパネルB　L=1996</v>
          </cell>
          <cell r="I443">
            <v>0</v>
          </cell>
          <cell r="J443">
            <v>0</v>
          </cell>
          <cell r="K443">
            <v>0</v>
          </cell>
          <cell r="O443">
            <v>0</v>
          </cell>
          <cell r="T443" t="str">
            <v>000000000008853</v>
          </cell>
        </row>
        <row r="444">
          <cell r="G444" t="str">
            <v/>
          </cell>
          <cell r="I444" t="str">
            <v/>
          </cell>
          <cell r="K444">
            <v>0</v>
          </cell>
          <cell r="O444">
            <v>0</v>
          </cell>
          <cell r="T444" t="str">
            <v>000000000008853</v>
          </cell>
        </row>
        <row r="445">
          <cell r="C445">
            <v>420</v>
          </cell>
          <cell r="G445" t="str">
            <v/>
          </cell>
          <cell r="K445">
            <v>0</v>
          </cell>
          <cell r="O445">
            <v>0</v>
          </cell>
          <cell r="T445" t="str">
            <v>000000000008853</v>
          </cell>
        </row>
        <row r="446">
          <cell r="G446" t="str">
            <v/>
          </cell>
          <cell r="K446">
            <v>0</v>
          </cell>
          <cell r="O446">
            <v>0</v>
          </cell>
          <cell r="T446" t="str">
            <v>000000000008853</v>
          </cell>
        </row>
        <row r="447">
          <cell r="C447">
            <v>1</v>
          </cell>
          <cell r="G447" t="str">
            <v/>
          </cell>
          <cell r="K447">
            <v>0</v>
          </cell>
          <cell r="O447">
            <v>0</v>
          </cell>
          <cell r="T447" t="str">
            <v>000000000008853</v>
          </cell>
        </row>
        <row r="448">
          <cell r="C448" t="str">
            <v>上-1</v>
          </cell>
          <cell r="G448" t="str">
            <v/>
          </cell>
          <cell r="K448">
            <v>0</v>
          </cell>
          <cell r="L448" t="str">
            <v>旧品加工</v>
          </cell>
          <cell r="O448">
            <v>0</v>
          </cell>
          <cell r="T448" t="str">
            <v>000000000008853</v>
          </cell>
        </row>
        <row r="449">
          <cell r="C449">
            <v>0</v>
          </cell>
          <cell r="G449" t="str">
            <v/>
          </cell>
          <cell r="K449">
            <v>0</v>
          </cell>
          <cell r="L449" t="str">
            <v>持出端材</v>
          </cell>
          <cell r="T449" t="str">
            <v>000000000008853</v>
          </cell>
        </row>
        <row r="450">
          <cell r="G450" t="str">
            <v/>
          </cell>
          <cell r="K450">
            <v>0</v>
          </cell>
          <cell r="L450" t="str">
            <v>α端材</v>
          </cell>
          <cell r="M450">
            <v>0</v>
          </cell>
          <cell r="P450">
            <v>0</v>
          </cell>
          <cell r="T450" t="str">
            <v>000000000008853</v>
          </cell>
        </row>
        <row r="451">
          <cell r="C451" t="str">
            <v>8FL281304 5010　L=888</v>
          </cell>
          <cell r="I451">
            <v>0</v>
          </cell>
          <cell r="J451">
            <v>0</v>
          </cell>
          <cell r="K451">
            <v>0</v>
          </cell>
          <cell r="O451">
            <v>0</v>
          </cell>
          <cell r="T451" t="str">
            <v>000000000008362</v>
          </cell>
        </row>
        <row r="452">
          <cell r="G452" t="str">
            <v/>
          </cell>
          <cell r="I452" t="str">
            <v/>
          </cell>
          <cell r="K452">
            <v>0</v>
          </cell>
          <cell r="O452">
            <v>0</v>
          </cell>
          <cell r="T452" t="str">
            <v>000000000008362</v>
          </cell>
        </row>
        <row r="453">
          <cell r="C453">
            <v>800</v>
          </cell>
          <cell r="G453" t="str">
            <v/>
          </cell>
          <cell r="K453">
            <v>0</v>
          </cell>
          <cell r="O453">
            <v>0</v>
          </cell>
          <cell r="T453" t="str">
            <v>000000000008362</v>
          </cell>
        </row>
        <row r="454">
          <cell r="G454" t="str">
            <v/>
          </cell>
          <cell r="K454">
            <v>0</v>
          </cell>
          <cell r="O454">
            <v>0</v>
          </cell>
          <cell r="T454" t="str">
            <v>000000000008362</v>
          </cell>
        </row>
        <row r="455">
          <cell r="C455">
            <v>2</v>
          </cell>
          <cell r="G455" t="str">
            <v/>
          </cell>
          <cell r="K455">
            <v>0</v>
          </cell>
          <cell r="O455">
            <v>0</v>
          </cell>
          <cell r="T455" t="str">
            <v>000000000008362</v>
          </cell>
        </row>
        <row r="456">
          <cell r="C456" t="str">
            <v>LED-A888</v>
          </cell>
          <cell r="G456" t="str">
            <v/>
          </cell>
          <cell r="K456">
            <v>0</v>
          </cell>
          <cell r="L456" t="str">
            <v>旧品加工</v>
          </cell>
          <cell r="O456">
            <v>0</v>
          </cell>
          <cell r="T456" t="str">
            <v>000000000008362</v>
          </cell>
        </row>
        <row r="457">
          <cell r="C457">
            <v>0</v>
          </cell>
          <cell r="G457" t="str">
            <v/>
          </cell>
          <cell r="K457">
            <v>0</v>
          </cell>
          <cell r="L457" t="str">
            <v>持出端材</v>
          </cell>
          <cell r="T457" t="str">
            <v>000000000008362</v>
          </cell>
        </row>
        <row r="458">
          <cell r="G458" t="str">
            <v/>
          </cell>
          <cell r="K458">
            <v>0</v>
          </cell>
          <cell r="L458" t="str">
            <v>α端材</v>
          </cell>
          <cell r="M458">
            <v>0</v>
          </cell>
          <cell r="P458">
            <v>0</v>
          </cell>
          <cell r="T458" t="str">
            <v>000000000008362</v>
          </cell>
        </row>
        <row r="459">
          <cell r="C459" t="str">
            <v>8FL281304 6110　L=1478</v>
          </cell>
          <cell r="I459">
            <v>0</v>
          </cell>
          <cell r="J459">
            <v>0</v>
          </cell>
          <cell r="K459">
            <v>0</v>
          </cell>
          <cell r="O459">
            <v>0</v>
          </cell>
          <cell r="T459" t="str">
            <v>000000000008364</v>
          </cell>
        </row>
        <row r="460">
          <cell r="G460" t="str">
            <v/>
          </cell>
          <cell r="I460" t="str">
            <v/>
          </cell>
          <cell r="K460">
            <v>0</v>
          </cell>
          <cell r="O460">
            <v>0</v>
          </cell>
          <cell r="T460" t="str">
            <v>000000000008364</v>
          </cell>
        </row>
        <row r="461">
          <cell r="C461">
            <v>400</v>
          </cell>
          <cell r="G461" t="str">
            <v/>
          </cell>
          <cell r="K461">
            <v>0</v>
          </cell>
          <cell r="O461">
            <v>0</v>
          </cell>
          <cell r="T461" t="str">
            <v>000000000008364</v>
          </cell>
        </row>
        <row r="462">
          <cell r="G462" t="str">
            <v/>
          </cell>
          <cell r="K462">
            <v>0</v>
          </cell>
          <cell r="O462">
            <v>0</v>
          </cell>
          <cell r="T462" t="str">
            <v>000000000008364</v>
          </cell>
        </row>
        <row r="463">
          <cell r="C463">
            <v>1</v>
          </cell>
          <cell r="G463" t="str">
            <v/>
          </cell>
          <cell r="K463">
            <v>0</v>
          </cell>
          <cell r="O463">
            <v>0</v>
          </cell>
          <cell r="T463" t="str">
            <v>000000000008364</v>
          </cell>
        </row>
        <row r="464">
          <cell r="C464" t="str">
            <v>LED-A1478</v>
          </cell>
          <cell r="G464" t="str">
            <v/>
          </cell>
          <cell r="K464">
            <v>0</v>
          </cell>
          <cell r="L464" t="str">
            <v>旧品加工</v>
          </cell>
          <cell r="O464">
            <v>0</v>
          </cell>
          <cell r="T464" t="str">
            <v>000000000008364</v>
          </cell>
        </row>
        <row r="465">
          <cell r="C465">
            <v>0</v>
          </cell>
          <cell r="G465" t="str">
            <v/>
          </cell>
          <cell r="K465">
            <v>0</v>
          </cell>
          <cell r="L465" t="str">
            <v>持出端材</v>
          </cell>
          <cell r="T465" t="str">
            <v>000000000008364</v>
          </cell>
        </row>
        <row r="466">
          <cell r="G466" t="str">
            <v/>
          </cell>
          <cell r="K466">
            <v>0</v>
          </cell>
          <cell r="L466" t="str">
            <v>α端材</v>
          </cell>
          <cell r="M466">
            <v>0</v>
          </cell>
          <cell r="P466">
            <v>0</v>
          </cell>
          <cell r="T466" t="str">
            <v>000000000008364</v>
          </cell>
        </row>
        <row r="467">
          <cell r="C467" t="str">
            <v>8FL281304 6110　L=1478</v>
          </cell>
          <cell r="I467">
            <v>0</v>
          </cell>
          <cell r="J467">
            <v>0</v>
          </cell>
          <cell r="K467">
            <v>0</v>
          </cell>
          <cell r="O467">
            <v>0</v>
          </cell>
          <cell r="T467" t="str">
            <v>000000000008803</v>
          </cell>
        </row>
        <row r="468">
          <cell r="G468" t="str">
            <v/>
          </cell>
          <cell r="I468" t="str">
            <v/>
          </cell>
          <cell r="K468">
            <v>0</v>
          </cell>
          <cell r="O468">
            <v>0</v>
          </cell>
          <cell r="T468" t="str">
            <v>000000000008803</v>
          </cell>
        </row>
        <row r="469">
          <cell r="C469">
            <v>200</v>
          </cell>
          <cell r="G469" t="str">
            <v/>
          </cell>
          <cell r="K469">
            <v>0</v>
          </cell>
          <cell r="O469">
            <v>0</v>
          </cell>
          <cell r="T469" t="str">
            <v>000000000008803</v>
          </cell>
        </row>
        <row r="470">
          <cell r="G470" t="str">
            <v/>
          </cell>
          <cell r="K470">
            <v>0</v>
          </cell>
          <cell r="O470">
            <v>0</v>
          </cell>
          <cell r="T470" t="str">
            <v>000000000008803</v>
          </cell>
        </row>
        <row r="471">
          <cell r="C471">
            <v>1</v>
          </cell>
          <cell r="G471" t="str">
            <v/>
          </cell>
          <cell r="K471">
            <v>0</v>
          </cell>
          <cell r="O471">
            <v>0</v>
          </cell>
          <cell r="T471" t="str">
            <v>000000000008803</v>
          </cell>
        </row>
        <row r="472">
          <cell r="C472" t="str">
            <v>LED-A1478</v>
          </cell>
          <cell r="G472" t="str">
            <v/>
          </cell>
          <cell r="K472">
            <v>0</v>
          </cell>
          <cell r="L472" t="str">
            <v>旧品加工</v>
          </cell>
          <cell r="O472">
            <v>0</v>
          </cell>
          <cell r="T472" t="str">
            <v>000000000008803</v>
          </cell>
        </row>
        <row r="473">
          <cell r="C473">
            <v>0</v>
          </cell>
          <cell r="G473" t="str">
            <v/>
          </cell>
          <cell r="K473">
            <v>0</v>
          </cell>
          <cell r="L473" t="str">
            <v>持出端材</v>
          </cell>
          <cell r="T473" t="str">
            <v>000000000008803</v>
          </cell>
        </row>
        <row r="474">
          <cell r="G474" t="str">
            <v/>
          </cell>
          <cell r="K474">
            <v>0</v>
          </cell>
          <cell r="L474" t="str">
            <v>α端材</v>
          </cell>
          <cell r="M474">
            <v>0</v>
          </cell>
          <cell r="P474">
            <v>0</v>
          </cell>
          <cell r="T474" t="str">
            <v>000000000008803</v>
          </cell>
        </row>
        <row r="475">
          <cell r="C475" t="str">
            <v>8FL281304 4810　L=297</v>
          </cell>
          <cell r="I475">
            <v>0</v>
          </cell>
          <cell r="J475">
            <v>0</v>
          </cell>
          <cell r="K475">
            <v>0</v>
          </cell>
          <cell r="O475">
            <v>0</v>
          </cell>
          <cell r="T475" t="str">
            <v>000000000008355</v>
          </cell>
        </row>
        <row r="476">
          <cell r="G476" t="str">
            <v/>
          </cell>
          <cell r="I476" t="str">
            <v/>
          </cell>
          <cell r="K476">
            <v>0</v>
          </cell>
          <cell r="O476">
            <v>0</v>
          </cell>
          <cell r="T476" t="str">
            <v>000000000008355</v>
          </cell>
        </row>
        <row r="477">
          <cell r="C477">
            <v>200</v>
          </cell>
          <cell r="G477" t="str">
            <v/>
          </cell>
          <cell r="K477">
            <v>0</v>
          </cell>
          <cell r="O477">
            <v>0</v>
          </cell>
          <cell r="T477" t="str">
            <v>000000000008355</v>
          </cell>
        </row>
        <row r="478">
          <cell r="G478" t="str">
            <v/>
          </cell>
          <cell r="K478">
            <v>0</v>
          </cell>
          <cell r="O478">
            <v>0</v>
          </cell>
          <cell r="T478" t="str">
            <v>000000000008355</v>
          </cell>
        </row>
        <row r="479">
          <cell r="C479">
            <v>6</v>
          </cell>
          <cell r="G479" t="str">
            <v/>
          </cell>
          <cell r="K479">
            <v>0</v>
          </cell>
          <cell r="O479">
            <v>0</v>
          </cell>
          <cell r="T479" t="str">
            <v>000000000008355</v>
          </cell>
        </row>
        <row r="480">
          <cell r="C480" t="str">
            <v>LED-A300</v>
          </cell>
          <cell r="G480" t="str">
            <v/>
          </cell>
          <cell r="K480">
            <v>0</v>
          </cell>
          <cell r="L480" t="str">
            <v>旧品加工</v>
          </cell>
          <cell r="O480">
            <v>0</v>
          </cell>
          <cell r="T480" t="str">
            <v>000000000008355</v>
          </cell>
        </row>
        <row r="481">
          <cell r="C481">
            <v>0</v>
          </cell>
          <cell r="G481" t="str">
            <v/>
          </cell>
          <cell r="K481">
            <v>0</v>
          </cell>
          <cell r="L481" t="str">
            <v>持出端材</v>
          </cell>
          <cell r="T481" t="str">
            <v>000000000008355</v>
          </cell>
        </row>
        <row r="482">
          <cell r="G482" t="str">
            <v/>
          </cell>
          <cell r="K482">
            <v>0</v>
          </cell>
          <cell r="L482" t="str">
            <v>α端材</v>
          </cell>
          <cell r="M482">
            <v>0</v>
          </cell>
          <cell r="P482">
            <v>0</v>
          </cell>
          <cell r="T482" t="str">
            <v>000000000008355</v>
          </cell>
        </row>
        <row r="483">
          <cell r="C483" t="str">
            <v>8FL281304 4810　L=297</v>
          </cell>
          <cell r="I483">
            <v>0</v>
          </cell>
          <cell r="J483">
            <v>0</v>
          </cell>
          <cell r="K483">
            <v>0</v>
          </cell>
          <cell r="O483">
            <v>0</v>
          </cell>
          <cell r="T483" t="str">
            <v>000000000008356</v>
          </cell>
        </row>
        <row r="484">
          <cell r="G484" t="str">
            <v/>
          </cell>
          <cell r="I484" t="str">
            <v/>
          </cell>
          <cell r="K484">
            <v>0</v>
          </cell>
          <cell r="O484">
            <v>0</v>
          </cell>
          <cell r="T484" t="str">
            <v>000000000008356</v>
          </cell>
        </row>
        <row r="485">
          <cell r="C485">
            <v>300</v>
          </cell>
          <cell r="G485" t="str">
            <v/>
          </cell>
          <cell r="K485">
            <v>0</v>
          </cell>
          <cell r="O485">
            <v>0</v>
          </cell>
          <cell r="T485" t="str">
            <v>000000000008356</v>
          </cell>
        </row>
        <row r="486">
          <cell r="G486" t="str">
            <v/>
          </cell>
          <cell r="K486">
            <v>0</v>
          </cell>
          <cell r="O486">
            <v>0</v>
          </cell>
          <cell r="T486" t="str">
            <v>000000000008356</v>
          </cell>
        </row>
        <row r="487">
          <cell r="C487">
            <v>6</v>
          </cell>
          <cell r="G487" t="str">
            <v/>
          </cell>
          <cell r="K487">
            <v>0</v>
          </cell>
          <cell r="O487">
            <v>0</v>
          </cell>
          <cell r="T487" t="str">
            <v>000000000008356</v>
          </cell>
        </row>
        <row r="488">
          <cell r="C488" t="str">
            <v>LED-A300</v>
          </cell>
          <cell r="G488" t="str">
            <v/>
          </cell>
          <cell r="K488">
            <v>0</v>
          </cell>
          <cell r="L488" t="str">
            <v>旧品加工</v>
          </cell>
          <cell r="O488">
            <v>0</v>
          </cell>
          <cell r="T488" t="str">
            <v>000000000008356</v>
          </cell>
        </row>
        <row r="489">
          <cell r="C489">
            <v>0</v>
          </cell>
          <cell r="G489" t="str">
            <v/>
          </cell>
          <cell r="K489">
            <v>0</v>
          </cell>
          <cell r="L489" t="str">
            <v>持出端材</v>
          </cell>
          <cell r="T489" t="str">
            <v>000000000008356</v>
          </cell>
        </row>
        <row r="490">
          <cell r="G490" t="str">
            <v/>
          </cell>
          <cell r="K490">
            <v>0</v>
          </cell>
          <cell r="L490" t="str">
            <v>α端材</v>
          </cell>
          <cell r="M490">
            <v>0</v>
          </cell>
          <cell r="P490">
            <v>0</v>
          </cell>
          <cell r="T490" t="str">
            <v>000000000008356</v>
          </cell>
        </row>
        <row r="491">
          <cell r="C491" t="str">
            <v>8FL281304 4910　L=592</v>
          </cell>
          <cell r="I491">
            <v>0</v>
          </cell>
          <cell r="J491">
            <v>0</v>
          </cell>
          <cell r="K491">
            <v>0</v>
          </cell>
          <cell r="O491">
            <v>0</v>
          </cell>
          <cell r="T491" t="str">
            <v>000000000008358</v>
          </cell>
        </row>
        <row r="492">
          <cell r="G492" t="str">
            <v/>
          </cell>
          <cell r="I492" t="str">
            <v/>
          </cell>
          <cell r="K492">
            <v>0</v>
          </cell>
          <cell r="O492">
            <v>0</v>
          </cell>
          <cell r="T492" t="str">
            <v>000000000008358</v>
          </cell>
        </row>
        <row r="493">
          <cell r="C493">
            <v>200</v>
          </cell>
          <cell r="G493" t="str">
            <v/>
          </cell>
          <cell r="K493">
            <v>0</v>
          </cell>
          <cell r="O493">
            <v>0</v>
          </cell>
          <cell r="T493" t="str">
            <v>000000000008358</v>
          </cell>
        </row>
        <row r="494">
          <cell r="G494" t="str">
            <v/>
          </cell>
          <cell r="K494">
            <v>0</v>
          </cell>
          <cell r="O494">
            <v>0</v>
          </cell>
          <cell r="T494" t="str">
            <v>000000000008358</v>
          </cell>
        </row>
        <row r="495">
          <cell r="C495">
            <v>3</v>
          </cell>
          <cell r="G495" t="str">
            <v/>
          </cell>
          <cell r="K495">
            <v>0</v>
          </cell>
          <cell r="O495">
            <v>0</v>
          </cell>
          <cell r="T495" t="str">
            <v>000000000008358</v>
          </cell>
        </row>
        <row r="496">
          <cell r="C496" t="str">
            <v>LED-A592</v>
          </cell>
          <cell r="G496" t="str">
            <v/>
          </cell>
          <cell r="K496">
            <v>0</v>
          </cell>
          <cell r="L496" t="str">
            <v>旧品加工</v>
          </cell>
          <cell r="O496">
            <v>0</v>
          </cell>
          <cell r="T496" t="str">
            <v>000000000008358</v>
          </cell>
        </row>
        <row r="497">
          <cell r="C497">
            <v>0</v>
          </cell>
          <cell r="G497" t="str">
            <v/>
          </cell>
          <cell r="K497">
            <v>0</v>
          </cell>
          <cell r="L497" t="str">
            <v>持出端材</v>
          </cell>
          <cell r="T497" t="str">
            <v>000000000008358</v>
          </cell>
        </row>
        <row r="498">
          <cell r="G498" t="str">
            <v/>
          </cell>
          <cell r="K498">
            <v>0</v>
          </cell>
          <cell r="L498" t="str">
            <v>α端材</v>
          </cell>
          <cell r="M498">
            <v>0</v>
          </cell>
          <cell r="P498">
            <v>0</v>
          </cell>
          <cell r="T498" t="str">
            <v>000000000008358</v>
          </cell>
        </row>
        <row r="499">
          <cell r="C499" t="str">
            <v>8FL281304 4910　L=592</v>
          </cell>
          <cell r="I499">
            <v>0</v>
          </cell>
          <cell r="J499">
            <v>0</v>
          </cell>
          <cell r="K499">
            <v>0</v>
          </cell>
          <cell r="O499">
            <v>0</v>
          </cell>
          <cell r="T499" t="str">
            <v>000000000008359</v>
          </cell>
        </row>
        <row r="500">
          <cell r="G500" t="str">
            <v/>
          </cell>
          <cell r="I500" t="str">
            <v/>
          </cell>
          <cell r="K500">
            <v>0</v>
          </cell>
          <cell r="O500">
            <v>0</v>
          </cell>
          <cell r="T500" t="str">
            <v>000000000008359</v>
          </cell>
        </row>
        <row r="501">
          <cell r="C501">
            <v>200</v>
          </cell>
          <cell r="G501" t="str">
            <v/>
          </cell>
          <cell r="K501">
            <v>0</v>
          </cell>
          <cell r="O501">
            <v>0</v>
          </cell>
          <cell r="T501" t="str">
            <v>000000000008359</v>
          </cell>
        </row>
        <row r="502">
          <cell r="G502" t="str">
            <v/>
          </cell>
          <cell r="K502">
            <v>0</v>
          </cell>
          <cell r="O502">
            <v>0</v>
          </cell>
          <cell r="T502" t="str">
            <v>000000000008359</v>
          </cell>
        </row>
        <row r="503">
          <cell r="C503">
            <v>3</v>
          </cell>
          <cell r="G503" t="str">
            <v/>
          </cell>
          <cell r="K503">
            <v>0</v>
          </cell>
          <cell r="O503">
            <v>0</v>
          </cell>
          <cell r="T503" t="str">
            <v>000000000008359</v>
          </cell>
        </row>
        <row r="504">
          <cell r="C504" t="str">
            <v>LED-A592</v>
          </cell>
          <cell r="G504" t="str">
            <v/>
          </cell>
          <cell r="K504">
            <v>0</v>
          </cell>
          <cell r="L504" t="str">
            <v>旧品加工</v>
          </cell>
          <cell r="O504">
            <v>0</v>
          </cell>
          <cell r="T504" t="str">
            <v>000000000008359</v>
          </cell>
        </row>
        <row r="505">
          <cell r="C505">
            <v>0</v>
          </cell>
          <cell r="G505" t="str">
            <v/>
          </cell>
          <cell r="K505">
            <v>0</v>
          </cell>
          <cell r="L505" t="str">
            <v>持出端材</v>
          </cell>
          <cell r="T505" t="str">
            <v>000000000008359</v>
          </cell>
        </row>
        <row r="506">
          <cell r="G506" t="str">
            <v/>
          </cell>
          <cell r="K506">
            <v>0</v>
          </cell>
          <cell r="L506" t="str">
            <v>α端材</v>
          </cell>
          <cell r="M506">
            <v>0</v>
          </cell>
          <cell r="P506">
            <v>0</v>
          </cell>
          <cell r="T506" t="str">
            <v>000000000008359</v>
          </cell>
        </row>
        <row r="507">
          <cell r="C507" t="str">
            <v>8FL281304 8310　L=748</v>
          </cell>
          <cell r="I507">
            <v>0</v>
          </cell>
          <cell r="J507">
            <v>0</v>
          </cell>
          <cell r="K507">
            <v>0</v>
          </cell>
          <cell r="O507">
            <v>0</v>
          </cell>
          <cell r="T507" t="str">
            <v>000000000008801</v>
          </cell>
        </row>
        <row r="508">
          <cell r="G508" t="str">
            <v/>
          </cell>
          <cell r="I508" t="str">
            <v/>
          </cell>
          <cell r="K508">
            <v>0</v>
          </cell>
          <cell r="O508">
            <v>0</v>
          </cell>
          <cell r="T508" t="str">
            <v>000000000008801</v>
          </cell>
        </row>
        <row r="509">
          <cell r="C509">
            <v>200</v>
          </cell>
          <cell r="G509" t="str">
            <v/>
          </cell>
          <cell r="K509">
            <v>0</v>
          </cell>
          <cell r="O509">
            <v>0</v>
          </cell>
          <cell r="T509" t="str">
            <v>000000000008801</v>
          </cell>
        </row>
        <row r="510">
          <cell r="G510" t="str">
            <v/>
          </cell>
          <cell r="K510">
            <v>0</v>
          </cell>
          <cell r="O510">
            <v>0</v>
          </cell>
          <cell r="T510" t="str">
            <v>000000000008801</v>
          </cell>
        </row>
        <row r="511">
          <cell r="C511">
            <v>2</v>
          </cell>
          <cell r="G511" t="str">
            <v/>
          </cell>
          <cell r="K511">
            <v>0</v>
          </cell>
          <cell r="O511">
            <v>0</v>
          </cell>
          <cell r="T511" t="str">
            <v>000000000008801</v>
          </cell>
        </row>
        <row r="512">
          <cell r="C512" t="str">
            <v>LED-A888</v>
          </cell>
          <cell r="G512" t="str">
            <v/>
          </cell>
          <cell r="K512">
            <v>0</v>
          </cell>
          <cell r="L512" t="str">
            <v>旧品加工</v>
          </cell>
          <cell r="O512">
            <v>0</v>
          </cell>
          <cell r="T512" t="str">
            <v>000000000008801</v>
          </cell>
        </row>
        <row r="513">
          <cell r="C513">
            <v>0</v>
          </cell>
          <cell r="G513" t="str">
            <v/>
          </cell>
          <cell r="K513">
            <v>0</v>
          </cell>
          <cell r="L513" t="str">
            <v>持出端材</v>
          </cell>
          <cell r="T513" t="str">
            <v>000000000008801</v>
          </cell>
        </row>
        <row r="514">
          <cell r="G514" t="str">
            <v/>
          </cell>
          <cell r="K514">
            <v>0</v>
          </cell>
          <cell r="L514" t="str">
            <v>α端材</v>
          </cell>
          <cell r="M514">
            <v>0</v>
          </cell>
          <cell r="P514">
            <v>0</v>
          </cell>
          <cell r="T514" t="str">
            <v>000000000008801</v>
          </cell>
        </row>
        <row r="515">
          <cell r="C515" t="str">
            <v>8FL281304 5010　L=888</v>
          </cell>
          <cell r="I515">
            <v>0</v>
          </cell>
          <cell r="J515">
            <v>0</v>
          </cell>
          <cell r="K515">
            <v>0</v>
          </cell>
          <cell r="O515">
            <v>0</v>
          </cell>
          <cell r="T515" t="str">
            <v>000000000008363</v>
          </cell>
        </row>
        <row r="516">
          <cell r="G516" t="str">
            <v/>
          </cell>
          <cell r="I516" t="str">
            <v/>
          </cell>
          <cell r="K516">
            <v>0</v>
          </cell>
          <cell r="O516">
            <v>0</v>
          </cell>
          <cell r="T516" t="str">
            <v>000000000008363</v>
          </cell>
        </row>
        <row r="517">
          <cell r="C517">
            <v>2000</v>
          </cell>
          <cell r="G517" t="str">
            <v/>
          </cell>
          <cell r="K517">
            <v>0</v>
          </cell>
          <cell r="O517">
            <v>0</v>
          </cell>
          <cell r="T517" t="str">
            <v>000000000008363</v>
          </cell>
        </row>
        <row r="518">
          <cell r="G518" t="str">
            <v/>
          </cell>
          <cell r="K518">
            <v>0</v>
          </cell>
          <cell r="O518">
            <v>0</v>
          </cell>
          <cell r="T518" t="str">
            <v>000000000008363</v>
          </cell>
        </row>
        <row r="519">
          <cell r="C519">
            <v>2</v>
          </cell>
          <cell r="G519" t="str">
            <v/>
          </cell>
          <cell r="K519">
            <v>0</v>
          </cell>
          <cell r="O519">
            <v>0</v>
          </cell>
          <cell r="T519" t="str">
            <v>000000000008363</v>
          </cell>
        </row>
        <row r="520">
          <cell r="C520" t="str">
            <v>LED-A888</v>
          </cell>
          <cell r="G520" t="str">
            <v/>
          </cell>
          <cell r="K520">
            <v>0</v>
          </cell>
          <cell r="L520" t="str">
            <v>旧品加工</v>
          </cell>
          <cell r="O520">
            <v>0</v>
          </cell>
          <cell r="T520" t="str">
            <v>000000000008363</v>
          </cell>
        </row>
        <row r="521">
          <cell r="C521">
            <v>0</v>
          </cell>
          <cell r="G521" t="str">
            <v/>
          </cell>
          <cell r="K521">
            <v>0</v>
          </cell>
          <cell r="L521" t="str">
            <v>持出端材</v>
          </cell>
          <cell r="T521" t="str">
            <v>000000000008363</v>
          </cell>
        </row>
        <row r="522">
          <cell r="G522" t="str">
            <v/>
          </cell>
          <cell r="K522">
            <v>0</v>
          </cell>
          <cell r="L522" t="str">
            <v>α端材</v>
          </cell>
          <cell r="M522">
            <v>0</v>
          </cell>
          <cell r="P522">
            <v>0</v>
          </cell>
          <cell r="T522" t="str">
            <v>000000000008363</v>
          </cell>
        </row>
        <row r="523">
          <cell r="C523" t="str">
            <v>8FL281304 5010　L=888</v>
          </cell>
          <cell r="I523">
            <v>0</v>
          </cell>
          <cell r="J523">
            <v>0</v>
          </cell>
          <cell r="K523">
            <v>0</v>
          </cell>
          <cell r="O523">
            <v>0</v>
          </cell>
          <cell r="T523" t="str">
            <v>000000000008802</v>
          </cell>
        </row>
        <row r="524">
          <cell r="G524" t="str">
            <v/>
          </cell>
          <cell r="I524" t="str">
            <v/>
          </cell>
          <cell r="K524">
            <v>0</v>
          </cell>
          <cell r="O524">
            <v>0</v>
          </cell>
          <cell r="T524" t="str">
            <v>000000000008802</v>
          </cell>
        </row>
        <row r="525">
          <cell r="C525">
            <v>100</v>
          </cell>
          <cell r="G525" t="str">
            <v/>
          </cell>
          <cell r="K525">
            <v>0</v>
          </cell>
          <cell r="O525">
            <v>0</v>
          </cell>
          <cell r="T525" t="str">
            <v>000000000008802</v>
          </cell>
        </row>
        <row r="526">
          <cell r="G526" t="str">
            <v/>
          </cell>
          <cell r="K526">
            <v>0</v>
          </cell>
          <cell r="O526">
            <v>0</v>
          </cell>
          <cell r="T526" t="str">
            <v>000000000008802</v>
          </cell>
        </row>
        <row r="527">
          <cell r="C527">
            <v>2</v>
          </cell>
          <cell r="G527" t="str">
            <v/>
          </cell>
          <cell r="K527">
            <v>0</v>
          </cell>
          <cell r="O527">
            <v>0</v>
          </cell>
          <cell r="T527" t="str">
            <v>000000000008802</v>
          </cell>
        </row>
        <row r="528">
          <cell r="C528" t="str">
            <v>LED-A888</v>
          </cell>
          <cell r="G528" t="str">
            <v/>
          </cell>
          <cell r="K528">
            <v>0</v>
          </cell>
          <cell r="L528" t="str">
            <v>旧品加工</v>
          </cell>
          <cell r="O528">
            <v>0</v>
          </cell>
          <cell r="T528" t="str">
            <v>000000000008802</v>
          </cell>
        </row>
        <row r="529">
          <cell r="C529">
            <v>0</v>
          </cell>
          <cell r="G529" t="str">
            <v/>
          </cell>
          <cell r="K529">
            <v>0</v>
          </cell>
          <cell r="L529" t="str">
            <v>持出端材</v>
          </cell>
          <cell r="T529" t="str">
            <v>000000000008802</v>
          </cell>
        </row>
        <row r="530">
          <cell r="G530" t="str">
            <v/>
          </cell>
          <cell r="K530">
            <v>0</v>
          </cell>
          <cell r="L530" t="str">
            <v>α端材</v>
          </cell>
          <cell r="M530">
            <v>0</v>
          </cell>
          <cell r="P530">
            <v>0</v>
          </cell>
          <cell r="T530" t="str">
            <v>000000000008802</v>
          </cell>
        </row>
        <row r="531">
          <cell r="C531" t="str">
            <v>PK-59827 L=700</v>
          </cell>
          <cell r="I531">
            <v>0</v>
          </cell>
          <cell r="J531">
            <v>0</v>
          </cell>
          <cell r="K531">
            <v>0</v>
          </cell>
          <cell r="O531">
            <v>0</v>
          </cell>
          <cell r="T531" t="str">
            <v>000000000008411</v>
          </cell>
        </row>
        <row r="532">
          <cell r="G532" t="str">
            <v/>
          </cell>
          <cell r="I532" t="str">
            <v/>
          </cell>
          <cell r="K532">
            <v>0</v>
          </cell>
          <cell r="O532">
            <v>0</v>
          </cell>
          <cell r="T532" t="str">
            <v>000000000008411</v>
          </cell>
        </row>
        <row r="533">
          <cell r="C533">
            <v>1054</v>
          </cell>
          <cell r="G533" t="str">
            <v/>
          </cell>
          <cell r="K533">
            <v>0</v>
          </cell>
          <cell r="O533">
            <v>0</v>
          </cell>
          <cell r="T533" t="str">
            <v>000000000008411</v>
          </cell>
        </row>
        <row r="534">
          <cell r="G534" t="str">
            <v/>
          </cell>
          <cell r="K534">
            <v>0</v>
          </cell>
          <cell r="O534">
            <v>0</v>
          </cell>
          <cell r="T534" t="str">
            <v>000000000008411</v>
          </cell>
        </row>
        <row r="535">
          <cell r="C535">
            <v>2</v>
          </cell>
          <cell r="G535" t="str">
            <v/>
          </cell>
          <cell r="K535">
            <v>0</v>
          </cell>
          <cell r="O535">
            <v>0</v>
          </cell>
          <cell r="T535" t="str">
            <v>000000000008411</v>
          </cell>
        </row>
        <row r="536">
          <cell r="C536" t="str">
            <v>PK-59827 L=700用</v>
          </cell>
          <cell r="G536" t="str">
            <v/>
          </cell>
          <cell r="K536">
            <v>0</v>
          </cell>
          <cell r="L536" t="str">
            <v>旧品加工</v>
          </cell>
          <cell r="O536">
            <v>0</v>
          </cell>
          <cell r="T536" t="str">
            <v>000000000008411</v>
          </cell>
        </row>
        <row r="537">
          <cell r="C537">
            <v>0</v>
          </cell>
          <cell r="G537" t="str">
            <v/>
          </cell>
          <cell r="K537">
            <v>0</v>
          </cell>
          <cell r="L537" t="str">
            <v>持出端材</v>
          </cell>
          <cell r="T537" t="str">
            <v>000000000008411</v>
          </cell>
        </row>
        <row r="538">
          <cell r="G538" t="str">
            <v/>
          </cell>
          <cell r="K538">
            <v>0</v>
          </cell>
          <cell r="L538" t="str">
            <v>α端材</v>
          </cell>
          <cell r="M538">
            <v>0</v>
          </cell>
          <cell r="P538">
            <v>0</v>
          </cell>
          <cell r="T538" t="str">
            <v>000000000008411</v>
          </cell>
        </row>
        <row r="539">
          <cell r="C539" t="str">
            <v>採光ルーバーパネルB　L=1996</v>
          </cell>
          <cell r="I539">
            <v>0</v>
          </cell>
          <cell r="J539">
            <v>0</v>
          </cell>
          <cell r="K539">
            <v>0</v>
          </cell>
          <cell r="O539">
            <v>0</v>
          </cell>
          <cell r="T539" t="str">
            <v>000000000008854</v>
          </cell>
        </row>
        <row r="540">
          <cell r="G540" t="str">
            <v/>
          </cell>
          <cell r="I540" t="str">
            <v/>
          </cell>
          <cell r="K540">
            <v>0</v>
          </cell>
          <cell r="O540">
            <v>0</v>
          </cell>
          <cell r="T540" t="str">
            <v>000000000008854</v>
          </cell>
        </row>
        <row r="541">
          <cell r="C541">
            <v>126</v>
          </cell>
          <cell r="G541" t="str">
            <v/>
          </cell>
          <cell r="K541">
            <v>0</v>
          </cell>
          <cell r="O541">
            <v>0</v>
          </cell>
          <cell r="T541" t="str">
            <v>000000000008854</v>
          </cell>
        </row>
        <row r="542">
          <cell r="G542" t="str">
            <v/>
          </cell>
          <cell r="K542">
            <v>0</v>
          </cell>
          <cell r="O542">
            <v>0</v>
          </cell>
          <cell r="T542" t="str">
            <v>000000000008854</v>
          </cell>
        </row>
        <row r="543">
          <cell r="C543">
            <v>1</v>
          </cell>
          <cell r="G543" t="str">
            <v/>
          </cell>
          <cell r="K543">
            <v>0</v>
          </cell>
          <cell r="O543">
            <v>0</v>
          </cell>
          <cell r="T543" t="str">
            <v>000000000008854</v>
          </cell>
        </row>
        <row r="544">
          <cell r="C544" t="str">
            <v>上-1</v>
          </cell>
          <cell r="G544" t="str">
            <v/>
          </cell>
          <cell r="K544">
            <v>0</v>
          </cell>
          <cell r="L544" t="str">
            <v>旧品加工</v>
          </cell>
          <cell r="O544">
            <v>0</v>
          </cell>
          <cell r="T544" t="str">
            <v>000000000008854</v>
          </cell>
        </row>
        <row r="545">
          <cell r="C545">
            <v>0</v>
          </cell>
          <cell r="G545" t="str">
            <v/>
          </cell>
          <cell r="K545">
            <v>0</v>
          </cell>
          <cell r="L545" t="str">
            <v>持出端材</v>
          </cell>
          <cell r="T545" t="str">
            <v>000000000008854</v>
          </cell>
        </row>
        <row r="546">
          <cell r="G546" t="str">
            <v/>
          </cell>
          <cell r="K546">
            <v>0</v>
          </cell>
          <cell r="L546" t="str">
            <v>α端材</v>
          </cell>
          <cell r="M546">
            <v>0</v>
          </cell>
          <cell r="P546">
            <v>0</v>
          </cell>
          <cell r="T546" t="str">
            <v>000000000008854</v>
          </cell>
        </row>
        <row r="547">
          <cell r="C547" t="str">
            <v>灯具カバーPC IN 2070　L=1966</v>
          </cell>
          <cell r="I547">
            <v>0</v>
          </cell>
          <cell r="J547">
            <v>0</v>
          </cell>
          <cell r="K547">
            <v>0</v>
          </cell>
          <cell r="O547">
            <v>0</v>
          </cell>
          <cell r="T547" t="str">
            <v>000000000008712</v>
          </cell>
        </row>
        <row r="548">
          <cell r="G548" t="str">
            <v/>
          </cell>
          <cell r="I548" t="str">
            <v/>
          </cell>
          <cell r="K548">
            <v>0</v>
          </cell>
          <cell r="O548">
            <v>0</v>
          </cell>
          <cell r="T548" t="str">
            <v>000000000008712</v>
          </cell>
        </row>
        <row r="549">
          <cell r="C549">
            <v>192</v>
          </cell>
          <cell r="G549" t="str">
            <v/>
          </cell>
          <cell r="K549">
            <v>0</v>
          </cell>
          <cell r="O549">
            <v>0</v>
          </cell>
          <cell r="T549" t="str">
            <v>000000000008712</v>
          </cell>
        </row>
        <row r="550">
          <cell r="G550" t="str">
            <v/>
          </cell>
          <cell r="K550">
            <v>0</v>
          </cell>
          <cell r="O550">
            <v>0</v>
          </cell>
          <cell r="T550" t="str">
            <v>000000000008712</v>
          </cell>
        </row>
        <row r="551">
          <cell r="C551">
            <v>1</v>
          </cell>
          <cell r="G551" t="str">
            <v/>
          </cell>
          <cell r="K551">
            <v>0</v>
          </cell>
          <cell r="O551">
            <v>0</v>
          </cell>
          <cell r="T551" t="str">
            <v>000000000008712</v>
          </cell>
        </row>
        <row r="552">
          <cell r="C552" t="str">
            <v>灯具-2　L＝1996</v>
          </cell>
          <cell r="G552" t="str">
            <v/>
          </cell>
          <cell r="K552">
            <v>0</v>
          </cell>
          <cell r="L552" t="str">
            <v>旧品加工</v>
          </cell>
          <cell r="O552">
            <v>0</v>
          </cell>
          <cell r="T552" t="str">
            <v>000000000008712</v>
          </cell>
        </row>
        <row r="553">
          <cell r="C553">
            <v>0</v>
          </cell>
          <cell r="G553" t="str">
            <v/>
          </cell>
          <cell r="K553">
            <v>0</v>
          </cell>
          <cell r="L553" t="str">
            <v>持出端材</v>
          </cell>
          <cell r="T553" t="str">
            <v>000000000008712</v>
          </cell>
        </row>
        <row r="554">
          <cell r="G554" t="str">
            <v/>
          </cell>
          <cell r="K554">
            <v>0</v>
          </cell>
          <cell r="L554" t="str">
            <v>α端材</v>
          </cell>
          <cell r="M554">
            <v>0</v>
          </cell>
          <cell r="P554">
            <v>0</v>
          </cell>
          <cell r="T554" t="str">
            <v>000000000008712</v>
          </cell>
        </row>
        <row r="555">
          <cell r="C555" t="str">
            <v>灯具カバーPC IN 2110　L=1815</v>
          </cell>
          <cell r="I555">
            <v>0</v>
          </cell>
          <cell r="J555">
            <v>0</v>
          </cell>
          <cell r="K555">
            <v>0</v>
          </cell>
          <cell r="O555">
            <v>0</v>
          </cell>
          <cell r="T555" t="str">
            <v>000000000008711</v>
          </cell>
        </row>
        <row r="556">
          <cell r="G556" t="str">
            <v/>
          </cell>
          <cell r="I556" t="str">
            <v/>
          </cell>
          <cell r="K556">
            <v>0</v>
          </cell>
          <cell r="O556">
            <v>0</v>
          </cell>
          <cell r="T556" t="str">
            <v>000000000008711</v>
          </cell>
        </row>
        <row r="557">
          <cell r="C557">
            <v>192</v>
          </cell>
          <cell r="G557" t="str">
            <v/>
          </cell>
          <cell r="K557">
            <v>0</v>
          </cell>
          <cell r="O557">
            <v>0</v>
          </cell>
          <cell r="T557" t="str">
            <v>000000000008711</v>
          </cell>
        </row>
        <row r="558">
          <cell r="G558" t="str">
            <v/>
          </cell>
          <cell r="K558">
            <v>0</v>
          </cell>
          <cell r="O558">
            <v>0</v>
          </cell>
          <cell r="T558" t="str">
            <v>000000000008711</v>
          </cell>
        </row>
        <row r="559">
          <cell r="C559">
            <v>1</v>
          </cell>
          <cell r="G559" t="str">
            <v/>
          </cell>
          <cell r="K559">
            <v>0</v>
          </cell>
          <cell r="O559">
            <v>0</v>
          </cell>
          <cell r="T559" t="str">
            <v>000000000008711</v>
          </cell>
        </row>
        <row r="560">
          <cell r="C560" t="str">
            <v>灯具-2　L＝1996</v>
          </cell>
          <cell r="G560" t="str">
            <v/>
          </cell>
          <cell r="K560">
            <v>0</v>
          </cell>
          <cell r="L560" t="str">
            <v>旧品加工</v>
          </cell>
          <cell r="O560">
            <v>0</v>
          </cell>
          <cell r="T560" t="str">
            <v>000000000008711</v>
          </cell>
        </row>
        <row r="561">
          <cell r="C561">
            <v>0</v>
          </cell>
          <cell r="G561" t="str">
            <v/>
          </cell>
          <cell r="K561">
            <v>0</v>
          </cell>
          <cell r="L561" t="str">
            <v>持出端材</v>
          </cell>
          <cell r="T561" t="str">
            <v>000000000008711</v>
          </cell>
        </row>
        <row r="562">
          <cell r="G562" t="str">
            <v/>
          </cell>
          <cell r="K562">
            <v>0</v>
          </cell>
          <cell r="L562" t="str">
            <v>α端材</v>
          </cell>
          <cell r="M562">
            <v>0</v>
          </cell>
          <cell r="P562">
            <v>0</v>
          </cell>
          <cell r="T562" t="str">
            <v>000000000008711</v>
          </cell>
        </row>
        <row r="563">
          <cell r="C563" t="str">
            <v>採光ルーバーパネルB　L=1996</v>
          </cell>
          <cell r="I563">
            <v>0</v>
          </cell>
          <cell r="J563">
            <v>0</v>
          </cell>
          <cell r="K563">
            <v>0</v>
          </cell>
          <cell r="O563">
            <v>0</v>
          </cell>
          <cell r="T563" t="str">
            <v>000000000008855</v>
          </cell>
        </row>
        <row r="564">
          <cell r="G564" t="str">
            <v/>
          </cell>
          <cell r="I564" t="str">
            <v/>
          </cell>
          <cell r="K564">
            <v>0</v>
          </cell>
          <cell r="O564">
            <v>0</v>
          </cell>
          <cell r="T564" t="str">
            <v>000000000008855</v>
          </cell>
        </row>
        <row r="565">
          <cell r="C565">
            <v>630</v>
          </cell>
          <cell r="G565" t="str">
            <v/>
          </cell>
          <cell r="K565">
            <v>0</v>
          </cell>
          <cell r="O565">
            <v>0</v>
          </cell>
          <cell r="T565" t="str">
            <v>000000000008855</v>
          </cell>
        </row>
        <row r="566">
          <cell r="G566" t="str">
            <v/>
          </cell>
          <cell r="K566">
            <v>0</v>
          </cell>
          <cell r="O566">
            <v>0</v>
          </cell>
          <cell r="T566" t="str">
            <v>000000000008855</v>
          </cell>
        </row>
        <row r="567">
          <cell r="C567">
            <v>1</v>
          </cell>
          <cell r="G567" t="str">
            <v/>
          </cell>
          <cell r="K567">
            <v>0</v>
          </cell>
          <cell r="O567">
            <v>0</v>
          </cell>
          <cell r="T567" t="str">
            <v>000000000008855</v>
          </cell>
        </row>
        <row r="568">
          <cell r="C568" t="str">
            <v>上-1</v>
          </cell>
          <cell r="G568" t="str">
            <v/>
          </cell>
          <cell r="K568">
            <v>0</v>
          </cell>
          <cell r="L568" t="str">
            <v>旧品加工</v>
          </cell>
          <cell r="O568">
            <v>0</v>
          </cell>
          <cell r="T568" t="str">
            <v>000000000008855</v>
          </cell>
        </row>
        <row r="569">
          <cell r="C569">
            <v>0</v>
          </cell>
          <cell r="G569" t="str">
            <v/>
          </cell>
          <cell r="K569">
            <v>0</v>
          </cell>
          <cell r="L569" t="str">
            <v>持出端材</v>
          </cell>
          <cell r="T569" t="str">
            <v>000000000008855</v>
          </cell>
        </row>
        <row r="570">
          <cell r="G570" t="str">
            <v/>
          </cell>
          <cell r="K570">
            <v>0</v>
          </cell>
          <cell r="L570" t="str">
            <v>α端材</v>
          </cell>
          <cell r="M570">
            <v>0</v>
          </cell>
          <cell r="P570">
            <v>0</v>
          </cell>
          <cell r="T570" t="str">
            <v>000000000008855</v>
          </cell>
        </row>
        <row r="571">
          <cell r="C571">
            <v>45967</v>
          </cell>
          <cell r="I571">
            <v>0</v>
          </cell>
          <cell r="J571" t="e">
            <v>#DIV/0!</v>
          </cell>
          <cell r="K571" t="e">
            <v>#DIV/0!</v>
          </cell>
          <cell r="O571">
            <v>0</v>
          </cell>
          <cell r="T571" t="str">
            <v/>
          </cell>
        </row>
        <row r="572">
          <cell r="G572" t="str">
            <v/>
          </cell>
          <cell r="I572" t="str">
            <v/>
          </cell>
          <cell r="K572" t="e">
            <v>#DIV/0!</v>
          </cell>
          <cell r="O572" t="e">
            <v>#DIV/0!</v>
          </cell>
          <cell r="T572" t="str">
            <v/>
          </cell>
        </row>
        <row r="573">
          <cell r="G573" t="str">
            <v/>
          </cell>
          <cell r="K573" t="e">
            <v>#DIV/0!</v>
          </cell>
          <cell r="O573" t="str">
            <v/>
          </cell>
          <cell r="T573" t="str">
            <v/>
          </cell>
        </row>
        <row r="574">
          <cell r="G574" t="str">
            <v/>
          </cell>
          <cell r="K574" t="e">
            <v>#DIV/0!</v>
          </cell>
          <cell r="O574" t="str">
            <v/>
          </cell>
          <cell r="T574" t="str">
            <v/>
          </cell>
        </row>
        <row r="575">
          <cell r="G575" t="str">
            <v/>
          </cell>
          <cell r="K575" t="e">
            <v>#DIV/0!</v>
          </cell>
          <cell r="O575">
            <v>0</v>
          </cell>
          <cell r="T575" t="str">
            <v/>
          </cell>
        </row>
        <row r="576">
          <cell r="G576" t="str">
            <v/>
          </cell>
          <cell r="K576" t="e">
            <v>#DIV/0!</v>
          </cell>
          <cell r="L576" t="str">
            <v>旧品加工</v>
          </cell>
          <cell r="O576" t="e">
            <v>#DIV/0!</v>
          </cell>
          <cell r="T576" t="str">
            <v/>
          </cell>
        </row>
        <row r="577">
          <cell r="C577" t="e">
            <v>#N/A</v>
          </cell>
          <cell r="G577" t="str">
            <v/>
          </cell>
          <cell r="K577" t="e">
            <v>#DIV/0!</v>
          </cell>
          <cell r="L577" t="str">
            <v>持出端材</v>
          </cell>
          <cell r="T577" t="str">
            <v/>
          </cell>
        </row>
        <row r="578">
          <cell r="G578" t="str">
            <v/>
          </cell>
          <cell r="K578" t="e">
            <v>#DIV/0!</v>
          </cell>
          <cell r="L578" t="str">
            <v>α端材</v>
          </cell>
          <cell r="M578" t="e">
            <v>#DIV/0!</v>
          </cell>
          <cell r="P578">
            <v>0</v>
          </cell>
          <cell r="T578" t="str">
            <v/>
          </cell>
        </row>
        <row r="579">
          <cell r="C579" t="str">
            <v>灯具カバーPC IN 2480　L=954</v>
          </cell>
          <cell r="I579">
            <v>0</v>
          </cell>
          <cell r="J579">
            <v>0</v>
          </cell>
          <cell r="K579">
            <v>0</v>
          </cell>
          <cell r="O579">
            <v>0</v>
          </cell>
          <cell r="T579" t="str">
            <v>000000000008705</v>
          </cell>
        </row>
        <row r="580">
          <cell r="G580" t="str">
            <v/>
          </cell>
          <cell r="I580" t="str">
            <v/>
          </cell>
          <cell r="K580">
            <v>0</v>
          </cell>
          <cell r="O580">
            <v>0</v>
          </cell>
          <cell r="T580" t="str">
            <v>000000000008705</v>
          </cell>
        </row>
        <row r="581">
          <cell r="C581">
            <v>96</v>
          </cell>
          <cell r="G581" t="str">
            <v/>
          </cell>
          <cell r="K581">
            <v>0</v>
          </cell>
          <cell r="O581">
            <v>0</v>
          </cell>
          <cell r="T581" t="str">
            <v>000000000008705</v>
          </cell>
        </row>
        <row r="582">
          <cell r="G582" t="str">
            <v/>
          </cell>
          <cell r="K582">
            <v>0</v>
          </cell>
          <cell r="O582">
            <v>0</v>
          </cell>
          <cell r="T582" t="str">
            <v>000000000008705</v>
          </cell>
        </row>
        <row r="583">
          <cell r="C583">
            <v>1</v>
          </cell>
          <cell r="G583" t="str">
            <v/>
          </cell>
          <cell r="K583">
            <v>0</v>
          </cell>
          <cell r="O583">
            <v>0</v>
          </cell>
          <cell r="T583" t="str">
            <v>000000000008705</v>
          </cell>
        </row>
        <row r="584">
          <cell r="C584" t="str">
            <v>灯具-1　L=1370</v>
          </cell>
          <cell r="G584" t="str">
            <v/>
          </cell>
          <cell r="K584">
            <v>0</v>
          </cell>
          <cell r="L584" t="str">
            <v>旧品加工</v>
          </cell>
          <cell r="O584">
            <v>0</v>
          </cell>
          <cell r="T584" t="str">
            <v>000000000008705</v>
          </cell>
        </row>
        <row r="585">
          <cell r="C585">
            <v>0</v>
          </cell>
          <cell r="G585" t="str">
            <v/>
          </cell>
          <cell r="K585">
            <v>0</v>
          </cell>
          <cell r="L585" t="str">
            <v>持出端材</v>
          </cell>
          <cell r="T585" t="str">
            <v>000000000008705</v>
          </cell>
        </row>
        <row r="586">
          <cell r="G586" t="str">
            <v/>
          </cell>
          <cell r="K586">
            <v>0</v>
          </cell>
          <cell r="L586" t="str">
            <v>α端材</v>
          </cell>
          <cell r="M586">
            <v>0</v>
          </cell>
          <cell r="P586">
            <v>0</v>
          </cell>
          <cell r="T586" t="str">
            <v>000000000008705</v>
          </cell>
        </row>
        <row r="587">
          <cell r="C587" t="str">
            <v>灯具カバーPC  　2200    L=221.8</v>
          </cell>
          <cell r="I587">
            <v>0</v>
          </cell>
          <cell r="J587">
            <v>0</v>
          </cell>
          <cell r="K587">
            <v>0</v>
          </cell>
          <cell r="O587">
            <v>0</v>
          </cell>
          <cell r="T587" t="str">
            <v>000000000008699</v>
          </cell>
        </row>
        <row r="588">
          <cell r="G588" t="str">
            <v/>
          </cell>
          <cell r="I588" t="str">
            <v/>
          </cell>
          <cell r="K588">
            <v>0</v>
          </cell>
          <cell r="O588">
            <v>0</v>
          </cell>
          <cell r="T588" t="str">
            <v>000000000008699</v>
          </cell>
        </row>
        <row r="589">
          <cell r="C589">
            <v>20</v>
          </cell>
          <cell r="G589" t="str">
            <v/>
          </cell>
          <cell r="K589">
            <v>0</v>
          </cell>
          <cell r="O589">
            <v>0</v>
          </cell>
          <cell r="T589" t="str">
            <v>000000000008699</v>
          </cell>
        </row>
        <row r="590">
          <cell r="G590" t="str">
            <v/>
          </cell>
          <cell r="K590">
            <v>0</v>
          </cell>
          <cell r="O590">
            <v>0</v>
          </cell>
          <cell r="T590" t="str">
            <v>000000000008699</v>
          </cell>
        </row>
        <row r="591">
          <cell r="C591">
            <v>2</v>
          </cell>
          <cell r="G591" t="str">
            <v/>
          </cell>
          <cell r="K591">
            <v>0</v>
          </cell>
          <cell r="O591">
            <v>0</v>
          </cell>
          <cell r="T591" t="str">
            <v>000000000008699</v>
          </cell>
        </row>
        <row r="592">
          <cell r="C592" t="str">
            <v>H型ジョイナー端材</v>
          </cell>
          <cell r="G592" t="str">
            <v/>
          </cell>
          <cell r="K592">
            <v>0</v>
          </cell>
          <cell r="L592" t="str">
            <v>旧品加工</v>
          </cell>
          <cell r="O592">
            <v>0</v>
          </cell>
          <cell r="T592" t="str">
            <v>000000000008699</v>
          </cell>
        </row>
        <row r="593">
          <cell r="C593">
            <v>0</v>
          </cell>
          <cell r="G593" t="str">
            <v/>
          </cell>
          <cell r="K593">
            <v>0</v>
          </cell>
          <cell r="L593" t="str">
            <v>持出端材</v>
          </cell>
          <cell r="T593" t="str">
            <v>000000000008699</v>
          </cell>
        </row>
        <row r="594">
          <cell r="G594" t="str">
            <v/>
          </cell>
          <cell r="K594">
            <v>0</v>
          </cell>
          <cell r="L594" t="str">
            <v>α端材</v>
          </cell>
          <cell r="M594">
            <v>0</v>
          </cell>
          <cell r="P594">
            <v>0</v>
          </cell>
          <cell r="T594" t="str">
            <v>000000000008699</v>
          </cell>
        </row>
        <row r="595">
          <cell r="C595" t="str">
            <v>灯具カバーPC IN 2140　L=547</v>
          </cell>
          <cell r="I595">
            <v>0</v>
          </cell>
          <cell r="J595">
            <v>0</v>
          </cell>
          <cell r="K595">
            <v>0</v>
          </cell>
          <cell r="O595">
            <v>0</v>
          </cell>
          <cell r="T595" t="str">
            <v>000000000008701</v>
          </cell>
        </row>
        <row r="596">
          <cell r="G596" t="str">
            <v/>
          </cell>
          <cell r="I596" t="str">
            <v/>
          </cell>
          <cell r="K596">
            <v>0</v>
          </cell>
          <cell r="O596">
            <v>0</v>
          </cell>
          <cell r="T596" t="str">
            <v>000000000008701</v>
          </cell>
        </row>
        <row r="597">
          <cell r="C597">
            <v>80</v>
          </cell>
          <cell r="G597" t="str">
            <v/>
          </cell>
          <cell r="K597">
            <v>0</v>
          </cell>
          <cell r="O597">
            <v>0</v>
          </cell>
          <cell r="T597" t="str">
            <v>000000000008701</v>
          </cell>
        </row>
        <row r="598">
          <cell r="G598" t="str">
            <v/>
          </cell>
          <cell r="K598">
            <v>0</v>
          </cell>
          <cell r="O598">
            <v>0</v>
          </cell>
          <cell r="T598" t="str">
            <v>000000000008701</v>
          </cell>
        </row>
        <row r="599">
          <cell r="C599">
            <v>1</v>
          </cell>
          <cell r="G599" t="str">
            <v/>
          </cell>
          <cell r="K599">
            <v>0</v>
          </cell>
          <cell r="O599">
            <v>0</v>
          </cell>
          <cell r="T599" t="str">
            <v>000000000008701</v>
          </cell>
        </row>
        <row r="600">
          <cell r="C600" t="str">
            <v>灯具-1　L=1370</v>
          </cell>
          <cell r="G600" t="str">
            <v/>
          </cell>
          <cell r="K600">
            <v>0</v>
          </cell>
          <cell r="L600" t="str">
            <v>旧品加工</v>
          </cell>
          <cell r="O600">
            <v>0</v>
          </cell>
          <cell r="T600" t="str">
            <v>000000000008701</v>
          </cell>
        </row>
        <row r="601">
          <cell r="C601">
            <v>0</v>
          </cell>
          <cell r="G601" t="str">
            <v/>
          </cell>
          <cell r="K601">
            <v>0</v>
          </cell>
          <cell r="L601" t="str">
            <v>持出端材</v>
          </cell>
          <cell r="T601" t="str">
            <v>000000000008701</v>
          </cell>
        </row>
        <row r="602">
          <cell r="G602" t="str">
            <v/>
          </cell>
          <cell r="K602">
            <v>0</v>
          </cell>
          <cell r="L602" t="str">
            <v>α端材</v>
          </cell>
          <cell r="M602">
            <v>0</v>
          </cell>
          <cell r="P602">
            <v>0</v>
          </cell>
          <cell r="T602" t="str">
            <v>000000000008701</v>
          </cell>
        </row>
        <row r="603">
          <cell r="C603" t="str">
            <v>灯具カバーPC IN 2050　L=1183.5</v>
          </cell>
          <cell r="I603">
            <v>0</v>
          </cell>
          <cell r="J603">
            <v>0</v>
          </cell>
          <cell r="K603">
            <v>0</v>
          </cell>
          <cell r="O603">
            <v>0</v>
          </cell>
          <cell r="T603" t="str">
            <v>000000000008706</v>
          </cell>
        </row>
        <row r="604">
          <cell r="G604" t="str">
            <v/>
          </cell>
          <cell r="I604" t="str">
            <v/>
          </cell>
          <cell r="K604">
            <v>0</v>
          </cell>
          <cell r="O604">
            <v>0</v>
          </cell>
          <cell r="T604" t="str">
            <v>000000000008706</v>
          </cell>
        </row>
        <row r="605">
          <cell r="C605">
            <v>192</v>
          </cell>
          <cell r="G605" t="str">
            <v/>
          </cell>
          <cell r="K605">
            <v>0</v>
          </cell>
          <cell r="O605">
            <v>0</v>
          </cell>
          <cell r="T605" t="str">
            <v>000000000008706</v>
          </cell>
        </row>
        <row r="606">
          <cell r="G606" t="str">
            <v/>
          </cell>
          <cell r="K606">
            <v>0</v>
          </cell>
          <cell r="O606">
            <v>0</v>
          </cell>
          <cell r="T606" t="str">
            <v>000000000008706</v>
          </cell>
        </row>
        <row r="607">
          <cell r="C607">
            <v>1</v>
          </cell>
          <cell r="G607" t="str">
            <v/>
          </cell>
          <cell r="K607">
            <v>0</v>
          </cell>
          <cell r="O607">
            <v>0</v>
          </cell>
          <cell r="T607" t="str">
            <v>000000000008706</v>
          </cell>
        </row>
        <row r="608">
          <cell r="C608" t="str">
            <v>灯具-1　L=1370</v>
          </cell>
          <cell r="G608" t="str">
            <v/>
          </cell>
          <cell r="K608">
            <v>0</v>
          </cell>
          <cell r="L608" t="str">
            <v>旧品加工</v>
          </cell>
          <cell r="O608">
            <v>0</v>
          </cell>
          <cell r="T608" t="str">
            <v>000000000008706</v>
          </cell>
        </row>
        <row r="609">
          <cell r="C609">
            <v>0</v>
          </cell>
          <cell r="G609" t="str">
            <v/>
          </cell>
          <cell r="K609">
            <v>0</v>
          </cell>
          <cell r="L609" t="str">
            <v>持出端材</v>
          </cell>
          <cell r="T609" t="str">
            <v>000000000008706</v>
          </cell>
        </row>
        <row r="610">
          <cell r="G610" t="str">
            <v/>
          </cell>
          <cell r="K610">
            <v>0</v>
          </cell>
          <cell r="L610" t="str">
            <v>α端材</v>
          </cell>
          <cell r="M610">
            <v>0</v>
          </cell>
          <cell r="P610">
            <v>0</v>
          </cell>
          <cell r="T610" t="str">
            <v>000000000008706</v>
          </cell>
        </row>
        <row r="611">
          <cell r="C611" t="str">
            <v>灯具カバーPC IN 2090　L=840</v>
          </cell>
          <cell r="I611">
            <v>0</v>
          </cell>
          <cell r="J611">
            <v>0</v>
          </cell>
          <cell r="K611">
            <v>0</v>
          </cell>
          <cell r="O611">
            <v>0</v>
          </cell>
          <cell r="T611" t="str">
            <v>000000000008702</v>
          </cell>
        </row>
        <row r="612">
          <cell r="G612" t="str">
            <v/>
          </cell>
          <cell r="I612" t="str">
            <v/>
          </cell>
          <cell r="K612">
            <v>0</v>
          </cell>
          <cell r="O612">
            <v>0</v>
          </cell>
          <cell r="T612" t="str">
            <v>000000000008702</v>
          </cell>
        </row>
        <row r="613">
          <cell r="C613">
            <v>192</v>
          </cell>
          <cell r="G613" t="str">
            <v/>
          </cell>
          <cell r="K613">
            <v>0</v>
          </cell>
          <cell r="O613">
            <v>0</v>
          </cell>
          <cell r="T613" t="str">
            <v>000000000008702</v>
          </cell>
        </row>
        <row r="614">
          <cell r="G614" t="str">
            <v/>
          </cell>
          <cell r="K614">
            <v>0</v>
          </cell>
          <cell r="O614">
            <v>0</v>
          </cell>
          <cell r="T614" t="str">
            <v>000000000008702</v>
          </cell>
        </row>
        <row r="615">
          <cell r="C615">
            <v>1</v>
          </cell>
          <cell r="G615" t="str">
            <v/>
          </cell>
          <cell r="K615">
            <v>0</v>
          </cell>
          <cell r="O615">
            <v>0</v>
          </cell>
          <cell r="T615" t="str">
            <v>000000000008702</v>
          </cell>
        </row>
        <row r="616">
          <cell r="C616" t="str">
            <v>灯具-2　L＝1996</v>
          </cell>
          <cell r="G616" t="str">
            <v/>
          </cell>
          <cell r="K616">
            <v>0</v>
          </cell>
          <cell r="L616" t="str">
            <v>旧品加工</v>
          </cell>
          <cell r="O616">
            <v>0</v>
          </cell>
          <cell r="T616" t="str">
            <v>000000000008702</v>
          </cell>
        </row>
        <row r="617">
          <cell r="C617">
            <v>0</v>
          </cell>
          <cell r="G617" t="str">
            <v/>
          </cell>
          <cell r="K617">
            <v>0</v>
          </cell>
          <cell r="L617" t="str">
            <v>持出端材</v>
          </cell>
          <cell r="T617" t="str">
            <v>000000000008702</v>
          </cell>
        </row>
        <row r="618">
          <cell r="G618" t="str">
            <v/>
          </cell>
          <cell r="K618">
            <v>0</v>
          </cell>
          <cell r="L618" t="str">
            <v>α端材</v>
          </cell>
          <cell r="M618">
            <v>0</v>
          </cell>
          <cell r="P618">
            <v>0</v>
          </cell>
          <cell r="T618" t="str">
            <v>000000000008702</v>
          </cell>
        </row>
        <row r="619">
          <cell r="C619" t="str">
            <v>灯具カバーPC IN 2130　L=908</v>
          </cell>
          <cell r="I619">
            <v>0</v>
          </cell>
          <cell r="J619">
            <v>0</v>
          </cell>
          <cell r="K619">
            <v>0</v>
          </cell>
          <cell r="O619">
            <v>0</v>
          </cell>
          <cell r="T619" t="str">
            <v>000000000008703</v>
          </cell>
        </row>
        <row r="620">
          <cell r="G620" t="str">
            <v/>
          </cell>
          <cell r="I620" t="str">
            <v/>
          </cell>
          <cell r="K620">
            <v>0</v>
          </cell>
          <cell r="O620">
            <v>0</v>
          </cell>
          <cell r="T620" t="str">
            <v>000000000008703</v>
          </cell>
        </row>
        <row r="621">
          <cell r="C621">
            <v>192</v>
          </cell>
          <cell r="G621" t="str">
            <v/>
          </cell>
          <cell r="K621">
            <v>0</v>
          </cell>
          <cell r="O621">
            <v>0</v>
          </cell>
          <cell r="T621" t="str">
            <v>000000000008703</v>
          </cell>
        </row>
        <row r="622">
          <cell r="G622" t="str">
            <v/>
          </cell>
          <cell r="K622">
            <v>0</v>
          </cell>
          <cell r="O622">
            <v>0</v>
          </cell>
          <cell r="T622" t="str">
            <v>000000000008703</v>
          </cell>
        </row>
        <row r="623">
          <cell r="C623">
            <v>1</v>
          </cell>
          <cell r="G623" t="str">
            <v/>
          </cell>
          <cell r="K623">
            <v>0</v>
          </cell>
          <cell r="O623">
            <v>0</v>
          </cell>
          <cell r="T623" t="str">
            <v>000000000008703</v>
          </cell>
        </row>
        <row r="624">
          <cell r="C624" t="str">
            <v>灯具-1　L=1370</v>
          </cell>
          <cell r="G624" t="str">
            <v/>
          </cell>
          <cell r="K624">
            <v>0</v>
          </cell>
          <cell r="L624" t="str">
            <v>旧品加工</v>
          </cell>
          <cell r="O624">
            <v>0</v>
          </cell>
          <cell r="T624" t="str">
            <v>000000000008703</v>
          </cell>
        </row>
        <row r="625">
          <cell r="C625">
            <v>0</v>
          </cell>
          <cell r="G625" t="str">
            <v/>
          </cell>
          <cell r="K625">
            <v>0</v>
          </cell>
          <cell r="L625" t="str">
            <v>持出端材</v>
          </cell>
          <cell r="T625" t="str">
            <v>000000000008703</v>
          </cell>
        </row>
        <row r="626">
          <cell r="G626" t="str">
            <v/>
          </cell>
          <cell r="K626">
            <v>0</v>
          </cell>
          <cell r="L626" t="str">
            <v>α端材</v>
          </cell>
          <cell r="M626">
            <v>0</v>
          </cell>
          <cell r="P626">
            <v>0</v>
          </cell>
          <cell r="T626" t="str">
            <v>000000000008703</v>
          </cell>
        </row>
        <row r="627">
          <cell r="C627" t="str">
            <v>灯具カバーPC  　7530    L=565</v>
          </cell>
          <cell r="I627">
            <v>0</v>
          </cell>
          <cell r="J627">
            <v>0</v>
          </cell>
          <cell r="K627">
            <v>0</v>
          </cell>
          <cell r="O627">
            <v>0</v>
          </cell>
          <cell r="T627" t="str">
            <v>000000000008700</v>
          </cell>
        </row>
        <row r="628">
          <cell r="G628" t="str">
            <v/>
          </cell>
          <cell r="I628" t="str">
            <v/>
          </cell>
          <cell r="K628">
            <v>0</v>
          </cell>
          <cell r="O628">
            <v>0</v>
          </cell>
          <cell r="T628" t="str">
            <v>000000000008700</v>
          </cell>
        </row>
        <row r="629">
          <cell r="C629">
            <v>20</v>
          </cell>
          <cell r="G629" t="str">
            <v/>
          </cell>
          <cell r="K629">
            <v>0</v>
          </cell>
          <cell r="O629">
            <v>0</v>
          </cell>
          <cell r="T629" t="str">
            <v>000000000008700</v>
          </cell>
        </row>
        <row r="630">
          <cell r="G630" t="str">
            <v/>
          </cell>
          <cell r="K630">
            <v>0</v>
          </cell>
          <cell r="O630">
            <v>0</v>
          </cell>
          <cell r="T630" t="str">
            <v>000000000008700</v>
          </cell>
        </row>
        <row r="631">
          <cell r="C631">
            <v>2</v>
          </cell>
          <cell r="G631" t="str">
            <v/>
          </cell>
          <cell r="K631">
            <v>0</v>
          </cell>
          <cell r="O631">
            <v>0</v>
          </cell>
          <cell r="T631" t="str">
            <v>000000000008700</v>
          </cell>
        </row>
        <row r="632">
          <cell r="C632" t="str">
            <v>H型ジョイナー端材</v>
          </cell>
          <cell r="G632" t="str">
            <v/>
          </cell>
          <cell r="K632">
            <v>0</v>
          </cell>
          <cell r="L632" t="str">
            <v>旧品加工</v>
          </cell>
          <cell r="O632">
            <v>0</v>
          </cell>
          <cell r="T632" t="str">
            <v>000000000008700</v>
          </cell>
        </row>
        <row r="633">
          <cell r="C633">
            <v>0</v>
          </cell>
          <cell r="G633" t="str">
            <v/>
          </cell>
          <cell r="K633">
            <v>0</v>
          </cell>
          <cell r="L633" t="str">
            <v>持出端材</v>
          </cell>
          <cell r="T633" t="str">
            <v>000000000008700</v>
          </cell>
        </row>
        <row r="634">
          <cell r="G634" t="str">
            <v/>
          </cell>
          <cell r="K634">
            <v>0</v>
          </cell>
          <cell r="L634" t="str">
            <v>α端材</v>
          </cell>
          <cell r="M634">
            <v>0</v>
          </cell>
          <cell r="P634">
            <v>0</v>
          </cell>
          <cell r="T634" t="str">
            <v>000000000008700</v>
          </cell>
        </row>
        <row r="635">
          <cell r="C635" t="str">
            <v>灯具カバーPC IN 2060　L=1258.5</v>
          </cell>
          <cell r="I635">
            <v>0</v>
          </cell>
          <cell r="J635">
            <v>0</v>
          </cell>
          <cell r="K635">
            <v>0</v>
          </cell>
          <cell r="O635">
            <v>0</v>
          </cell>
          <cell r="T635" t="str">
            <v>000000000008708</v>
          </cell>
        </row>
        <row r="636">
          <cell r="G636" t="str">
            <v/>
          </cell>
          <cell r="I636" t="str">
            <v/>
          </cell>
          <cell r="K636">
            <v>0</v>
          </cell>
          <cell r="O636">
            <v>0</v>
          </cell>
          <cell r="T636" t="str">
            <v>000000000008708</v>
          </cell>
        </row>
        <row r="637">
          <cell r="C637">
            <v>80</v>
          </cell>
          <cell r="G637" t="str">
            <v/>
          </cell>
          <cell r="K637">
            <v>0</v>
          </cell>
          <cell r="O637">
            <v>0</v>
          </cell>
          <cell r="T637" t="str">
            <v>000000000008708</v>
          </cell>
        </row>
        <row r="638">
          <cell r="G638" t="str">
            <v/>
          </cell>
          <cell r="K638">
            <v>0</v>
          </cell>
          <cell r="O638">
            <v>0</v>
          </cell>
          <cell r="T638" t="str">
            <v>000000000008708</v>
          </cell>
        </row>
        <row r="639">
          <cell r="C639">
            <v>1</v>
          </cell>
          <cell r="G639" t="str">
            <v/>
          </cell>
          <cell r="K639">
            <v>0</v>
          </cell>
          <cell r="O639">
            <v>0</v>
          </cell>
          <cell r="T639" t="str">
            <v>000000000008708</v>
          </cell>
        </row>
        <row r="640">
          <cell r="C640" t="str">
            <v>灯具-1　L=1370</v>
          </cell>
          <cell r="G640" t="str">
            <v/>
          </cell>
          <cell r="K640">
            <v>0</v>
          </cell>
          <cell r="L640" t="str">
            <v>旧品加工</v>
          </cell>
          <cell r="O640">
            <v>0</v>
          </cell>
          <cell r="T640" t="str">
            <v>000000000008708</v>
          </cell>
        </row>
        <row r="641">
          <cell r="C641">
            <v>0</v>
          </cell>
          <cell r="G641" t="str">
            <v/>
          </cell>
          <cell r="K641">
            <v>0</v>
          </cell>
          <cell r="L641" t="str">
            <v>持出端材</v>
          </cell>
          <cell r="T641" t="str">
            <v>000000000008708</v>
          </cell>
        </row>
        <row r="642">
          <cell r="G642" t="str">
            <v/>
          </cell>
          <cell r="K642">
            <v>0</v>
          </cell>
          <cell r="L642" t="str">
            <v>α端材</v>
          </cell>
          <cell r="M642">
            <v>0</v>
          </cell>
          <cell r="P642">
            <v>0</v>
          </cell>
          <cell r="T642" t="str">
            <v>000000000008708</v>
          </cell>
        </row>
        <row r="643">
          <cell r="C643" t="str">
            <v>灯具カバーPC IN 2050　L=1183.5</v>
          </cell>
          <cell r="I643">
            <v>0</v>
          </cell>
          <cell r="J643">
            <v>0</v>
          </cell>
          <cell r="K643">
            <v>0</v>
          </cell>
          <cell r="O643">
            <v>0</v>
          </cell>
          <cell r="T643" t="str">
            <v>000000000008707</v>
          </cell>
        </row>
        <row r="644">
          <cell r="G644" t="str">
            <v/>
          </cell>
          <cell r="I644" t="str">
            <v/>
          </cell>
          <cell r="K644">
            <v>0</v>
          </cell>
          <cell r="O644">
            <v>0</v>
          </cell>
          <cell r="T644" t="str">
            <v>000000000008707</v>
          </cell>
        </row>
        <row r="645">
          <cell r="C645">
            <v>192</v>
          </cell>
          <cell r="G645" t="str">
            <v/>
          </cell>
          <cell r="K645">
            <v>0</v>
          </cell>
          <cell r="O645">
            <v>0</v>
          </cell>
          <cell r="T645" t="str">
            <v>000000000008707</v>
          </cell>
        </row>
        <row r="646">
          <cell r="G646" t="str">
            <v/>
          </cell>
          <cell r="K646">
            <v>0</v>
          </cell>
          <cell r="O646">
            <v>0</v>
          </cell>
          <cell r="T646" t="str">
            <v>000000000008707</v>
          </cell>
        </row>
        <row r="647">
          <cell r="C647">
            <v>1</v>
          </cell>
          <cell r="G647" t="str">
            <v/>
          </cell>
          <cell r="K647">
            <v>0</v>
          </cell>
          <cell r="O647">
            <v>0</v>
          </cell>
          <cell r="T647" t="str">
            <v>000000000008707</v>
          </cell>
        </row>
        <row r="648">
          <cell r="C648" t="str">
            <v>灯具-1　L=1370</v>
          </cell>
          <cell r="G648" t="str">
            <v/>
          </cell>
          <cell r="K648">
            <v>0</v>
          </cell>
          <cell r="L648" t="str">
            <v>旧品加工</v>
          </cell>
          <cell r="O648">
            <v>0</v>
          </cell>
          <cell r="T648" t="str">
            <v>000000000008707</v>
          </cell>
        </row>
        <row r="649">
          <cell r="C649">
            <v>0</v>
          </cell>
          <cell r="G649" t="str">
            <v/>
          </cell>
          <cell r="K649">
            <v>0</v>
          </cell>
          <cell r="L649" t="str">
            <v>持出端材</v>
          </cell>
          <cell r="T649" t="str">
            <v>000000000008707</v>
          </cell>
        </row>
        <row r="650">
          <cell r="G650" t="str">
            <v/>
          </cell>
          <cell r="K650">
            <v>0</v>
          </cell>
          <cell r="L650" t="str">
            <v>α端材</v>
          </cell>
          <cell r="M650">
            <v>0</v>
          </cell>
          <cell r="P650">
            <v>0</v>
          </cell>
          <cell r="T650" t="str">
            <v>000000000008707</v>
          </cell>
        </row>
        <row r="651">
          <cell r="C651" t="str">
            <v>灯具カバーPC IN 2130　L=908</v>
          </cell>
          <cell r="I651">
            <v>0</v>
          </cell>
          <cell r="J651">
            <v>0</v>
          </cell>
          <cell r="K651">
            <v>0</v>
          </cell>
          <cell r="O651">
            <v>0</v>
          </cell>
          <cell r="T651" t="str">
            <v>000000000008704</v>
          </cell>
        </row>
        <row r="652">
          <cell r="G652" t="str">
            <v/>
          </cell>
          <cell r="I652" t="str">
            <v/>
          </cell>
          <cell r="K652">
            <v>0</v>
          </cell>
          <cell r="O652">
            <v>0</v>
          </cell>
          <cell r="T652" t="str">
            <v>000000000008704</v>
          </cell>
        </row>
        <row r="653">
          <cell r="C653">
            <v>192</v>
          </cell>
          <cell r="G653" t="str">
            <v/>
          </cell>
          <cell r="K653">
            <v>0</v>
          </cell>
          <cell r="O653">
            <v>0</v>
          </cell>
          <cell r="T653" t="str">
            <v>000000000008704</v>
          </cell>
        </row>
        <row r="654">
          <cell r="G654" t="str">
            <v/>
          </cell>
          <cell r="K654">
            <v>0</v>
          </cell>
          <cell r="O654">
            <v>0</v>
          </cell>
          <cell r="T654" t="str">
            <v>000000000008704</v>
          </cell>
        </row>
        <row r="655">
          <cell r="C655">
            <v>1</v>
          </cell>
          <cell r="G655" t="str">
            <v/>
          </cell>
          <cell r="K655">
            <v>0</v>
          </cell>
          <cell r="O655">
            <v>0</v>
          </cell>
          <cell r="T655" t="str">
            <v>000000000008704</v>
          </cell>
        </row>
        <row r="656">
          <cell r="C656" t="str">
            <v>灯具-1　L=1370</v>
          </cell>
          <cell r="G656" t="str">
            <v/>
          </cell>
          <cell r="K656">
            <v>0</v>
          </cell>
          <cell r="L656" t="str">
            <v>旧品加工</v>
          </cell>
          <cell r="O656">
            <v>0</v>
          </cell>
          <cell r="T656" t="str">
            <v>000000000008704</v>
          </cell>
        </row>
        <row r="657">
          <cell r="C657">
            <v>0</v>
          </cell>
          <cell r="G657" t="str">
            <v/>
          </cell>
          <cell r="K657">
            <v>0</v>
          </cell>
          <cell r="L657" t="str">
            <v>持出端材</v>
          </cell>
          <cell r="T657" t="str">
            <v>000000000008704</v>
          </cell>
        </row>
        <row r="658">
          <cell r="G658" t="str">
            <v/>
          </cell>
          <cell r="K658">
            <v>0</v>
          </cell>
          <cell r="L658" t="str">
            <v>α端材</v>
          </cell>
          <cell r="M658">
            <v>0</v>
          </cell>
          <cell r="P658">
            <v>0</v>
          </cell>
          <cell r="T658" t="str">
            <v>000000000008704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0"/>
  <sheetViews>
    <sheetView tabSelected="1" topLeftCell="A486" workbookViewId="0">
      <selection activeCell="H510" sqref="H510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63" t="s">
        <v>0</v>
      </c>
      <c r="C1" s="95"/>
      <c r="D1" s="95"/>
      <c r="E1" s="11"/>
      <c r="F1" s="11"/>
      <c r="G1" s="11"/>
      <c r="H1" s="11"/>
      <c r="I1" s="11"/>
      <c r="J1" s="11"/>
    </row>
    <row r="2" spans="1:10" ht="14.25" customHeight="1" thickTop="1">
      <c r="A2" s="12"/>
      <c r="B2" s="95"/>
      <c r="C2" s="95"/>
      <c r="D2" s="95"/>
      <c r="E2" s="12"/>
      <c r="F2" s="12"/>
      <c r="G2" s="12"/>
      <c r="H2" s="12"/>
      <c r="I2" s="12"/>
      <c r="J2" s="12"/>
    </row>
    <row r="3" spans="1:10" ht="14.25" customHeight="1">
      <c r="A3" s="109" t="s">
        <v>1</v>
      </c>
      <c r="B3" s="109" t="s">
        <v>2</v>
      </c>
      <c r="C3" s="109" t="s">
        <v>3</v>
      </c>
      <c r="D3" s="94">
        <v>297</v>
      </c>
      <c r="E3" s="109" t="s">
        <v>4</v>
      </c>
      <c r="F3" s="151" t="s">
        <v>5</v>
      </c>
      <c r="G3" s="95"/>
      <c r="H3" s="148"/>
      <c r="I3" s="13" t="s">
        <v>6</v>
      </c>
      <c r="J3" s="13" t="s">
        <v>7</v>
      </c>
    </row>
    <row r="4" spans="1:10" ht="14.25" customHeight="1">
      <c r="A4" s="95"/>
      <c r="B4" s="95"/>
      <c r="C4" s="95"/>
      <c r="D4" s="95"/>
      <c r="E4" s="95"/>
      <c r="F4" s="95"/>
      <c r="G4" s="95"/>
      <c r="H4" s="148"/>
      <c r="I4" s="143"/>
      <c r="J4" s="143"/>
    </row>
    <row r="5" spans="1:10" ht="17.45" customHeight="1">
      <c r="A5" s="103" t="s">
        <v>8</v>
      </c>
      <c r="B5" s="103" t="s">
        <v>9</v>
      </c>
      <c r="E5" s="103" t="s">
        <v>10</v>
      </c>
      <c r="F5" s="153" t="s">
        <v>11</v>
      </c>
      <c r="G5" s="95"/>
      <c r="H5" s="148"/>
      <c r="I5" s="144"/>
      <c r="J5" s="144"/>
    </row>
    <row r="6" spans="1:10" ht="17.45" customHeight="1">
      <c r="A6" s="95"/>
      <c r="B6" s="95"/>
      <c r="E6" s="95"/>
      <c r="F6" s="95"/>
      <c r="G6" s="95"/>
      <c r="H6" s="148"/>
      <c r="I6" s="14"/>
      <c r="J6" s="14"/>
    </row>
    <row r="7" spans="1:10" ht="17.45" customHeight="1">
      <c r="A7" s="103" t="s">
        <v>12</v>
      </c>
      <c r="B7" s="103" t="s">
        <v>13</v>
      </c>
      <c r="E7" s="2" t="s">
        <v>14</v>
      </c>
      <c r="F7" s="101" t="s">
        <v>15</v>
      </c>
      <c r="G7" s="95"/>
      <c r="H7" s="21"/>
    </row>
    <row r="8" spans="1:10" ht="17.45" customHeight="1">
      <c r="A8" s="95"/>
      <c r="B8" s="95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45940</v>
      </c>
      <c r="E9" s="2" t="s">
        <v>19</v>
      </c>
      <c r="F9" s="150">
        <v>100</v>
      </c>
      <c r="G9" s="95"/>
      <c r="H9" s="21"/>
    </row>
    <row r="10" spans="1:10" ht="17.45" customHeight="1">
      <c r="A10" s="2" t="s">
        <v>20</v>
      </c>
      <c r="B10" s="4">
        <v>45940</v>
      </c>
      <c r="E10" s="2" t="s">
        <v>21</v>
      </c>
      <c r="F10" s="21">
        <v>2</v>
      </c>
      <c r="G10" s="162" t="s">
        <v>22</v>
      </c>
      <c r="H10" s="155">
        <v>200</v>
      </c>
      <c r="I10" s="156"/>
      <c r="J10" s="157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58"/>
      <c r="H11" s="158"/>
      <c r="I11" s="146"/>
      <c r="J11" s="149"/>
    </row>
    <row r="12" spans="1:10" ht="13.5" customHeight="1">
      <c r="A12" s="108" t="s">
        <v>25</v>
      </c>
      <c r="B12" s="95"/>
      <c r="C12" s="95"/>
      <c r="D12" s="20"/>
      <c r="F12" s="3"/>
      <c r="G12" s="112" t="s">
        <v>26</v>
      </c>
      <c r="H12" s="152" t="s">
        <v>27</v>
      </c>
      <c r="I12" s="147" t="s">
        <v>28</v>
      </c>
      <c r="J12" s="148"/>
    </row>
    <row r="13" spans="1:10" ht="13.5" customHeight="1">
      <c r="A13" s="95"/>
      <c r="B13" s="95"/>
      <c r="C13" s="95"/>
      <c r="D13" s="20"/>
      <c r="F13" s="3"/>
      <c r="G13" s="113"/>
      <c r="H13" s="113"/>
      <c r="I13" s="146"/>
      <c r="J13" s="149"/>
    </row>
    <row r="14" spans="1:10" ht="13.5" customHeight="1">
      <c r="A14" s="1" t="s">
        <v>29</v>
      </c>
    </row>
    <row r="15" spans="1:10" ht="63" customHeight="1" thickBot="1">
      <c r="A15" s="164"/>
      <c r="B15" s="165"/>
      <c r="C15" s="165"/>
      <c r="D15" s="165"/>
      <c r="E15" s="165"/>
      <c r="F15" s="165"/>
      <c r="G15" s="165"/>
      <c r="H15" s="165"/>
      <c r="I15" s="165"/>
      <c r="J15" s="165"/>
    </row>
    <row r="16" spans="1:10" ht="18.75">
      <c r="A16" s="23" t="s">
        <v>30</v>
      </c>
      <c r="B16" s="16" t="s">
        <v>31</v>
      </c>
      <c r="C16" s="141" t="s">
        <v>32</v>
      </c>
      <c r="D16" s="142"/>
      <c r="E16" s="16" t="s">
        <v>33</v>
      </c>
      <c r="F16" s="141" t="s">
        <v>34</v>
      </c>
      <c r="G16" s="142"/>
      <c r="H16" s="142"/>
      <c r="I16" s="159" t="s">
        <v>35</v>
      </c>
      <c r="J16" s="142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100" t="s">
        <v>37</v>
      </c>
      <c r="D18" s="161"/>
      <c r="E18" s="24" t="s">
        <v>38</v>
      </c>
      <c r="F18" s="100" t="s">
        <v>39</v>
      </c>
      <c r="G18" s="161"/>
      <c r="H18" s="161"/>
      <c r="I18" s="96"/>
      <c r="J18" s="161"/>
    </row>
    <row r="19" spans="1:10" s="7" customFormat="1" ht="16.5" customHeight="1">
      <c r="A19" s="22">
        <v>1</v>
      </c>
      <c r="B19" s="25" t="s">
        <v>36</v>
      </c>
      <c r="C19" s="100" t="s">
        <v>37</v>
      </c>
      <c r="D19" s="161"/>
      <c r="E19" s="24" t="s">
        <v>40</v>
      </c>
      <c r="F19" s="100" t="s">
        <v>41</v>
      </c>
      <c r="G19" s="161"/>
      <c r="H19" s="161"/>
      <c r="I19" s="96"/>
      <c r="J19" s="161"/>
    </row>
    <row r="20" spans="1:10" s="7" customFormat="1" ht="16.5" customHeight="1">
      <c r="A20" s="22"/>
      <c r="B20" s="25"/>
      <c r="C20" s="100"/>
      <c r="D20" s="161"/>
      <c r="E20" s="24"/>
      <c r="F20" s="100"/>
      <c r="G20" s="161"/>
      <c r="H20" s="161"/>
      <c r="I20" s="96"/>
      <c r="J20" s="161"/>
    </row>
    <row r="21" spans="1:10" s="7" customFormat="1" ht="16.5" customHeight="1">
      <c r="A21" s="22"/>
      <c r="B21" s="25"/>
      <c r="C21" s="100"/>
      <c r="D21" s="161"/>
      <c r="E21" s="24"/>
      <c r="F21" s="100"/>
      <c r="G21" s="161"/>
      <c r="H21" s="161"/>
      <c r="I21" s="96"/>
      <c r="J21" s="161"/>
    </row>
    <row r="22" spans="1:10" s="7" customFormat="1" ht="16.5" customHeight="1">
      <c r="A22" s="22"/>
      <c r="B22" s="25"/>
      <c r="C22" s="100"/>
      <c r="D22" s="161"/>
      <c r="E22" s="24"/>
      <c r="F22" s="100"/>
      <c r="G22" s="161"/>
      <c r="H22" s="161"/>
      <c r="I22" s="96"/>
      <c r="J22" s="161"/>
    </row>
    <row r="23" spans="1:10" s="7" customFormat="1" ht="16.5" customHeight="1">
      <c r="A23" s="22"/>
      <c r="B23" s="25"/>
      <c r="C23" s="100"/>
      <c r="D23" s="161"/>
      <c r="E23" s="24"/>
      <c r="F23" s="100"/>
      <c r="G23" s="161"/>
      <c r="H23" s="161"/>
      <c r="I23" s="96"/>
      <c r="J23" s="161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10" t="s">
        <v>42</v>
      </c>
      <c r="B25" s="111"/>
      <c r="C25" s="110" t="s">
        <v>43</v>
      </c>
      <c r="D25" s="111"/>
      <c r="E25" s="111"/>
      <c r="F25" s="17" t="s">
        <v>44</v>
      </c>
      <c r="G25" s="110" t="s">
        <v>45</v>
      </c>
      <c r="H25" s="111"/>
      <c r="I25" s="110" t="s">
        <v>46</v>
      </c>
      <c r="J25" s="111"/>
    </row>
    <row r="26" spans="1:10" ht="14.25" customHeight="1">
      <c r="A26" s="8"/>
      <c r="B26" s="18"/>
      <c r="C26" s="145" t="s">
        <v>47</v>
      </c>
      <c r="D26" s="146"/>
      <c r="E26" s="18"/>
      <c r="F26" s="145" t="s">
        <v>29</v>
      </c>
      <c r="G26" s="146"/>
      <c r="H26" s="146"/>
      <c r="I26" s="146"/>
      <c r="J26" s="146"/>
    </row>
    <row r="27" spans="1:10">
      <c r="A27" s="9"/>
      <c r="C27" s="7"/>
      <c r="D27" s="7"/>
      <c r="E27" s="7"/>
    </row>
    <row r="28" spans="1:10" s="5" customFormat="1" ht="14.25" customHeight="1">
      <c r="A28" s="100" t="s">
        <v>48</v>
      </c>
      <c r="B28" s="160"/>
      <c r="C28" s="100" t="s">
        <v>49</v>
      </c>
      <c r="D28" s="160"/>
      <c r="E28" s="160"/>
      <c r="F28" s="26" t="s">
        <v>27</v>
      </c>
      <c r="G28" s="99">
        <v>33.4</v>
      </c>
      <c r="H28" s="160"/>
      <c r="I28" s="99">
        <v>0.33400000000000002</v>
      </c>
      <c r="J28" s="160"/>
    </row>
    <row r="29" spans="1:10" s="7" customFormat="1" ht="24.95" customHeight="1">
      <c r="A29" s="102" t="s">
        <v>50</v>
      </c>
      <c r="B29" s="161"/>
      <c r="C29" s="100"/>
      <c r="D29" s="161"/>
      <c r="E29" s="161"/>
      <c r="F29" s="100"/>
      <c r="G29" s="161"/>
      <c r="H29" s="161"/>
      <c r="I29" s="161"/>
      <c r="J29" s="161"/>
    </row>
    <row r="30" spans="1:10" s="5" customFormat="1" ht="14.25" customHeight="1">
      <c r="A30" s="154" t="s">
        <v>118</v>
      </c>
      <c r="B30" s="160"/>
      <c r="C30" s="100" t="s">
        <v>52</v>
      </c>
      <c r="D30" s="160"/>
      <c r="E30" s="160"/>
      <c r="F30" s="26" t="s">
        <v>53</v>
      </c>
      <c r="G30" s="99">
        <v>2</v>
      </c>
      <c r="H30" s="160"/>
      <c r="I30" s="99">
        <v>0.02</v>
      </c>
      <c r="J30" s="160"/>
    </row>
    <row r="31" spans="1:10" s="7" customFormat="1" ht="24.95" customHeight="1">
      <c r="A31" s="102" t="s">
        <v>54</v>
      </c>
      <c r="B31" s="161"/>
      <c r="C31" s="100" t="s">
        <v>55</v>
      </c>
      <c r="D31" s="161"/>
      <c r="E31" s="161"/>
      <c r="F31" s="100"/>
      <c r="G31" s="161"/>
      <c r="H31" s="161"/>
      <c r="I31" s="161"/>
      <c r="J31" s="161"/>
    </row>
    <row r="32" spans="1:10" s="5" customFormat="1" ht="14.25" customHeight="1">
      <c r="A32" s="100" t="s">
        <v>56</v>
      </c>
      <c r="B32" s="160"/>
      <c r="C32" s="100" t="s">
        <v>57</v>
      </c>
      <c r="D32" s="160"/>
      <c r="E32" s="160"/>
      <c r="F32" s="26"/>
      <c r="G32" s="99">
        <v>0.2</v>
      </c>
      <c r="H32" s="160"/>
      <c r="I32" s="99">
        <v>2E-3</v>
      </c>
      <c r="J32" s="160"/>
    </row>
    <row r="33" spans="1:14" s="7" customFormat="1" ht="24.95" customHeight="1">
      <c r="A33" s="102" t="s">
        <v>58</v>
      </c>
      <c r="B33" s="161"/>
      <c r="C33" s="100" t="s">
        <v>59</v>
      </c>
      <c r="D33" s="161"/>
      <c r="E33" s="161"/>
      <c r="F33" s="100"/>
      <c r="G33" s="161"/>
      <c r="H33" s="161"/>
      <c r="I33" s="161"/>
      <c r="J33" s="161"/>
    </row>
    <row r="34" spans="1:14" s="5" customFormat="1" ht="14.25" customHeight="1">
      <c r="A34" s="100" t="s">
        <v>60</v>
      </c>
      <c r="B34" s="160"/>
      <c r="C34" s="100" t="s">
        <v>61</v>
      </c>
      <c r="D34" s="160"/>
      <c r="E34" s="160"/>
      <c r="F34" s="26"/>
      <c r="G34" s="99">
        <v>0.2</v>
      </c>
      <c r="H34" s="160"/>
      <c r="I34" s="99">
        <v>2E-3</v>
      </c>
      <c r="J34" s="160"/>
    </row>
    <row r="35" spans="1:14" s="7" customFormat="1" ht="24.95" customHeight="1">
      <c r="A35" s="102" t="s">
        <v>62</v>
      </c>
      <c r="B35" s="161"/>
      <c r="C35" s="100" t="s">
        <v>63</v>
      </c>
      <c r="D35" s="161"/>
      <c r="E35" s="161"/>
      <c r="F35" s="100"/>
      <c r="G35" s="161"/>
      <c r="H35" s="161"/>
      <c r="I35" s="161"/>
      <c r="J35" s="161"/>
    </row>
    <row r="36" spans="1:14" s="5" customFormat="1" ht="14.25" customHeight="1">
      <c r="A36" s="100"/>
      <c r="B36" s="160"/>
      <c r="C36" s="100"/>
      <c r="D36" s="160"/>
      <c r="E36" s="160"/>
      <c r="F36" s="26"/>
      <c r="G36" s="99"/>
      <c r="H36" s="160"/>
      <c r="I36" s="99"/>
      <c r="J36" s="160"/>
    </row>
    <row r="37" spans="1:14" s="7" customFormat="1" ht="24.95" customHeight="1" thickBot="1">
      <c r="A37" s="102"/>
      <c r="B37" s="161"/>
      <c r="C37" s="100"/>
      <c r="D37" s="161"/>
      <c r="E37" s="161"/>
      <c r="F37" s="100"/>
      <c r="G37" s="161"/>
      <c r="H37" s="161"/>
      <c r="I37" s="161"/>
      <c r="J37" s="161"/>
    </row>
    <row r="38" spans="1:14" s="5" customFormat="1" ht="18" customHeight="1">
      <c r="A38" s="124" t="s">
        <v>122</v>
      </c>
      <c r="B38" s="125"/>
      <c r="C38" s="125"/>
      <c r="D38" s="125"/>
      <c r="E38" s="126" t="s">
        <v>123</v>
      </c>
      <c r="F38" s="127"/>
      <c r="G38" s="27" t="s">
        <v>124</v>
      </c>
      <c r="H38" s="104" t="s">
        <v>125</v>
      </c>
      <c r="I38" s="105"/>
      <c r="J38" s="28" t="s">
        <v>126</v>
      </c>
    </row>
    <row r="39" spans="1:14" s="7" customFormat="1" ht="18" customHeight="1">
      <c r="A39" s="136" t="str">
        <f>_xlfn.XLOOKUP(B3,[1]VFDB2!A:A,[1]VFDB2!B:B)</f>
        <v>8FL281304 4810　L=297</v>
      </c>
      <c r="B39" s="137"/>
      <c r="C39" s="137"/>
      <c r="D39" s="137"/>
      <c r="E39" s="88" t="str" cm="1">
        <f t="array" ref="E39">IFERROR(IF(ISBLANK(INDEX(_xlfn._xlws.FILTER([1]加工記録２!$C$3:$C$999991, [1]加工記録２!$T$3:$T$999991=B5), 6)), "", INDEX(_xlfn._xlws.FILTER([1]加工記録２!$C$3:$C$999991, [1]加工記録２!$T$3:$T$999991=B5), 6)),"")</f>
        <v>LED-A300</v>
      </c>
      <c r="F39" s="89"/>
      <c r="G39" s="140" cm="1">
        <f t="array" ref="G39">IFERROR(IF(ISBLANK(INDEX(_xlfn._xlws.FILTER([1]加工記録２!$C$3:$C$999991, [1]加工記録２!$T$3:$T$999991=B5), 7)), " ", INDEX(_xlfn._xlws.FILTER([1]加工記録２!$C$3:$C$999991, [1]加工記録２!$T$3:$T$999991=B5), 7))," ")</f>
        <v>2</v>
      </c>
      <c r="H39" s="29" t="s">
        <v>127</v>
      </c>
      <c r="I39" s="30" cm="1">
        <f t="array" ref="I39:J39">IFERROR(IF(ISBLANK(INDEX(_xlfn._xlws.FILTER([1]加工記録２!$O$3:$P$999991, [1]加工記録２!$T$3:$T$999991=B5), 1)), "", INDEX(_xlfn._xlws.FILTER([1]加工記録２!$O$3:$P$999991, [1]加工記録２!$T$3:$T$999991=B5), 1)),"")</f>
        <v>45937</v>
      </c>
      <c r="J39" s="31" t="str">
        <v/>
      </c>
    </row>
    <row r="40" spans="1:14" s="5" customFormat="1" ht="18" customHeight="1">
      <c r="A40" s="138"/>
      <c r="B40" s="139"/>
      <c r="C40" s="139"/>
      <c r="D40" s="139"/>
      <c r="E40" s="88"/>
      <c r="F40" s="89"/>
      <c r="G40" s="140"/>
      <c r="H40" s="29" t="s">
        <v>128</v>
      </c>
      <c r="I40" s="32" cm="1">
        <f t="array" ref="I40:J40">IFERROR(IF(ISBLANK(INDEX(_xlfn._xlws.FILTER([1]加工記録２!$O$3:$P$999991, [1]加工記録２!$T$3:$T$999991=B5), 2)), "", INDEX(_xlfn._xlws.FILTER([1]加工記録２!$O$3:$P$999991, [1]加工記録２!$T$3:$T$999991=B5), 2)),"")</f>
        <v>200</v>
      </c>
      <c r="J40" s="33" t="str">
        <v/>
      </c>
      <c r="K40" s="34"/>
    </row>
    <row r="41" spans="1:14" s="7" customFormat="1" ht="18" customHeight="1">
      <c r="A41" s="118" t="s">
        <v>129</v>
      </c>
      <c r="B41" s="114" t="str">
        <f>_xlfn.XLOOKUP(B3,[1]VFDB2!A:A,[1]VFDB2!J:J)</f>
        <v>〇</v>
      </c>
      <c r="C41" s="116" t="s">
        <v>130</v>
      </c>
      <c r="D41" s="97">
        <f>_xlfn.XLOOKUP(B3,[1]VFDB2!A:A,[1]VFDB2!P:P)</f>
        <v>6</v>
      </c>
      <c r="E41" s="88" t="str">
        <f>_xlfn.XLOOKUP(B3,[1]VFDB2!A:A,[1]VFDB2!V:V)</f>
        <v>1箱目の梱包数 目視確認　以降、重量測定</v>
      </c>
      <c r="F41" s="89"/>
      <c r="G41" s="90"/>
      <c r="H41" s="35" t="s">
        <v>131</v>
      </c>
      <c r="I41" s="32" cm="1">
        <f t="array" ref="I41:J41">IFERROR(IF(ISBLANK(INDEX(_xlfn._xlws.FILTER([1]加工記録２!$O$3:$P$999991, [1]加工記録２!$T$3:$T$999991=B5), 3)), "", INDEX(_xlfn._xlws.FILTER([1]加工記録２!$O$3:$P$999991, [1]加工記録２!$T$3:$T$999991=B5), 3)),"")</f>
        <v>25</v>
      </c>
      <c r="J41" s="36" t="str">
        <v/>
      </c>
      <c r="K41" s="37"/>
    </row>
    <row r="42" spans="1:14" s="5" customFormat="1" ht="18" customHeight="1">
      <c r="A42" s="128"/>
      <c r="B42" s="115"/>
      <c r="C42" s="117"/>
      <c r="D42" s="98"/>
      <c r="E42" s="88"/>
      <c r="F42" s="89"/>
      <c r="G42" s="90"/>
      <c r="H42" s="35" t="s">
        <v>132</v>
      </c>
      <c r="I42" s="32" cm="1">
        <f t="array" ref="I42:J42">IFERROR(IF(ISBLANK(INDEX(_xlfn._xlws.FILTER([1]加工記録２!$O$3:$P$999991, [1]加工記録２!$T$3:$T$999991=B5), 4)), "", INDEX(_xlfn._xlws.FILTER([1]加工記録２!$O$3:$P$999991, [1]加工記録２!$T$3:$T$999991=B5), 4)),"")</f>
        <v>0</v>
      </c>
      <c r="J42" s="38" t="str">
        <v/>
      </c>
      <c r="K42" s="34"/>
    </row>
    <row r="43" spans="1:14" s="7" customFormat="1" ht="18" customHeight="1">
      <c r="A43" s="129" t="s">
        <v>133</v>
      </c>
      <c r="B43" s="131">
        <f>D3</f>
        <v>297</v>
      </c>
      <c r="C43" s="133" t="s">
        <v>134</v>
      </c>
      <c r="D43" s="106" t="str">
        <f>_xlfn.XLOOKUP(B3,[1]VFDB2!A:A,[1]VFDB2!L:L)</f>
        <v>+0.5</v>
      </c>
      <c r="E43" s="88" t="str">
        <f>_xlfn.XLOOKUP(B3,[1]VFDB2!A:A,[1]VFDB2!W:W)</f>
        <v>クラフト紙：592型　1/2</v>
      </c>
      <c r="F43" s="89"/>
      <c r="G43" s="90"/>
      <c r="H43" s="35" t="s">
        <v>135</v>
      </c>
      <c r="I43" s="32" cm="1">
        <f t="array" ref="I43:J43">IFERROR(IF(ISBLANK(INDEX(_xlfn._xlws.FILTER([1]加工記録２!$O$3:$P$999991, [1]加工記録２!$T$3:$T$999991=B5), 5)), "", INDEX(_xlfn._xlws.FILTER([1]加工記録２!$O$3:$P$999991, [1]加工記録２!$T$3:$T$999991=B5), 5)),"")</f>
        <v>0</v>
      </c>
      <c r="J43" s="39" t="str">
        <v/>
      </c>
      <c r="K43" s="37"/>
    </row>
    <row r="44" spans="1:14" s="5" customFormat="1" ht="18" customHeight="1">
      <c r="A44" s="130"/>
      <c r="B44" s="132"/>
      <c r="C44" s="134"/>
      <c r="D44" s="135"/>
      <c r="E44" s="88"/>
      <c r="F44" s="89"/>
      <c r="G44" s="90"/>
      <c r="H44" s="35" t="s">
        <v>136</v>
      </c>
      <c r="I44" s="32" cm="1">
        <f t="array" ref="I44:J44">IFERROR(IF(ISBLANK(INDEX(_xlfn._xlws.FILTER([1]加工記録２!$O$3:$P$999991, [1]加工記録２!$T$3:$T$999991=B5), 6)), "", INDEX(_xlfn._xlws.FILTER([1]加工記録２!$O$3:$P$999991, [1]加工記録２!$T$3:$T$999991=B5), 6)),"")</f>
        <v>46</v>
      </c>
      <c r="J44" s="40" t="str">
        <v/>
      </c>
      <c r="K44" s="34"/>
    </row>
    <row r="45" spans="1:14" s="7" customFormat="1" ht="18" customHeight="1">
      <c r="A45" s="118" t="s">
        <v>137</v>
      </c>
      <c r="B45" s="120" t="str">
        <f>_xlfn.XLOOKUP(B3,[1]VFDB2!A:A,[1]VFDB2!AC:AC)</f>
        <v>換算表確認</v>
      </c>
      <c r="C45" s="122" t="s">
        <v>138</v>
      </c>
      <c r="D45" s="106" t="str">
        <f>_xlfn.XLOOKUP(B3,[1]VFDB2!A:A,[1]VFDB2!K:K)</f>
        <v>－0.5</v>
      </c>
      <c r="E45" s="88" t="str">
        <f>_xlfn.XLOOKUP(B3,[1]VFDB2!A:A,[1]VFDB2!R:R)</f>
        <v>ラベル１枚　長手無　鉢巻１回</v>
      </c>
      <c r="F45" s="89"/>
      <c r="G45" s="90"/>
      <c r="H45" s="35" t="s">
        <v>139</v>
      </c>
      <c r="I45" s="32" t="str" cm="1">
        <f t="array" ref="I45:J45">IFERROR(IF(ISBLANK(INDEX(_xlfn._xlws.FILTER([1]加工記録２!$O$3:$P$999991, [1]加工記録２!$T$3:$T$999991=B5), 7)), "", INDEX(_xlfn._xlws.FILTER([1]加工記録２!$O$3:$P$999991, [1]加工記録２!$T$3:$T$999991=B5), 7)),"")</f>
        <v>M</v>
      </c>
      <c r="J45" s="41" t="str">
        <v/>
      </c>
      <c r="K45" s="37"/>
    </row>
    <row r="46" spans="1:14" s="5" customFormat="1" ht="18" customHeight="1" thickBot="1">
      <c r="A46" s="119"/>
      <c r="B46" s="121"/>
      <c r="C46" s="123"/>
      <c r="D46" s="107"/>
      <c r="E46" s="91"/>
      <c r="F46" s="92"/>
      <c r="G46" s="93"/>
      <c r="H46" s="42" t="s">
        <v>140</v>
      </c>
      <c r="I46" s="43" t="str" cm="1">
        <f t="array" ref="I46:J46">IFERROR(IF(ISBLANK(INDEX(_xlfn._xlws.FILTER([1]加工記録２!$O$3:$P$999991, [1]加工記録２!$T$3:$T$999991=B5), 8)), "", INDEX(_xlfn._xlws.FILTER([1]加工記録２!$O$3:$P$999991, [1]加工記録２!$T$3:$T$999991=B5), 8)),"")</f>
        <v>T</v>
      </c>
      <c r="J46" s="44">
        <v>0</v>
      </c>
    </row>
    <row r="47" spans="1:14" s="55" customFormat="1" ht="18.95" customHeight="1">
      <c r="A47" s="45" t="s">
        <v>141</v>
      </c>
      <c r="B47" s="46" t="s">
        <v>142</v>
      </c>
      <c r="C47" s="47" t="s">
        <v>143</v>
      </c>
      <c r="D47" s="47" t="s">
        <v>144</v>
      </c>
      <c r="E47" s="48" t="s">
        <v>145</v>
      </c>
      <c r="F47" s="49" t="s">
        <v>146</v>
      </c>
      <c r="G47" s="50" t="s">
        <v>147</v>
      </c>
      <c r="H47" s="51" t="s">
        <v>148</v>
      </c>
      <c r="I47" s="52" t="s">
        <v>149</v>
      </c>
      <c r="J47" s="53" t="s">
        <v>150</v>
      </c>
      <c r="K47" s="54"/>
      <c r="L47" s="54"/>
      <c r="M47" s="54"/>
      <c r="N47" s="54"/>
    </row>
    <row r="48" spans="1:14" s="66" customFormat="1" ht="18.95" customHeight="1">
      <c r="A48" s="56" cm="1">
        <f t="array" ref="A48:J48">IFERROR(IF(ISBLANK(INDEX(_xlfn._xlws.FILTER([1]加工記録２!$D$3:$M$999991, [1]加工記録２!$T$3:$T$999991=B5), 1)), "", INDEX(_xlfn._xlws.FILTER([1]加工記録２!$D$3:$M$999991, [1]加工記録２!$T$3:$T$999991=B5), 1)),"")</f>
        <v>45929</v>
      </c>
      <c r="B48" s="57" t="str">
        <v>25I20-08</v>
      </c>
      <c r="C48" s="58" t="str">
        <v/>
      </c>
      <c r="D48" s="58" t="str">
        <v/>
      </c>
      <c r="E48" s="59" t="str">
        <v/>
      </c>
      <c r="F48" s="60" t="str">
        <v>25I20-08</v>
      </c>
      <c r="G48" s="61">
        <v>6</v>
      </c>
      <c r="H48" s="62">
        <v>1</v>
      </c>
      <c r="I48" s="63">
        <v>45937</v>
      </c>
      <c r="J48" s="64">
        <v>2</v>
      </c>
      <c r="K48" s="65"/>
      <c r="L48" s="65"/>
      <c r="M48" s="65"/>
      <c r="N48" s="65"/>
    </row>
    <row r="49" spans="1:14" s="66" customFormat="1" ht="18.95" customHeight="1">
      <c r="A49" s="67" cm="1">
        <f t="array" ref="A49:J49">IFERROR(IF(ISBLANK(INDEX(_xlfn._xlws.FILTER([1]加工記録２!$D$3:$M$999991, [1]加工記録２!$T$3:$T$999991=B5), 2)), "", INDEX(_xlfn._xlws.FILTER([1]加工記録２!$D$3:$M$999991, [1]加工記録２!$T$3:$T$999991=B5), 2)),"")</f>
        <v>45936</v>
      </c>
      <c r="B49" s="68" t="str">
        <v>25I24-12</v>
      </c>
      <c r="C49" s="68">
        <v>26</v>
      </c>
      <c r="D49" s="68">
        <v>297.12</v>
      </c>
      <c r="E49" s="69">
        <v>297.22000000000003</v>
      </c>
      <c r="F49" s="70" t="str">
        <v>25I24-12</v>
      </c>
      <c r="G49" s="71">
        <v>144</v>
      </c>
      <c r="H49" s="72">
        <v>24</v>
      </c>
      <c r="I49" s="63" t="str">
        <v/>
      </c>
      <c r="J49" s="64" t="str">
        <v/>
      </c>
      <c r="K49" s="65"/>
      <c r="L49" s="65"/>
      <c r="M49" s="65"/>
      <c r="N49" s="65"/>
    </row>
    <row r="50" spans="1:14" s="66" customFormat="1" ht="18.95" customHeight="1">
      <c r="A50" s="67" cm="1">
        <f t="array" ref="A50:J50">IFERROR(IF(ISBLANK(INDEX(_xlfn._xlws.FILTER([1]加工記録２!$D$3:$M$999991, [1]加工記録２!$T$3:$T$999991=B5), 3)), "", INDEX(_xlfn._xlws.FILTER([1]加工記録２!$D$3:$M$999991, [1]加工記録２!$T$3:$T$999991=B5), 3)),"")</f>
        <v>45937</v>
      </c>
      <c r="B50" s="68" t="str">
        <v>25I24-12</v>
      </c>
      <c r="C50" s="68">
        <v>22</v>
      </c>
      <c r="D50" s="68">
        <v>297.04000000000002</v>
      </c>
      <c r="E50" s="69">
        <v>297.13</v>
      </c>
      <c r="F50" s="70" t="str">
        <v/>
      </c>
      <c r="G50" s="71" t="str">
        <v/>
      </c>
      <c r="H50" s="72">
        <v>0</v>
      </c>
      <c r="I50" s="63" t="str">
        <v/>
      </c>
      <c r="J50" s="64" t="str">
        <v/>
      </c>
      <c r="K50" s="65"/>
      <c r="L50" s="65"/>
      <c r="M50" s="65"/>
      <c r="N50" s="65"/>
    </row>
    <row r="51" spans="1:14" s="66" customFormat="1" ht="18.95" customHeight="1">
      <c r="A51" s="67" t="str" cm="1">
        <f t="array" ref="A51:J51">IFERROR(IF(ISBLANK(INDEX(_xlfn._xlws.FILTER([1]加工記録２!$D$3:$M$999991, [1]加工記録２!$T$3:$T$999991=B5), 4)), "", INDEX(_xlfn._xlws.FILTER([1]加工記録２!$D$3:$M$999991, [1]加工記録２!$T$3:$T$999991=B5), 4)),"")</f>
        <v/>
      </c>
      <c r="B51" s="68" t="str">
        <v/>
      </c>
      <c r="C51" s="68" t="str">
        <v/>
      </c>
      <c r="D51" s="68" t="str">
        <v/>
      </c>
      <c r="E51" s="69" t="str">
        <v/>
      </c>
      <c r="F51" s="70" t="str">
        <v/>
      </c>
      <c r="G51" s="71" t="str">
        <v/>
      </c>
      <c r="H51" s="72">
        <v>0</v>
      </c>
      <c r="I51" s="63" t="str">
        <v/>
      </c>
      <c r="J51" s="64" t="str">
        <v/>
      </c>
      <c r="K51" s="65"/>
      <c r="L51" s="65"/>
      <c r="M51" s="65"/>
      <c r="N51" s="65"/>
    </row>
    <row r="52" spans="1:14" s="66" customFormat="1" ht="18.95" customHeight="1">
      <c r="A52" s="67" t="str" cm="1">
        <f t="array" ref="A52:J52">IFERROR(IF(ISBLANK(INDEX(_xlfn._xlws.FILTER([1]加工記録２!$D$3:$M$999991, [1]加工記録２!$T$3:$T$999991=B5), 5)), "", INDEX(_xlfn._xlws.FILTER([1]加工記録２!$D$3:$M$999991, [1]加工記録２!$T$3:$T$999991=B5), 5)),"")</f>
        <v/>
      </c>
      <c r="B52" s="68" t="str">
        <v/>
      </c>
      <c r="C52" s="68" t="str">
        <v/>
      </c>
      <c r="D52" s="68" t="str">
        <v/>
      </c>
      <c r="E52" s="69" t="str">
        <v/>
      </c>
      <c r="F52" s="70" t="str">
        <v/>
      </c>
      <c r="G52" s="71" t="str">
        <v/>
      </c>
      <c r="H52" s="72">
        <v>0</v>
      </c>
      <c r="I52" s="73" t="str">
        <v/>
      </c>
      <c r="J52" s="74" t="str">
        <v/>
      </c>
      <c r="K52" s="65"/>
      <c r="L52" s="65"/>
      <c r="M52" s="65"/>
      <c r="N52" s="65"/>
    </row>
    <row r="53" spans="1:14" s="66" customFormat="1" ht="18.95" customHeight="1">
      <c r="A53" s="67" t="str" cm="1">
        <f t="array" ref="A53:J53">IFERROR(IF(ISBLANK(INDEX(_xlfn._xlws.FILTER([1]加工記録２!$D$3:$M$999991, [1]加工記録２!$T$3:$T$999991=B5), 6)), "", INDEX(_xlfn._xlws.FILTER([1]加工記録２!$D$3:$M$999991, [1]加工記録２!$T$3:$T$999991=B5), 6)),"")</f>
        <v/>
      </c>
      <c r="B53" s="68" t="str">
        <v/>
      </c>
      <c r="C53" s="68" t="str">
        <v/>
      </c>
      <c r="D53" s="68" t="str">
        <v/>
      </c>
      <c r="E53" s="69" t="str">
        <v/>
      </c>
      <c r="F53" s="70" t="str">
        <v/>
      </c>
      <c r="G53" s="71" t="str">
        <v/>
      </c>
      <c r="H53" s="75">
        <v>0</v>
      </c>
      <c r="I53" s="76" t="str">
        <v>旧品加工</v>
      </c>
      <c r="J53" s="77">
        <v>10</v>
      </c>
      <c r="K53" s="65"/>
      <c r="L53" s="65"/>
      <c r="M53" s="65"/>
      <c r="N53" s="65"/>
    </row>
    <row r="54" spans="1:14" s="66" customFormat="1" ht="18.95" customHeight="1">
      <c r="A54" s="67" t="str" cm="1">
        <f t="array" ref="A54:J54">IFERROR(IF(ISBLANK(INDEX(_xlfn._xlws.FILTER([1]加工記録２!$D$3:$M$999991, [1]加工記録２!$T$3:$T$999991=B5), 7)), "", INDEX(_xlfn._xlws.FILTER([1]加工記録２!$D$3:$M$999991, [1]加工記録２!$T$3:$T$999991=B5), 7)),"")</f>
        <v/>
      </c>
      <c r="B54" s="68" t="str">
        <v/>
      </c>
      <c r="C54" s="68" t="str">
        <v/>
      </c>
      <c r="D54" s="68" t="str">
        <v/>
      </c>
      <c r="E54" s="69" t="str">
        <v/>
      </c>
      <c r="F54" s="70" t="str">
        <v/>
      </c>
      <c r="G54" s="71" t="str">
        <v/>
      </c>
      <c r="H54" s="75">
        <v>0</v>
      </c>
      <c r="I54" s="78" t="str">
        <v>持出端材</v>
      </c>
      <c r="J54" s="79">
        <v>42</v>
      </c>
      <c r="K54" s="65"/>
      <c r="L54" s="65"/>
      <c r="M54" s="65"/>
      <c r="N54" s="65"/>
    </row>
    <row r="55" spans="1:14" s="66" customFormat="1" ht="18.95" customHeight="1" thickBot="1">
      <c r="A55" s="80" t="str" cm="1">
        <f t="array" ref="A55:J55">IFERROR(IF(ISBLANK(INDEX(_xlfn._xlws.FILTER([1]加工記録２!$D$3:$M$999991, [1]加工記録２!$T$3:$T$999991=B5), 8)), "", INDEX(_xlfn._xlws.FILTER([1]加工記録２!$D$3:$M$999991, [1]加工記録２!$T$3:$T$999991=B5), 8)),"")</f>
        <v/>
      </c>
      <c r="B55" s="81" t="str">
        <v/>
      </c>
      <c r="C55" s="81" t="str">
        <v/>
      </c>
      <c r="D55" s="81" t="str">
        <v/>
      </c>
      <c r="E55" s="82" t="str">
        <v/>
      </c>
      <c r="F55" s="83" t="str">
        <v/>
      </c>
      <c r="G55" s="84" t="str">
        <v/>
      </c>
      <c r="H55" s="85">
        <v>0</v>
      </c>
      <c r="I55" s="86" t="str">
        <v>α端材</v>
      </c>
      <c r="J55" s="87">
        <v>4</v>
      </c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63" t="s">
        <v>0</v>
      </c>
      <c r="C58" s="95"/>
      <c r="D58" s="95"/>
      <c r="E58" s="11"/>
      <c r="F58" s="11"/>
      <c r="G58" s="11"/>
      <c r="H58" s="11"/>
      <c r="I58" s="11"/>
      <c r="J58" s="11"/>
    </row>
    <row r="59" spans="1:14" ht="14.25" customHeight="1">
      <c r="A59" s="12"/>
      <c r="B59" s="95"/>
      <c r="C59" s="95"/>
      <c r="D59" s="95"/>
      <c r="E59" s="12"/>
      <c r="F59" s="12"/>
      <c r="G59" s="12"/>
      <c r="H59" s="12"/>
      <c r="I59" s="12"/>
      <c r="J59" s="12"/>
    </row>
    <row r="60" spans="1:14" ht="14.25" customHeight="1">
      <c r="A60" s="109" t="s">
        <v>1</v>
      </c>
      <c r="B60" s="109" t="s">
        <v>2</v>
      </c>
      <c r="C60" s="109" t="s">
        <v>3</v>
      </c>
      <c r="D60" s="94">
        <v>297</v>
      </c>
      <c r="E60" s="109" t="s">
        <v>4</v>
      </c>
      <c r="F60" s="151" t="s">
        <v>5</v>
      </c>
      <c r="G60" s="95"/>
      <c r="H60" s="148"/>
      <c r="I60" s="13" t="s">
        <v>6</v>
      </c>
      <c r="J60" s="13" t="s">
        <v>7</v>
      </c>
    </row>
    <row r="61" spans="1:14" ht="14.25" customHeight="1">
      <c r="A61" s="95"/>
      <c r="B61" s="95"/>
      <c r="C61" s="95"/>
      <c r="D61" s="95"/>
      <c r="E61" s="95"/>
      <c r="F61" s="95"/>
      <c r="G61" s="95"/>
      <c r="H61" s="148"/>
      <c r="I61" s="143"/>
      <c r="J61" s="143"/>
    </row>
    <row r="62" spans="1:14" ht="17.45" customHeight="1">
      <c r="A62" s="103" t="s">
        <v>8</v>
      </c>
      <c r="B62" s="103" t="s">
        <v>64</v>
      </c>
      <c r="E62" s="103" t="s">
        <v>10</v>
      </c>
      <c r="F62" s="153" t="s">
        <v>11</v>
      </c>
      <c r="G62" s="95"/>
      <c r="H62" s="148"/>
      <c r="I62" s="144"/>
      <c r="J62" s="144"/>
    </row>
    <row r="63" spans="1:14" ht="17.45" customHeight="1">
      <c r="A63" s="95"/>
      <c r="B63" s="95"/>
      <c r="E63" s="95"/>
      <c r="F63" s="95"/>
      <c r="G63" s="95"/>
      <c r="H63" s="148"/>
      <c r="I63" s="14"/>
      <c r="J63" s="14"/>
    </row>
    <row r="64" spans="1:14" ht="17.45" customHeight="1">
      <c r="A64" s="103" t="s">
        <v>12</v>
      </c>
      <c r="B64" s="103" t="s">
        <v>65</v>
      </c>
      <c r="E64" s="2" t="s">
        <v>14</v>
      </c>
      <c r="F64" s="101" t="s">
        <v>15</v>
      </c>
      <c r="G64" s="95"/>
      <c r="H64" s="21"/>
    </row>
    <row r="65" spans="1:10" ht="17.45" customHeight="1">
      <c r="A65" s="95"/>
      <c r="B65" s="95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45944</v>
      </c>
      <c r="E66" s="2" t="s">
        <v>19</v>
      </c>
      <c r="F66" s="150">
        <v>100</v>
      </c>
      <c r="G66" s="95"/>
      <c r="H66" s="21"/>
    </row>
    <row r="67" spans="1:10" ht="17.45" customHeight="1">
      <c r="A67" s="2" t="s">
        <v>20</v>
      </c>
      <c r="B67" s="4">
        <v>45944</v>
      </c>
      <c r="E67" s="2" t="s">
        <v>21</v>
      </c>
      <c r="F67" s="21">
        <v>3</v>
      </c>
      <c r="G67" s="162" t="s">
        <v>22</v>
      </c>
      <c r="H67" s="155">
        <v>300</v>
      </c>
      <c r="I67" s="156"/>
      <c r="J67" s="157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58"/>
      <c r="H68" s="158"/>
      <c r="I68" s="146"/>
      <c r="J68" s="149"/>
    </row>
    <row r="69" spans="1:10" ht="13.5" customHeight="1">
      <c r="A69" s="108" t="s">
        <v>25</v>
      </c>
      <c r="B69" s="95"/>
      <c r="C69" s="95"/>
      <c r="D69" s="20"/>
      <c r="F69" s="3"/>
      <c r="G69" s="112" t="s">
        <v>26</v>
      </c>
      <c r="H69" s="152" t="s">
        <v>27</v>
      </c>
      <c r="I69" s="147" t="s">
        <v>28</v>
      </c>
      <c r="J69" s="148"/>
    </row>
    <row r="70" spans="1:10" ht="13.5" customHeight="1">
      <c r="A70" s="95"/>
      <c r="B70" s="95"/>
      <c r="C70" s="95"/>
      <c r="D70" s="20"/>
      <c r="F70" s="3"/>
      <c r="G70" s="113"/>
      <c r="H70" s="113"/>
      <c r="I70" s="146"/>
      <c r="J70" s="149"/>
    </row>
    <row r="71" spans="1:10" ht="13.5" customHeight="1">
      <c r="A71" s="1" t="s">
        <v>29</v>
      </c>
    </row>
    <row r="72" spans="1:10" ht="63" customHeight="1">
      <c r="A72" s="164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8.75">
      <c r="A73" s="23" t="s">
        <v>30</v>
      </c>
      <c r="B73" s="16" t="s">
        <v>31</v>
      </c>
      <c r="C73" s="141" t="s">
        <v>32</v>
      </c>
      <c r="D73" s="142"/>
      <c r="E73" s="16" t="s">
        <v>33</v>
      </c>
      <c r="F73" s="141" t="s">
        <v>34</v>
      </c>
      <c r="G73" s="142"/>
      <c r="H73" s="142"/>
      <c r="I73" s="159" t="s">
        <v>35</v>
      </c>
      <c r="J73" s="142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100" t="s">
        <v>37</v>
      </c>
      <c r="D75" s="95"/>
      <c r="E75" s="24" t="s">
        <v>38</v>
      </c>
      <c r="F75" s="100" t="s">
        <v>39</v>
      </c>
      <c r="G75" s="95"/>
      <c r="H75" s="95"/>
      <c r="I75" s="96"/>
      <c r="J75" s="95"/>
    </row>
    <row r="76" spans="1:10" ht="16.5" customHeight="1">
      <c r="A76" s="22">
        <v>1</v>
      </c>
      <c r="B76" s="25" t="s">
        <v>36</v>
      </c>
      <c r="C76" s="100" t="s">
        <v>37</v>
      </c>
      <c r="D76" s="95"/>
      <c r="E76" s="24" t="s">
        <v>40</v>
      </c>
      <c r="F76" s="100" t="s">
        <v>41</v>
      </c>
      <c r="G76" s="95"/>
      <c r="H76" s="95"/>
      <c r="I76" s="96"/>
      <c r="J76" s="95"/>
    </row>
    <row r="77" spans="1:10" ht="16.5" customHeight="1">
      <c r="A77" s="22"/>
      <c r="B77" s="25"/>
      <c r="C77" s="100"/>
      <c r="D77" s="95"/>
      <c r="E77" s="24"/>
      <c r="F77" s="100"/>
      <c r="G77" s="95"/>
      <c r="H77" s="95"/>
      <c r="I77" s="96"/>
      <c r="J77" s="95"/>
    </row>
    <row r="78" spans="1:10" ht="16.5" customHeight="1">
      <c r="A78" s="22"/>
      <c r="B78" s="25"/>
      <c r="C78" s="100"/>
      <c r="D78" s="95"/>
      <c r="E78" s="24"/>
      <c r="F78" s="100"/>
      <c r="G78" s="95"/>
      <c r="H78" s="95"/>
      <c r="I78" s="96"/>
      <c r="J78" s="95"/>
    </row>
    <row r="79" spans="1:10" ht="16.5" customHeight="1">
      <c r="A79" s="22"/>
      <c r="B79" s="25"/>
      <c r="C79" s="100"/>
      <c r="D79" s="95"/>
      <c r="E79" s="24"/>
      <c r="F79" s="100"/>
      <c r="G79" s="95"/>
      <c r="H79" s="95"/>
      <c r="I79" s="96"/>
      <c r="J79" s="95"/>
    </row>
    <row r="80" spans="1:10" ht="16.5" customHeight="1">
      <c r="A80" s="22"/>
      <c r="B80" s="25"/>
      <c r="C80" s="100"/>
      <c r="D80" s="95"/>
      <c r="E80" s="24"/>
      <c r="F80" s="100"/>
      <c r="G80" s="95"/>
      <c r="H80" s="95"/>
      <c r="I80" s="96"/>
      <c r="J80" s="95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10" t="s">
        <v>42</v>
      </c>
      <c r="B82" s="111"/>
      <c r="C82" s="110" t="s">
        <v>43</v>
      </c>
      <c r="D82" s="111"/>
      <c r="E82" s="111"/>
      <c r="F82" s="17" t="s">
        <v>44</v>
      </c>
      <c r="G82" s="110" t="s">
        <v>45</v>
      </c>
      <c r="H82" s="111"/>
      <c r="I82" s="110" t="s">
        <v>46</v>
      </c>
      <c r="J82" s="111"/>
    </row>
    <row r="83" spans="1:10" ht="14.25" customHeight="1">
      <c r="A83" s="8"/>
      <c r="B83" s="18"/>
      <c r="C83" s="145" t="s">
        <v>47</v>
      </c>
      <c r="D83" s="146"/>
      <c r="E83" s="18"/>
      <c r="F83" s="145" t="s">
        <v>29</v>
      </c>
      <c r="G83" s="146"/>
      <c r="H83" s="146"/>
      <c r="I83" s="146"/>
      <c r="J83" s="146"/>
    </row>
    <row r="84" spans="1:10">
      <c r="A84" s="9"/>
      <c r="C84" s="7"/>
      <c r="D84" s="7"/>
      <c r="E84" s="7"/>
    </row>
    <row r="85" spans="1:10" ht="14.25" customHeight="1">
      <c r="A85" s="100" t="s">
        <v>48</v>
      </c>
      <c r="B85" s="95"/>
      <c r="C85" s="100" t="s">
        <v>49</v>
      </c>
      <c r="D85" s="95"/>
      <c r="E85" s="95"/>
      <c r="F85" s="26" t="s">
        <v>27</v>
      </c>
      <c r="G85" s="99">
        <v>50.1</v>
      </c>
      <c r="H85" s="95"/>
      <c r="I85" s="99">
        <v>0.501</v>
      </c>
      <c r="J85" s="95"/>
    </row>
    <row r="86" spans="1:10" ht="24.95" customHeight="1">
      <c r="A86" s="102" t="s">
        <v>50</v>
      </c>
      <c r="B86" s="95"/>
      <c r="C86" s="100"/>
      <c r="D86" s="95"/>
      <c r="E86" s="95"/>
      <c r="F86" s="100"/>
      <c r="G86" s="95"/>
      <c r="H86" s="95"/>
      <c r="I86" s="95"/>
      <c r="J86" s="95"/>
    </row>
    <row r="87" spans="1:10" ht="14.25" customHeight="1">
      <c r="A87" s="100" t="s">
        <v>51</v>
      </c>
      <c r="B87" s="95"/>
      <c r="C87" s="100" t="s">
        <v>52</v>
      </c>
      <c r="D87" s="95"/>
      <c r="E87" s="95"/>
      <c r="F87" s="26" t="s">
        <v>53</v>
      </c>
      <c r="G87" s="99">
        <v>3</v>
      </c>
      <c r="H87" s="95"/>
      <c r="I87" s="99">
        <v>0.03</v>
      </c>
      <c r="J87" s="95"/>
    </row>
    <row r="88" spans="1:10" ht="24.95" customHeight="1">
      <c r="A88" s="102" t="s">
        <v>54</v>
      </c>
      <c r="B88" s="95"/>
      <c r="C88" s="100" t="s">
        <v>55</v>
      </c>
      <c r="D88" s="95"/>
      <c r="E88" s="95"/>
      <c r="F88" s="100"/>
      <c r="G88" s="95"/>
      <c r="H88" s="95"/>
      <c r="I88" s="95"/>
      <c r="J88" s="95"/>
    </row>
    <row r="89" spans="1:10" ht="14.25" customHeight="1">
      <c r="A89" s="100" t="s">
        <v>56</v>
      </c>
      <c r="B89" s="95"/>
      <c r="C89" s="100" t="s">
        <v>57</v>
      </c>
      <c r="D89" s="95"/>
      <c r="E89" s="95"/>
      <c r="F89" s="26"/>
      <c r="G89" s="99">
        <v>0.3</v>
      </c>
      <c r="H89" s="95"/>
      <c r="I89" s="99">
        <v>3.0000000000000001E-3</v>
      </c>
      <c r="J89" s="95"/>
    </row>
    <row r="90" spans="1:10" ht="24.95" customHeight="1">
      <c r="A90" s="102" t="s">
        <v>58</v>
      </c>
      <c r="B90" s="95"/>
      <c r="C90" s="100" t="s">
        <v>59</v>
      </c>
      <c r="D90" s="95"/>
      <c r="E90" s="95"/>
      <c r="F90" s="100"/>
      <c r="G90" s="95"/>
      <c r="H90" s="95"/>
      <c r="I90" s="95"/>
      <c r="J90" s="95"/>
    </row>
    <row r="91" spans="1:10" ht="14.25" customHeight="1">
      <c r="A91" s="100" t="s">
        <v>60</v>
      </c>
      <c r="B91" s="95"/>
      <c r="C91" s="100" t="s">
        <v>61</v>
      </c>
      <c r="D91" s="95"/>
      <c r="E91" s="95"/>
      <c r="F91" s="26"/>
      <c r="G91" s="99">
        <v>0.3</v>
      </c>
      <c r="H91" s="95"/>
      <c r="I91" s="99">
        <v>3.0000000000000001E-3</v>
      </c>
      <c r="J91" s="95"/>
    </row>
    <row r="92" spans="1:10" ht="24.95" customHeight="1">
      <c r="A92" s="102" t="s">
        <v>62</v>
      </c>
      <c r="B92" s="95"/>
      <c r="C92" s="100" t="s">
        <v>63</v>
      </c>
      <c r="D92" s="95"/>
      <c r="E92" s="95"/>
      <c r="F92" s="100"/>
      <c r="G92" s="95"/>
      <c r="H92" s="95"/>
      <c r="I92" s="95"/>
      <c r="J92" s="95"/>
    </row>
    <row r="93" spans="1:10" ht="14.25" customHeight="1">
      <c r="A93" s="100"/>
      <c r="B93" s="95"/>
      <c r="C93" s="100"/>
      <c r="D93" s="95"/>
      <c r="E93" s="95"/>
      <c r="F93" s="26"/>
      <c r="G93" s="99"/>
      <c r="H93" s="95"/>
      <c r="I93" s="99"/>
      <c r="J93" s="95"/>
    </row>
    <row r="94" spans="1:10" ht="24.95" customHeight="1" thickBot="1">
      <c r="A94" s="102"/>
      <c r="B94" s="95"/>
      <c r="C94" s="100"/>
      <c r="D94" s="95"/>
      <c r="E94" s="95"/>
      <c r="F94" s="100"/>
      <c r="G94" s="95"/>
      <c r="H94" s="95"/>
      <c r="I94" s="95"/>
      <c r="J94" s="95"/>
    </row>
    <row r="95" spans="1:10" s="5" customFormat="1" ht="18" customHeight="1">
      <c r="A95" s="124" t="s">
        <v>122</v>
      </c>
      <c r="B95" s="125"/>
      <c r="C95" s="125"/>
      <c r="D95" s="125"/>
      <c r="E95" s="126" t="s">
        <v>123</v>
      </c>
      <c r="F95" s="127"/>
      <c r="G95" s="27" t="s">
        <v>124</v>
      </c>
      <c r="H95" s="104" t="s">
        <v>125</v>
      </c>
      <c r="I95" s="105"/>
      <c r="J95" s="28" t="s">
        <v>126</v>
      </c>
    </row>
    <row r="96" spans="1:10" s="7" customFormat="1" ht="18" customHeight="1">
      <c r="A96" s="136" t="str">
        <f>_xlfn.XLOOKUP(B60,[1]VFDB2!A:A,[1]VFDB2!B:B)</f>
        <v>8FL281304 4810　L=297</v>
      </c>
      <c r="B96" s="137"/>
      <c r="C96" s="137"/>
      <c r="D96" s="137"/>
      <c r="E96" s="88" t="str" cm="1">
        <f t="array" ref="E96">IFERROR(IF(ISBLANK(INDEX(_xlfn._xlws.FILTER([1]加工記録２!$C$3:$C$999991, [1]加工記録２!$T$3:$T$999991=B62), 6)), "", INDEX(_xlfn._xlws.FILTER([1]加工記録２!$C$3:$C$999991, [1]加工記録２!$T$3:$T$999991=B62), 6)),"")</f>
        <v>LED-A300</v>
      </c>
      <c r="F96" s="89"/>
      <c r="G96" s="140" cm="1">
        <f t="array" ref="G96">IFERROR(IF(ISBLANK(INDEX(_xlfn._xlws.FILTER([1]加工記録２!$C$3:$C$999991, [1]加工記録２!$T$3:$T$999991=B62), 7)), " ", INDEX(_xlfn._xlws.FILTER([1]加工記録２!$C$3:$C$999991, [1]加工記録２!$T$3:$T$999991=B62), 7))," ")</f>
        <v>3</v>
      </c>
      <c r="H96" s="29" t="s">
        <v>127</v>
      </c>
      <c r="I96" s="30" cm="1">
        <f t="array" ref="I96:J96">IFERROR(IF(ISBLANK(INDEX(_xlfn._xlws.FILTER([1]加工記録２!$O$3:$P$999991, [1]加工記録２!$T$3:$T$999991=B62), 1)), "", INDEX(_xlfn._xlws.FILTER([1]加工記録２!$O$3:$P$999991, [1]加工記録２!$T$3:$T$999991=B62), 1)),"")</f>
        <v>45937</v>
      </c>
      <c r="J96" s="31">
        <v>3</v>
      </c>
    </row>
    <row r="97" spans="1:14" s="5" customFormat="1" ht="18" customHeight="1">
      <c r="A97" s="138"/>
      <c r="B97" s="139"/>
      <c r="C97" s="139"/>
      <c r="D97" s="139"/>
      <c r="E97" s="88"/>
      <c r="F97" s="89"/>
      <c r="G97" s="140"/>
      <c r="H97" s="29" t="s">
        <v>128</v>
      </c>
      <c r="I97" s="32" cm="1">
        <f t="array" ref="I97:J97">IFERROR(IF(ISBLANK(INDEX(_xlfn._xlws.FILTER([1]加工記録２!$O$3:$P$999991, [1]加工記録２!$T$3:$T$999991=B62), 2)), "", INDEX(_xlfn._xlws.FILTER([1]加工記録２!$O$3:$P$999991, [1]加工記録２!$T$3:$T$999991=B62), 2)),"")</f>
        <v>300</v>
      </c>
      <c r="J97" s="33" t="str">
        <v/>
      </c>
      <c r="K97" s="34"/>
    </row>
    <row r="98" spans="1:14" s="7" customFormat="1" ht="18" customHeight="1">
      <c r="A98" s="118" t="s">
        <v>129</v>
      </c>
      <c r="B98" s="114" t="str">
        <f>_xlfn.XLOOKUP(B60,[1]VFDB2!A:A,[1]VFDB2!J:J)</f>
        <v>〇</v>
      </c>
      <c r="C98" s="116" t="s">
        <v>130</v>
      </c>
      <c r="D98" s="97">
        <f>_xlfn.XLOOKUP(B60,[1]VFDB2!A:A,[1]VFDB2!P:P)</f>
        <v>6</v>
      </c>
      <c r="E98" s="88" t="str">
        <f>_xlfn.XLOOKUP(B60,[1]VFDB2!A:A,[1]VFDB2!V:V)</f>
        <v>1箱目の梱包数 目視確認　以降、重量測定</v>
      </c>
      <c r="F98" s="89"/>
      <c r="G98" s="90"/>
      <c r="H98" s="35" t="s">
        <v>131</v>
      </c>
      <c r="I98" s="32" cm="1">
        <f t="array" ref="I98:J98">IFERROR(IF(ISBLANK(INDEX(_xlfn._xlws.FILTER([1]加工記録２!$O$3:$P$999991, [1]加工記録２!$T$3:$T$999991=B62), 3)), "", INDEX(_xlfn._xlws.FILTER([1]加工記録２!$O$3:$P$999991, [1]加工記録２!$T$3:$T$999991=B62), 3)),"")</f>
        <v>51</v>
      </c>
      <c r="J98" s="36" t="str">
        <v/>
      </c>
      <c r="K98" s="37"/>
    </row>
    <row r="99" spans="1:14" s="5" customFormat="1" ht="18" customHeight="1">
      <c r="A99" s="128"/>
      <c r="B99" s="115"/>
      <c r="C99" s="117"/>
      <c r="D99" s="98"/>
      <c r="E99" s="88"/>
      <c r="F99" s="89"/>
      <c r="G99" s="90"/>
      <c r="H99" s="35" t="s">
        <v>132</v>
      </c>
      <c r="I99" s="32" cm="1">
        <f t="array" ref="I99:J99">IFERROR(IF(ISBLANK(INDEX(_xlfn._xlws.FILTER([1]加工記録２!$O$3:$P$999991, [1]加工記録２!$T$3:$T$999991=B62), 4)), "", INDEX(_xlfn._xlws.FILTER([1]加工記録２!$O$3:$P$999991, [1]加工記録２!$T$3:$T$999991=B62), 4)),"")</f>
        <v>1</v>
      </c>
      <c r="J99" s="38" t="str">
        <v/>
      </c>
      <c r="K99" s="34"/>
    </row>
    <row r="100" spans="1:14" s="7" customFormat="1" ht="18" customHeight="1">
      <c r="A100" s="129" t="s">
        <v>133</v>
      </c>
      <c r="B100" s="131">
        <f>D60</f>
        <v>297</v>
      </c>
      <c r="C100" s="133" t="s">
        <v>134</v>
      </c>
      <c r="D100" s="106" t="str">
        <f>_xlfn.XLOOKUP(B60,[1]VFDB2!A:A,[1]VFDB2!L:L)</f>
        <v>+0.5</v>
      </c>
      <c r="E100" s="88" t="str">
        <f>_xlfn.XLOOKUP(B60,[1]VFDB2!A:A,[1]VFDB2!W:W)</f>
        <v>クラフト紙：592型　1/2</v>
      </c>
      <c r="F100" s="89"/>
      <c r="G100" s="90"/>
      <c r="H100" s="35" t="s">
        <v>135</v>
      </c>
      <c r="I100" s="32" cm="1">
        <f t="array" ref="I100:J100">IFERROR(IF(ISBLANK(INDEX(_xlfn._xlws.FILTER([1]加工記録２!$O$3:$P$999991, [1]加工記録２!$T$3:$T$999991=B62), 5)), "", INDEX(_xlfn._xlws.FILTER([1]加工記録２!$O$3:$P$999991, [1]加工記録２!$T$3:$T$999991=B62), 5)),"")</f>
        <v>3</v>
      </c>
      <c r="J100" s="39" t="str">
        <v/>
      </c>
      <c r="K100" s="37"/>
    </row>
    <row r="101" spans="1:14" s="5" customFormat="1" ht="18" customHeight="1">
      <c r="A101" s="130"/>
      <c r="B101" s="132"/>
      <c r="C101" s="134"/>
      <c r="D101" s="135"/>
      <c r="E101" s="88"/>
      <c r="F101" s="89"/>
      <c r="G101" s="90"/>
      <c r="H101" s="35" t="s">
        <v>136</v>
      </c>
      <c r="I101" s="32" cm="1">
        <f t="array" ref="I101:J101">IFERROR(IF(ISBLANK(INDEX(_xlfn._xlws.FILTER([1]加工記録２!$O$3:$P$999991, [1]加工記録２!$T$3:$T$999991=B62), 6)), "", INDEX(_xlfn._xlws.FILTER([1]加工記録２!$O$3:$P$999991, [1]加工記録２!$T$3:$T$999991=B62), 6)),"")</f>
        <v>0</v>
      </c>
      <c r="J101" s="40" t="str">
        <v/>
      </c>
      <c r="K101" s="34"/>
    </row>
    <row r="102" spans="1:14" s="7" customFormat="1" ht="18" customHeight="1">
      <c r="A102" s="118" t="s">
        <v>137</v>
      </c>
      <c r="B102" s="120" t="str">
        <f>_xlfn.XLOOKUP(B60,[1]VFDB2!A:A,[1]VFDB2!AC:AC)</f>
        <v>換算表確認</v>
      </c>
      <c r="C102" s="122" t="s">
        <v>138</v>
      </c>
      <c r="D102" s="106" t="str">
        <f>_xlfn.XLOOKUP(B60,[1]VFDB2!A:A,[1]VFDB2!K:K)</f>
        <v>－0.5</v>
      </c>
      <c r="E102" s="88" t="str">
        <f>_xlfn.XLOOKUP(B60,[1]VFDB2!A:A,[1]VFDB2!R:R)</f>
        <v>ラベル１枚　長手無　鉢巻１回</v>
      </c>
      <c r="F102" s="89"/>
      <c r="G102" s="90"/>
      <c r="H102" s="35" t="s">
        <v>139</v>
      </c>
      <c r="I102" s="32" t="str" cm="1">
        <f t="array" ref="I102:J102">IFERROR(IF(ISBLANK(INDEX(_xlfn._xlws.FILTER([1]加工記録２!$O$3:$P$999991, [1]加工記録２!$T$3:$T$999991=B62), 7)), "", INDEX(_xlfn._xlws.FILTER([1]加工記録２!$O$3:$P$999991, [1]加工記録２!$T$3:$T$999991=B62), 7)),"")</f>
        <v>M</v>
      </c>
      <c r="J102" s="41" t="str">
        <v/>
      </c>
      <c r="K102" s="37"/>
    </row>
    <row r="103" spans="1:14" s="5" customFormat="1" ht="18" customHeight="1" thickBot="1">
      <c r="A103" s="119"/>
      <c r="B103" s="121"/>
      <c r="C103" s="123"/>
      <c r="D103" s="107"/>
      <c r="E103" s="91"/>
      <c r="F103" s="92"/>
      <c r="G103" s="93"/>
      <c r="H103" s="42" t="s">
        <v>140</v>
      </c>
      <c r="I103" s="43" t="str" cm="1">
        <f t="array" ref="I103:J103">IFERROR(IF(ISBLANK(INDEX(_xlfn._xlws.FILTER([1]加工記録２!$O$3:$P$999991, [1]加工記録２!$T$3:$T$999991=B62), 8)), "", INDEX(_xlfn._xlws.FILTER([1]加工記録２!$O$3:$P$999991, [1]加工記録２!$T$3:$T$999991=B62), 8)),"")</f>
        <v>T</v>
      </c>
      <c r="J103" s="44">
        <v>3</v>
      </c>
    </row>
    <row r="104" spans="1:14" s="55" customFormat="1" ht="18.95" customHeight="1">
      <c r="A104" s="45" t="s">
        <v>141</v>
      </c>
      <c r="B104" s="46" t="s">
        <v>142</v>
      </c>
      <c r="C104" s="47" t="s">
        <v>143</v>
      </c>
      <c r="D104" s="47" t="s">
        <v>144</v>
      </c>
      <c r="E104" s="48" t="s">
        <v>145</v>
      </c>
      <c r="F104" s="49" t="s">
        <v>146</v>
      </c>
      <c r="G104" s="50" t="s">
        <v>147</v>
      </c>
      <c r="H104" s="51" t="s">
        <v>148</v>
      </c>
      <c r="I104" s="52" t="s">
        <v>149</v>
      </c>
      <c r="J104" s="53" t="s">
        <v>150</v>
      </c>
      <c r="K104" s="54"/>
      <c r="L104" s="54"/>
      <c r="M104" s="54"/>
      <c r="N104" s="54"/>
    </row>
    <row r="105" spans="1:14" s="66" customFormat="1" ht="18.95" customHeight="1">
      <c r="A105" s="56" t="str" cm="1">
        <f t="array" ref="A105:J105">IFERROR(IF(ISBLANK(INDEX(_xlfn._xlws.FILTER([1]加工記録２!$D$3:$M$999991, [1]加工記録２!$T$3:$T$999991=B62), 1)), "", INDEX(_xlfn._xlws.FILTER([1]加工記録２!$D$3:$M$999991, [1]加工記録２!$T$3:$T$999991=B62), 1)),"")</f>
        <v/>
      </c>
      <c r="B105" s="57" t="str">
        <v/>
      </c>
      <c r="C105" s="58" t="str">
        <v/>
      </c>
      <c r="D105" s="58" t="str">
        <v/>
      </c>
      <c r="E105" s="59" t="str">
        <v/>
      </c>
      <c r="F105" s="60">
        <v>0</v>
      </c>
      <c r="G105" s="61">
        <v>0</v>
      </c>
      <c r="H105" s="62">
        <v>0</v>
      </c>
      <c r="I105" s="63">
        <v>45937</v>
      </c>
      <c r="J105" s="64">
        <v>3</v>
      </c>
      <c r="K105" s="65"/>
      <c r="L105" s="65"/>
      <c r="M105" s="65"/>
      <c r="N105" s="65"/>
    </row>
    <row r="106" spans="1:14" s="66" customFormat="1" ht="18.95" customHeight="1">
      <c r="A106" s="67" cm="1">
        <f t="array" ref="A106:J106">IFERROR(IF(ISBLANK(INDEX(_xlfn._xlws.FILTER([1]加工記録２!$D$3:$M$999991, [1]加工記録２!$T$3:$T$999991=B62), 2)), "", INDEX(_xlfn._xlws.FILTER([1]加工記録２!$D$3:$M$999991, [1]加工記録２!$T$3:$T$999991=B62), 2)),"")</f>
        <v>45937</v>
      </c>
      <c r="B106" s="68" t="str">
        <v>25I24-12</v>
      </c>
      <c r="C106" s="68">
        <v>22</v>
      </c>
      <c r="D106" s="68">
        <v>297.04000000000002</v>
      </c>
      <c r="E106" s="69">
        <v>297.14</v>
      </c>
      <c r="F106" s="70" t="str">
        <v>25I24-12</v>
      </c>
      <c r="G106" s="71">
        <v>303</v>
      </c>
      <c r="H106" s="72">
        <v>51</v>
      </c>
      <c r="I106" s="63" t="str">
        <v/>
      </c>
      <c r="J106" s="64" t="str">
        <v/>
      </c>
      <c r="K106" s="65"/>
      <c r="L106" s="65"/>
      <c r="M106" s="65"/>
      <c r="N106" s="65"/>
    </row>
    <row r="107" spans="1:14" s="66" customFormat="1" ht="18.95" customHeight="1">
      <c r="A107" s="67" cm="1">
        <f t="array" ref="A107:J107">IFERROR(IF(ISBLANK(INDEX(_xlfn._xlws.FILTER([1]加工記録２!$D$3:$M$999991, [1]加工記録２!$T$3:$T$999991=B62), 3)), "", INDEX(_xlfn._xlws.FILTER([1]加工記録２!$D$3:$M$999991, [1]加工記録２!$T$3:$T$999991=B62), 3)),"")</f>
        <v>45937</v>
      </c>
      <c r="B107" s="68" t="str">
        <v>25I24-12</v>
      </c>
      <c r="C107" s="68">
        <v>24</v>
      </c>
      <c r="D107" s="68">
        <v>297.08</v>
      </c>
      <c r="E107" s="69">
        <v>297.17</v>
      </c>
      <c r="F107" s="70" t="str">
        <v/>
      </c>
      <c r="G107" s="71" t="str">
        <v/>
      </c>
      <c r="H107" s="72">
        <v>0</v>
      </c>
      <c r="I107" s="63" t="str">
        <v/>
      </c>
      <c r="J107" s="64" t="str">
        <v/>
      </c>
      <c r="K107" s="65"/>
      <c r="L107" s="65"/>
      <c r="M107" s="65"/>
      <c r="N107" s="65"/>
    </row>
    <row r="108" spans="1:14" s="66" customFormat="1" ht="18.95" customHeight="1">
      <c r="A108" s="67" t="str" cm="1">
        <f t="array" ref="A108:J108">IFERROR(IF(ISBLANK(INDEX(_xlfn._xlws.FILTER([1]加工記録２!$D$3:$M$999991, [1]加工記録２!$T$3:$T$999991=B62), 4)), "", INDEX(_xlfn._xlws.FILTER([1]加工記録２!$D$3:$M$999991, [1]加工記録２!$T$3:$T$999991=B62), 4)),"")</f>
        <v/>
      </c>
      <c r="B108" s="68" t="str">
        <v/>
      </c>
      <c r="C108" s="68" t="str">
        <v/>
      </c>
      <c r="D108" s="68" t="str">
        <v/>
      </c>
      <c r="E108" s="69" t="str">
        <v/>
      </c>
      <c r="F108" s="70" t="str">
        <v/>
      </c>
      <c r="G108" s="71" t="str">
        <v/>
      </c>
      <c r="H108" s="72">
        <v>0</v>
      </c>
      <c r="I108" s="63" t="str">
        <v/>
      </c>
      <c r="J108" s="64" t="str">
        <v/>
      </c>
      <c r="K108" s="65"/>
      <c r="L108" s="65"/>
      <c r="M108" s="65"/>
      <c r="N108" s="65"/>
    </row>
    <row r="109" spans="1:14" s="66" customFormat="1" ht="18.95" customHeight="1">
      <c r="A109" s="67" t="str" cm="1">
        <f t="array" ref="A109:J109">IFERROR(IF(ISBLANK(INDEX(_xlfn._xlws.FILTER([1]加工記録２!$D$3:$M$999991, [1]加工記録２!$T$3:$T$999991=B62), 5)), "", INDEX(_xlfn._xlws.FILTER([1]加工記録２!$D$3:$M$999991, [1]加工記録２!$T$3:$T$999991=B62), 5)),"")</f>
        <v/>
      </c>
      <c r="B109" s="68" t="str">
        <v/>
      </c>
      <c r="C109" s="68" t="str">
        <v/>
      </c>
      <c r="D109" s="68" t="str">
        <v/>
      </c>
      <c r="E109" s="69" t="str">
        <v/>
      </c>
      <c r="F109" s="70" t="str">
        <v/>
      </c>
      <c r="G109" s="71" t="str">
        <v/>
      </c>
      <c r="H109" s="72">
        <v>0</v>
      </c>
      <c r="I109" s="73" t="str">
        <v/>
      </c>
      <c r="J109" s="74" t="str">
        <v/>
      </c>
      <c r="K109" s="65"/>
      <c r="L109" s="65"/>
      <c r="M109" s="65"/>
      <c r="N109" s="65"/>
    </row>
    <row r="110" spans="1:14" s="66" customFormat="1" ht="18.95" customHeight="1">
      <c r="A110" s="67" t="str" cm="1">
        <f t="array" ref="A110:J110">IFERROR(IF(ISBLANK(INDEX(_xlfn._xlws.FILTER([1]加工記録２!$D$3:$M$999991, [1]加工記録２!$T$3:$T$999991=B62), 6)), "", INDEX(_xlfn._xlws.FILTER([1]加工記録２!$D$3:$M$999991, [1]加工記録２!$T$3:$T$999991=B62), 6)),"")</f>
        <v/>
      </c>
      <c r="B110" s="68" t="str">
        <v/>
      </c>
      <c r="C110" s="68" t="str">
        <v/>
      </c>
      <c r="D110" s="68" t="str">
        <v/>
      </c>
      <c r="E110" s="69" t="str">
        <v/>
      </c>
      <c r="F110" s="70" t="str">
        <v/>
      </c>
      <c r="G110" s="71" t="str">
        <v/>
      </c>
      <c r="H110" s="75">
        <v>0</v>
      </c>
      <c r="I110" s="76" t="str">
        <v>旧品加工</v>
      </c>
      <c r="J110" s="77" t="str">
        <v/>
      </c>
      <c r="K110" s="65"/>
      <c r="L110" s="65"/>
      <c r="M110" s="65"/>
      <c r="N110" s="65"/>
    </row>
    <row r="111" spans="1:14" s="66" customFormat="1" ht="18.95" customHeight="1">
      <c r="A111" s="67" t="str" cm="1">
        <f t="array" ref="A111:J111">IFERROR(IF(ISBLANK(INDEX(_xlfn._xlws.FILTER([1]加工記録２!$D$3:$M$999991, [1]加工記録２!$T$3:$T$999991=B62), 7)), "", INDEX(_xlfn._xlws.FILTER([1]加工記録２!$D$3:$M$999991, [1]加工記録２!$T$3:$T$999991=B62), 7)),"")</f>
        <v/>
      </c>
      <c r="B111" s="68" t="str">
        <v/>
      </c>
      <c r="C111" s="68" t="str">
        <v/>
      </c>
      <c r="D111" s="68" t="str">
        <v/>
      </c>
      <c r="E111" s="69" t="str">
        <v/>
      </c>
      <c r="F111" s="70" t="str">
        <v/>
      </c>
      <c r="G111" s="71" t="str">
        <v/>
      </c>
      <c r="H111" s="75">
        <v>0</v>
      </c>
      <c r="I111" s="78" t="str">
        <v>持出端材</v>
      </c>
      <c r="J111" s="79" t="str">
        <v/>
      </c>
      <c r="K111" s="65"/>
      <c r="L111" s="65"/>
      <c r="M111" s="65"/>
      <c r="N111" s="65"/>
    </row>
    <row r="112" spans="1:14" s="66" customFormat="1" ht="18.95" customHeight="1" thickBot="1">
      <c r="A112" s="80" t="str" cm="1">
        <f t="array" ref="A112:J112">IFERROR(IF(ISBLANK(INDEX(_xlfn._xlws.FILTER([1]加工記録２!$D$3:$M$999991, [1]加工記録２!$T$3:$T$999991=B62), 8)), "", INDEX(_xlfn._xlws.FILTER([1]加工記録２!$D$3:$M$999991, [1]加工記録２!$T$3:$T$999991=B62), 8)),"")</f>
        <v/>
      </c>
      <c r="B112" s="81" t="str">
        <v/>
      </c>
      <c r="C112" s="81" t="str">
        <v/>
      </c>
      <c r="D112" s="81" t="str">
        <v/>
      </c>
      <c r="E112" s="82" t="str">
        <v/>
      </c>
      <c r="F112" s="83" t="str">
        <v/>
      </c>
      <c r="G112" s="84" t="str">
        <v/>
      </c>
      <c r="H112" s="85">
        <v>0</v>
      </c>
      <c r="I112" s="86" t="str">
        <v>α端材</v>
      </c>
      <c r="J112" s="87">
        <v>0</v>
      </c>
      <c r="K112" s="65"/>
      <c r="L112" s="65"/>
      <c r="M112" s="65"/>
      <c r="N112" s="65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63" t="s">
        <v>0</v>
      </c>
      <c r="C115" s="95"/>
      <c r="D115" s="95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95"/>
      <c r="C116" s="95"/>
      <c r="D116" s="95"/>
      <c r="E116" s="12"/>
      <c r="F116" s="12"/>
      <c r="G116" s="12"/>
      <c r="H116" s="12"/>
      <c r="I116" s="12"/>
      <c r="J116" s="12"/>
    </row>
    <row r="117" spans="1:10" ht="14.25" customHeight="1">
      <c r="A117" s="109" t="s">
        <v>1</v>
      </c>
      <c r="B117" s="109" t="s">
        <v>66</v>
      </c>
      <c r="C117" s="109" t="s">
        <v>3</v>
      </c>
      <c r="D117" s="94">
        <v>444</v>
      </c>
      <c r="E117" s="109" t="s">
        <v>4</v>
      </c>
      <c r="F117" s="151" t="s">
        <v>67</v>
      </c>
      <c r="G117" s="95"/>
      <c r="H117" s="148"/>
      <c r="I117" s="13" t="s">
        <v>6</v>
      </c>
      <c r="J117" s="13" t="s">
        <v>7</v>
      </c>
    </row>
    <row r="118" spans="1:10" ht="14.25" customHeight="1">
      <c r="A118" s="95"/>
      <c r="B118" s="95"/>
      <c r="C118" s="95"/>
      <c r="D118" s="95"/>
      <c r="E118" s="95"/>
      <c r="F118" s="95"/>
      <c r="G118" s="95"/>
      <c r="H118" s="148"/>
      <c r="I118" s="143"/>
      <c r="J118" s="143"/>
    </row>
    <row r="119" spans="1:10" ht="17.45" customHeight="1">
      <c r="A119" s="103" t="s">
        <v>8</v>
      </c>
      <c r="B119" s="103" t="s">
        <v>68</v>
      </c>
      <c r="E119" s="103" t="s">
        <v>10</v>
      </c>
      <c r="F119" s="153" t="s">
        <v>69</v>
      </c>
      <c r="G119" s="95"/>
      <c r="H119" s="148"/>
      <c r="I119" s="144"/>
      <c r="J119" s="144"/>
    </row>
    <row r="120" spans="1:10" ht="17.45" customHeight="1">
      <c r="A120" s="95"/>
      <c r="B120" s="95"/>
      <c r="E120" s="95"/>
      <c r="F120" s="95"/>
      <c r="G120" s="95"/>
      <c r="H120" s="148"/>
      <c r="I120" s="14"/>
      <c r="J120" s="14"/>
    </row>
    <row r="121" spans="1:10" ht="17.45" customHeight="1">
      <c r="A121" s="103" t="s">
        <v>12</v>
      </c>
      <c r="B121" s="103" t="s">
        <v>70</v>
      </c>
      <c r="E121" s="2" t="s">
        <v>14</v>
      </c>
      <c r="F121" s="101" t="s">
        <v>15</v>
      </c>
      <c r="G121" s="95"/>
      <c r="H121" s="21"/>
    </row>
    <row r="122" spans="1:10" ht="17.45" customHeight="1">
      <c r="A122" s="95"/>
      <c r="B122" s="95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45940</v>
      </c>
      <c r="E123" s="2" t="s">
        <v>19</v>
      </c>
      <c r="F123" s="150">
        <v>100</v>
      </c>
      <c r="G123" s="95"/>
      <c r="H123" s="21"/>
    </row>
    <row r="124" spans="1:10" ht="17.45" customHeight="1">
      <c r="A124" s="2" t="s">
        <v>20</v>
      </c>
      <c r="B124" s="4">
        <v>45940</v>
      </c>
      <c r="E124" s="2" t="s">
        <v>21</v>
      </c>
      <c r="F124" s="21">
        <v>1</v>
      </c>
      <c r="G124" s="162" t="s">
        <v>22</v>
      </c>
      <c r="H124" s="155">
        <v>100</v>
      </c>
      <c r="I124" s="156"/>
      <c r="J124" s="157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58"/>
      <c r="H125" s="158"/>
      <c r="I125" s="146"/>
      <c r="J125" s="149"/>
    </row>
    <row r="126" spans="1:10" ht="13.5" customHeight="1">
      <c r="A126" s="108" t="s">
        <v>71</v>
      </c>
      <c r="B126" s="95"/>
      <c r="C126" s="95"/>
      <c r="D126" s="20"/>
      <c r="F126" s="3"/>
      <c r="G126" s="112" t="s">
        <v>26</v>
      </c>
      <c r="H126" s="152" t="s">
        <v>27</v>
      </c>
      <c r="I126" s="147" t="s">
        <v>28</v>
      </c>
      <c r="J126" s="148"/>
    </row>
    <row r="127" spans="1:10" ht="13.5" customHeight="1">
      <c r="A127" s="95"/>
      <c r="B127" s="95"/>
      <c r="C127" s="95"/>
      <c r="D127" s="20"/>
      <c r="F127" s="3"/>
      <c r="G127" s="113"/>
      <c r="H127" s="113"/>
      <c r="I127" s="146"/>
      <c r="J127" s="149"/>
    </row>
    <row r="128" spans="1:10" ht="13.5" customHeight="1">
      <c r="A128" s="1" t="s">
        <v>29</v>
      </c>
    </row>
    <row r="129" spans="1:10" ht="63" customHeight="1">
      <c r="A129" s="164"/>
      <c r="B129" s="165"/>
      <c r="C129" s="165"/>
      <c r="D129" s="165"/>
      <c r="E129" s="165"/>
      <c r="F129" s="165"/>
      <c r="G129" s="165"/>
      <c r="H129" s="165"/>
      <c r="I129" s="165"/>
      <c r="J129" s="165"/>
    </row>
    <row r="130" spans="1:10" ht="18.75">
      <c r="A130" s="23" t="s">
        <v>30</v>
      </c>
      <c r="B130" s="16" t="s">
        <v>31</v>
      </c>
      <c r="C130" s="141" t="s">
        <v>32</v>
      </c>
      <c r="D130" s="142"/>
      <c r="E130" s="16" t="s">
        <v>33</v>
      </c>
      <c r="F130" s="141" t="s">
        <v>34</v>
      </c>
      <c r="G130" s="142"/>
      <c r="H130" s="142"/>
      <c r="I130" s="159" t="s">
        <v>35</v>
      </c>
      <c r="J130" s="142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100" t="s">
        <v>37</v>
      </c>
      <c r="D132" s="95"/>
      <c r="E132" s="24" t="s">
        <v>38</v>
      </c>
      <c r="F132" s="100" t="s">
        <v>39</v>
      </c>
      <c r="G132" s="95"/>
      <c r="H132" s="95"/>
      <c r="I132" s="96"/>
      <c r="J132" s="95"/>
    </row>
    <row r="133" spans="1:10" ht="16.5" customHeight="1">
      <c r="A133" s="22">
        <v>1</v>
      </c>
      <c r="B133" s="25" t="s">
        <v>36</v>
      </c>
      <c r="C133" s="100" t="s">
        <v>37</v>
      </c>
      <c r="D133" s="95"/>
      <c r="E133" s="24" t="s">
        <v>40</v>
      </c>
      <c r="F133" s="100" t="s">
        <v>41</v>
      </c>
      <c r="G133" s="95"/>
      <c r="H133" s="95"/>
      <c r="I133" s="96"/>
      <c r="J133" s="95"/>
    </row>
    <row r="134" spans="1:10" ht="16.5" customHeight="1">
      <c r="A134" s="22"/>
      <c r="B134" s="25"/>
      <c r="C134" s="100"/>
      <c r="D134" s="95"/>
      <c r="E134" s="24"/>
      <c r="F134" s="100"/>
      <c r="G134" s="95"/>
      <c r="H134" s="95"/>
      <c r="I134" s="96"/>
      <c r="J134" s="95"/>
    </row>
    <row r="135" spans="1:10" ht="16.5" customHeight="1">
      <c r="A135" s="22"/>
      <c r="B135" s="25"/>
      <c r="C135" s="100"/>
      <c r="D135" s="95"/>
      <c r="E135" s="24"/>
      <c r="F135" s="100"/>
      <c r="G135" s="95"/>
      <c r="H135" s="95"/>
      <c r="I135" s="96"/>
      <c r="J135" s="95"/>
    </row>
    <row r="136" spans="1:10" ht="16.5" customHeight="1">
      <c r="A136" s="22"/>
      <c r="B136" s="25"/>
      <c r="C136" s="100"/>
      <c r="D136" s="95"/>
      <c r="E136" s="24"/>
      <c r="F136" s="100"/>
      <c r="G136" s="95"/>
      <c r="H136" s="95"/>
      <c r="I136" s="96"/>
      <c r="J136" s="95"/>
    </row>
    <row r="137" spans="1:10" ht="16.5" customHeight="1">
      <c r="A137" s="22"/>
      <c r="B137" s="25"/>
      <c r="C137" s="100"/>
      <c r="D137" s="95"/>
      <c r="E137" s="24"/>
      <c r="F137" s="100"/>
      <c r="G137" s="95"/>
      <c r="H137" s="95"/>
      <c r="I137" s="96"/>
      <c r="J137" s="95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10" t="s">
        <v>42</v>
      </c>
      <c r="B139" s="111"/>
      <c r="C139" s="110" t="s">
        <v>43</v>
      </c>
      <c r="D139" s="111"/>
      <c r="E139" s="111"/>
      <c r="F139" s="17" t="s">
        <v>44</v>
      </c>
      <c r="G139" s="110" t="s">
        <v>45</v>
      </c>
      <c r="H139" s="111"/>
      <c r="I139" s="110" t="s">
        <v>46</v>
      </c>
      <c r="J139" s="111"/>
    </row>
    <row r="140" spans="1:10" ht="14.25" customHeight="1">
      <c r="A140" s="8"/>
      <c r="B140" s="18"/>
      <c r="C140" s="145" t="s">
        <v>47</v>
      </c>
      <c r="D140" s="146"/>
      <c r="E140" s="18"/>
      <c r="F140" s="145" t="s">
        <v>29</v>
      </c>
      <c r="G140" s="146"/>
      <c r="H140" s="146"/>
      <c r="I140" s="146"/>
      <c r="J140" s="146"/>
    </row>
    <row r="141" spans="1:10">
      <c r="A141" s="9"/>
      <c r="C141" s="7"/>
      <c r="D141" s="7"/>
      <c r="E141" s="7"/>
    </row>
    <row r="142" spans="1:10" ht="14.25" customHeight="1">
      <c r="A142" s="100" t="s">
        <v>48</v>
      </c>
      <c r="B142" s="95"/>
      <c r="C142" s="100" t="s">
        <v>49</v>
      </c>
      <c r="D142" s="95"/>
      <c r="E142" s="95"/>
      <c r="F142" s="26" t="s">
        <v>27</v>
      </c>
      <c r="G142" s="99">
        <v>25</v>
      </c>
      <c r="H142" s="95"/>
      <c r="I142" s="99">
        <v>0.25</v>
      </c>
      <c r="J142" s="95"/>
    </row>
    <row r="143" spans="1:10" ht="24.95" customHeight="1">
      <c r="A143" s="102" t="s">
        <v>50</v>
      </c>
      <c r="B143" s="95"/>
      <c r="C143" s="100"/>
      <c r="D143" s="95"/>
      <c r="E143" s="95"/>
      <c r="F143" s="100"/>
      <c r="G143" s="95"/>
      <c r="H143" s="95"/>
      <c r="I143" s="95"/>
      <c r="J143" s="95"/>
    </row>
    <row r="144" spans="1:10" ht="14.25" customHeight="1">
      <c r="A144" s="154" t="s">
        <v>119</v>
      </c>
      <c r="B144" s="95"/>
      <c r="C144" s="100" t="s">
        <v>72</v>
      </c>
      <c r="D144" s="95"/>
      <c r="E144" s="95"/>
      <c r="F144" s="26" t="s">
        <v>53</v>
      </c>
      <c r="G144" s="99">
        <v>1</v>
      </c>
      <c r="H144" s="95"/>
      <c r="I144" s="99">
        <v>0.01</v>
      </c>
      <c r="J144" s="95"/>
    </row>
    <row r="145" spans="1:11" ht="24.95" customHeight="1">
      <c r="A145" s="102" t="s">
        <v>73</v>
      </c>
      <c r="B145" s="95"/>
      <c r="C145" s="100" t="s">
        <v>74</v>
      </c>
      <c r="D145" s="95"/>
      <c r="E145" s="95"/>
      <c r="F145" s="100"/>
      <c r="G145" s="95"/>
      <c r="H145" s="95"/>
      <c r="I145" s="95"/>
      <c r="J145" s="95"/>
    </row>
    <row r="146" spans="1:11" ht="14.25" customHeight="1">
      <c r="A146" s="100" t="s">
        <v>56</v>
      </c>
      <c r="B146" s="95"/>
      <c r="C146" s="100" t="s">
        <v>57</v>
      </c>
      <c r="D146" s="95"/>
      <c r="E146" s="95"/>
      <c r="F146" s="26"/>
      <c r="G146" s="99">
        <v>0.1</v>
      </c>
      <c r="H146" s="95"/>
      <c r="I146" s="99">
        <v>1E-3</v>
      </c>
      <c r="J146" s="95"/>
    </row>
    <row r="147" spans="1:11" ht="24.95" customHeight="1">
      <c r="A147" s="102" t="s">
        <v>58</v>
      </c>
      <c r="B147" s="95"/>
      <c r="C147" s="100" t="s">
        <v>59</v>
      </c>
      <c r="D147" s="95"/>
      <c r="E147" s="95"/>
      <c r="F147" s="100"/>
      <c r="G147" s="95"/>
      <c r="H147" s="95"/>
      <c r="I147" s="95"/>
      <c r="J147" s="95"/>
    </row>
    <row r="148" spans="1:11" ht="14.25" customHeight="1">
      <c r="A148" s="100" t="s">
        <v>60</v>
      </c>
      <c r="B148" s="95"/>
      <c r="C148" s="100" t="s">
        <v>61</v>
      </c>
      <c r="D148" s="95"/>
      <c r="E148" s="95"/>
      <c r="F148" s="26"/>
      <c r="G148" s="99">
        <v>0.1</v>
      </c>
      <c r="H148" s="95"/>
      <c r="I148" s="99">
        <v>1E-3</v>
      </c>
      <c r="J148" s="95"/>
    </row>
    <row r="149" spans="1:11" ht="24.95" customHeight="1">
      <c r="A149" s="102" t="s">
        <v>62</v>
      </c>
      <c r="B149" s="95"/>
      <c r="C149" s="100" t="s">
        <v>63</v>
      </c>
      <c r="D149" s="95"/>
      <c r="E149" s="95"/>
      <c r="F149" s="100"/>
      <c r="G149" s="95"/>
      <c r="H149" s="95"/>
      <c r="I149" s="95"/>
      <c r="J149" s="95"/>
    </row>
    <row r="150" spans="1:11" ht="14.25" customHeight="1">
      <c r="A150" s="100"/>
      <c r="B150" s="95"/>
      <c r="C150" s="100"/>
      <c r="D150" s="95"/>
      <c r="E150" s="95"/>
      <c r="F150" s="26"/>
      <c r="G150" s="99"/>
      <c r="H150" s="95"/>
      <c r="I150" s="99"/>
      <c r="J150" s="95"/>
    </row>
    <row r="151" spans="1:11" ht="24.95" customHeight="1" thickBot="1">
      <c r="A151" s="102"/>
      <c r="B151" s="95"/>
      <c r="C151" s="100"/>
      <c r="D151" s="95"/>
      <c r="E151" s="95"/>
      <c r="F151" s="100"/>
      <c r="G151" s="95"/>
      <c r="H151" s="95"/>
      <c r="I151" s="95"/>
      <c r="J151" s="95"/>
    </row>
    <row r="152" spans="1:11" s="5" customFormat="1" ht="18" customHeight="1">
      <c r="A152" s="124" t="s">
        <v>122</v>
      </c>
      <c r="B152" s="125"/>
      <c r="C152" s="125"/>
      <c r="D152" s="125"/>
      <c r="E152" s="126" t="s">
        <v>123</v>
      </c>
      <c r="F152" s="127"/>
      <c r="G152" s="27" t="s">
        <v>124</v>
      </c>
      <c r="H152" s="104" t="s">
        <v>125</v>
      </c>
      <c r="I152" s="105"/>
      <c r="J152" s="28" t="s">
        <v>126</v>
      </c>
    </row>
    <row r="153" spans="1:11" s="7" customFormat="1" ht="18" customHeight="1">
      <c r="A153" s="136" t="str">
        <f>_xlfn.XLOOKUP(B117,[1]VFDB2!A:A,[1]VFDB2!B:B)</f>
        <v>8FL281304 8110　L=444</v>
      </c>
      <c r="B153" s="137"/>
      <c r="C153" s="137"/>
      <c r="D153" s="137"/>
      <c r="E153" s="88" t="str" cm="1">
        <f t="array" ref="E153">IFERROR(IF(ISBLANK(INDEX(_xlfn._xlws.FILTER([1]加工記録２!$C$3:$C$999991, [1]加工記録２!$T$3:$T$999991=B119), 6)), "", INDEX(_xlfn._xlws.FILTER([1]加工記録２!$C$3:$C$999991, [1]加工記録２!$T$3:$T$999991=B119), 6)),"")</f>
        <v>LED-A444</v>
      </c>
      <c r="F153" s="89"/>
      <c r="G153" s="140" cm="1">
        <f t="array" ref="G153">IFERROR(IF(ISBLANK(INDEX(_xlfn._xlws.FILTER([1]加工記録２!$C$3:$C$999991, [1]加工記録２!$T$3:$T$999991=B119), 7)), " ", INDEX(_xlfn._xlws.FILTER([1]加工記録２!$C$3:$C$999991, [1]加工記録２!$T$3:$T$999991=B119), 7))," ")</f>
        <v>1</v>
      </c>
      <c r="H153" s="29" t="s">
        <v>127</v>
      </c>
      <c r="I153" s="30" cm="1">
        <f t="array" ref="I153:J153">IFERROR(IF(ISBLANK(INDEX(_xlfn._xlws.FILTER([1]加工記録２!$O$3:$P$999991, [1]加工記録２!$T$3:$T$999991=B119), 1)), "", INDEX(_xlfn._xlws.FILTER([1]加工記録２!$O$3:$P$999991, [1]加工記録２!$T$3:$T$999991=B119), 1)),"")</f>
        <v>45937</v>
      </c>
      <c r="J153" s="31">
        <v>1</v>
      </c>
    </row>
    <row r="154" spans="1:11" s="5" customFormat="1" ht="18" customHeight="1">
      <c r="A154" s="138"/>
      <c r="B154" s="139"/>
      <c r="C154" s="139"/>
      <c r="D154" s="139"/>
      <c r="E154" s="88"/>
      <c r="F154" s="89"/>
      <c r="G154" s="140"/>
      <c r="H154" s="29" t="s">
        <v>128</v>
      </c>
      <c r="I154" s="32" cm="1">
        <f t="array" ref="I154:J154">IFERROR(IF(ISBLANK(INDEX(_xlfn._xlws.FILTER([1]加工記録２!$O$3:$P$999991, [1]加工記録２!$T$3:$T$999991=B119), 2)), "", INDEX(_xlfn._xlws.FILTER([1]加工記録２!$O$3:$P$999991, [1]加工記録２!$T$3:$T$999991=B119), 2)),"")</f>
        <v>100</v>
      </c>
      <c r="J154" s="33" t="str">
        <v/>
      </c>
      <c r="K154" s="34"/>
    </row>
    <row r="155" spans="1:11" s="7" customFormat="1" ht="18" customHeight="1">
      <c r="A155" s="118" t="s">
        <v>129</v>
      </c>
      <c r="B155" s="114" t="str">
        <f>_xlfn.XLOOKUP(B117,[1]VFDB2!A:A,[1]VFDB2!J:J)</f>
        <v>〇</v>
      </c>
      <c r="C155" s="116" t="s">
        <v>130</v>
      </c>
      <c r="D155" s="97">
        <f>_xlfn.XLOOKUP(B117,[1]VFDB2!A:A,[1]VFDB2!P:P)</f>
        <v>4</v>
      </c>
      <c r="E155" s="88" t="str">
        <f>_xlfn.XLOOKUP(B117,[1]VFDB2!A:A,[1]VFDB2!V:V)</f>
        <v>1箱目の梱包数 目視確認　以降、重量測定</v>
      </c>
      <c r="F155" s="89"/>
      <c r="G155" s="90"/>
      <c r="H155" s="35" t="s">
        <v>131</v>
      </c>
      <c r="I155" s="32" cm="1">
        <f t="array" ref="I155:J155">IFERROR(IF(ISBLANK(INDEX(_xlfn._xlws.FILTER([1]加工記録２!$O$3:$P$999991, [1]加工記録２!$T$3:$T$999991=B119), 3)), "", INDEX(_xlfn._xlws.FILTER([1]加工記録２!$O$3:$P$999991, [1]加工記録２!$T$3:$T$999991=B119), 3)),"")</f>
        <v>25</v>
      </c>
      <c r="J155" s="36" t="str">
        <v/>
      </c>
      <c r="K155" s="37"/>
    </row>
    <row r="156" spans="1:11" s="5" customFormat="1" ht="18" customHeight="1">
      <c r="A156" s="128"/>
      <c r="B156" s="115"/>
      <c r="C156" s="117"/>
      <c r="D156" s="98"/>
      <c r="E156" s="88"/>
      <c r="F156" s="89"/>
      <c r="G156" s="90"/>
      <c r="H156" s="35" t="s">
        <v>132</v>
      </c>
      <c r="I156" s="32" cm="1">
        <f t="array" ref="I156:J156">IFERROR(IF(ISBLANK(INDEX(_xlfn._xlws.FILTER([1]加工記録２!$O$3:$P$999991, [1]加工記録２!$T$3:$T$999991=B119), 4)), "", INDEX(_xlfn._xlws.FILTER([1]加工記録２!$O$3:$P$999991, [1]加工記録２!$T$3:$T$999991=B119), 4)),"")</f>
        <v>1</v>
      </c>
      <c r="J156" s="38" t="str">
        <v/>
      </c>
      <c r="K156" s="34"/>
    </row>
    <row r="157" spans="1:11" s="7" customFormat="1" ht="18" customHeight="1">
      <c r="A157" s="129" t="s">
        <v>133</v>
      </c>
      <c r="B157" s="131">
        <f>D117</f>
        <v>444</v>
      </c>
      <c r="C157" s="133" t="s">
        <v>134</v>
      </c>
      <c r="D157" s="106" t="str">
        <f>_xlfn.XLOOKUP(B117,[1]VFDB2!A:A,[1]VFDB2!L:L)</f>
        <v>+0</v>
      </c>
      <c r="E157" s="88" t="str">
        <f>_xlfn.XLOOKUP(B117,[1]VFDB2!A:A,[1]VFDB2!W:W)</f>
        <v>L=888用　クラフト紙　1/2</v>
      </c>
      <c r="F157" s="89"/>
      <c r="G157" s="90"/>
      <c r="H157" s="35" t="s">
        <v>135</v>
      </c>
      <c r="I157" s="32" cm="1">
        <f t="array" ref="I157:J157">IFERROR(IF(ISBLANK(INDEX(_xlfn._xlws.FILTER([1]加工記録２!$O$3:$P$999991, [1]加工記録２!$T$3:$T$999991=B119), 5)), "", INDEX(_xlfn._xlws.FILTER([1]加工記録２!$O$3:$P$999991, [1]加工記録２!$T$3:$T$999991=B119), 5)),"")</f>
        <v>1</v>
      </c>
      <c r="J157" s="39" t="str">
        <v/>
      </c>
      <c r="K157" s="37"/>
    </row>
    <row r="158" spans="1:11" s="5" customFormat="1" ht="18" customHeight="1">
      <c r="A158" s="130"/>
      <c r="B158" s="132"/>
      <c r="C158" s="134"/>
      <c r="D158" s="135"/>
      <c r="E158" s="88"/>
      <c r="F158" s="89"/>
      <c r="G158" s="90"/>
      <c r="H158" s="35" t="s">
        <v>136</v>
      </c>
      <c r="I158" s="32" cm="1">
        <f t="array" ref="I158:J158">IFERROR(IF(ISBLANK(INDEX(_xlfn._xlws.FILTER([1]加工記録２!$O$3:$P$999991, [1]加工記録２!$T$3:$T$999991=B119), 6)), "", INDEX(_xlfn._xlws.FILTER([1]加工記録２!$O$3:$P$999991, [1]加工記録２!$T$3:$T$999991=B119), 6)),"")</f>
        <v>1</v>
      </c>
      <c r="J158" s="40" t="str">
        <v/>
      </c>
      <c r="K158" s="34"/>
    </row>
    <row r="159" spans="1:11" s="7" customFormat="1" ht="18" customHeight="1">
      <c r="A159" s="118" t="s">
        <v>137</v>
      </c>
      <c r="B159" s="120" t="str">
        <f>_xlfn.XLOOKUP(B117,[1]VFDB2!A:A,[1]VFDB2!AC:AC)</f>
        <v>換算表確認</v>
      </c>
      <c r="C159" s="122" t="s">
        <v>138</v>
      </c>
      <c r="D159" s="106" t="str">
        <f>_xlfn.XLOOKUP(B117,[1]VFDB2!A:A,[1]VFDB2!K:K)</f>
        <v>-1</v>
      </c>
      <c r="E159" s="88" t="str">
        <f>_xlfn.XLOOKUP(B117,[1]VFDB2!A:A,[1]VFDB2!R:R)</f>
        <v>ラベル１枚　長手無　鉢巻１回</v>
      </c>
      <c r="F159" s="89"/>
      <c r="G159" s="90"/>
      <c r="H159" s="35" t="s">
        <v>139</v>
      </c>
      <c r="I159" s="32" t="str" cm="1">
        <f t="array" ref="I159:J159">IFERROR(IF(ISBLANK(INDEX(_xlfn._xlws.FILTER([1]加工記録２!$O$3:$P$999991, [1]加工記録２!$T$3:$T$999991=B119), 7)), "", INDEX(_xlfn._xlws.FILTER([1]加工記録２!$O$3:$P$999991, [1]加工記録２!$T$3:$T$999991=B119), 7)),"")</f>
        <v>M</v>
      </c>
      <c r="J159" s="41" t="str">
        <v/>
      </c>
      <c r="K159" s="37"/>
    </row>
    <row r="160" spans="1:11" s="5" customFormat="1" ht="18" customHeight="1" thickBot="1">
      <c r="A160" s="119"/>
      <c r="B160" s="121"/>
      <c r="C160" s="123"/>
      <c r="D160" s="107"/>
      <c r="E160" s="91"/>
      <c r="F160" s="92"/>
      <c r="G160" s="93"/>
      <c r="H160" s="42" t="s">
        <v>140</v>
      </c>
      <c r="I160" s="43" t="str" cm="1">
        <f t="array" ref="I160:J160">IFERROR(IF(ISBLANK(INDEX(_xlfn._xlws.FILTER([1]加工記録２!$O$3:$P$999991, [1]加工記録２!$T$3:$T$999991=B119), 8)), "", INDEX(_xlfn._xlws.FILTER([1]加工記録２!$O$3:$P$999991, [1]加工記録２!$T$3:$T$999991=B119), 8)),"")</f>
        <v>T</v>
      </c>
      <c r="J160" s="44">
        <v>1</v>
      </c>
    </row>
    <row r="161" spans="1:14" s="55" customFormat="1" ht="18.95" customHeight="1">
      <c r="A161" s="45" t="s">
        <v>141</v>
      </c>
      <c r="B161" s="46" t="s">
        <v>142</v>
      </c>
      <c r="C161" s="47" t="s">
        <v>143</v>
      </c>
      <c r="D161" s="47" t="s">
        <v>144</v>
      </c>
      <c r="E161" s="48" t="s">
        <v>145</v>
      </c>
      <c r="F161" s="49" t="s">
        <v>146</v>
      </c>
      <c r="G161" s="50" t="s">
        <v>147</v>
      </c>
      <c r="H161" s="51" t="s">
        <v>148</v>
      </c>
      <c r="I161" s="52" t="s">
        <v>149</v>
      </c>
      <c r="J161" s="53" t="s">
        <v>150</v>
      </c>
      <c r="K161" s="54"/>
      <c r="L161" s="54"/>
      <c r="M161" s="54"/>
      <c r="N161" s="54"/>
    </row>
    <row r="162" spans="1:14" s="66" customFormat="1" ht="18.95" customHeight="1">
      <c r="A162" s="56" cm="1">
        <f t="array" ref="A162:J162">IFERROR(IF(ISBLANK(INDEX(_xlfn._xlws.FILTER([1]加工記録２!$D$3:$M$999991, [1]加工記録２!$T$3:$T$999991=B119), 1)), "", INDEX(_xlfn._xlws.FILTER([1]加工記録２!$D$3:$M$999991, [1]加工記録２!$T$3:$T$999991=B119), 1)),"")</f>
        <v>45910</v>
      </c>
      <c r="B162" s="57" t="str">
        <v>25I05-02</v>
      </c>
      <c r="C162" s="58" t="str">
        <v/>
      </c>
      <c r="D162" s="58" t="str">
        <v/>
      </c>
      <c r="E162" s="59" t="str">
        <v/>
      </c>
      <c r="F162" s="60" t="str">
        <v>25I05-02</v>
      </c>
      <c r="G162" s="61">
        <v>12</v>
      </c>
      <c r="H162" s="62">
        <v>3</v>
      </c>
      <c r="I162" s="63">
        <v>45937</v>
      </c>
      <c r="J162" s="64">
        <v>1</v>
      </c>
      <c r="K162" s="65"/>
      <c r="L162" s="65"/>
      <c r="M162" s="65"/>
      <c r="N162" s="65"/>
    </row>
    <row r="163" spans="1:14" s="66" customFormat="1" ht="18.95" customHeight="1">
      <c r="A163" s="67" cm="1">
        <f t="array" ref="A163:J163">IFERROR(IF(ISBLANK(INDEX(_xlfn._xlws.FILTER([1]加工記録２!$D$3:$M$999991, [1]加工記録２!$T$3:$T$999991=B119), 2)), "", INDEX(_xlfn._xlws.FILTER([1]加工記録２!$D$3:$M$999991, [1]加工記録２!$T$3:$T$999991=B119), 2)),"")</f>
        <v>45936</v>
      </c>
      <c r="B163" s="68" t="str">
        <v>25I24-12</v>
      </c>
      <c r="C163" s="68">
        <v>26</v>
      </c>
      <c r="D163" s="68">
        <v>444.17</v>
      </c>
      <c r="E163" s="69">
        <v>443.8</v>
      </c>
      <c r="F163" s="70" t="str">
        <v>25I24-12</v>
      </c>
      <c r="G163" s="71">
        <v>87</v>
      </c>
      <c r="H163" s="72">
        <v>22</v>
      </c>
      <c r="I163" s="63" t="str">
        <v/>
      </c>
      <c r="J163" s="64" t="str">
        <v/>
      </c>
      <c r="K163" s="65"/>
      <c r="L163" s="65"/>
      <c r="M163" s="65"/>
      <c r="N163" s="65"/>
    </row>
    <row r="164" spans="1:14" s="66" customFormat="1" ht="18.95" customHeight="1">
      <c r="A164" s="67" cm="1">
        <f t="array" ref="A164:J164">IFERROR(IF(ISBLANK(INDEX(_xlfn._xlws.FILTER([1]加工記録２!$D$3:$M$999991, [1]加工記録２!$T$3:$T$999991=B119), 3)), "", INDEX(_xlfn._xlws.FILTER([1]加工記録２!$D$3:$M$999991, [1]加工記録２!$T$3:$T$999991=B119), 3)),"")</f>
        <v>45936</v>
      </c>
      <c r="B164" s="68" t="str">
        <v>25I24-12</v>
      </c>
      <c r="C164" s="68">
        <v>26</v>
      </c>
      <c r="D164" s="68">
        <v>444.17</v>
      </c>
      <c r="E164" s="69">
        <v>443.91</v>
      </c>
      <c r="F164" s="70" t="str">
        <v/>
      </c>
      <c r="G164" s="71" t="str">
        <v/>
      </c>
      <c r="H164" s="72">
        <v>0</v>
      </c>
      <c r="I164" s="63" t="str">
        <v/>
      </c>
      <c r="J164" s="64" t="str">
        <v/>
      </c>
      <c r="K164" s="65"/>
      <c r="L164" s="65"/>
      <c r="M164" s="65"/>
      <c r="N164" s="65"/>
    </row>
    <row r="165" spans="1:14" s="66" customFormat="1" ht="18.95" customHeight="1">
      <c r="A165" s="67" t="str" cm="1">
        <f t="array" ref="A165:J165">IFERROR(IF(ISBLANK(INDEX(_xlfn._xlws.FILTER([1]加工記録２!$D$3:$M$999991, [1]加工記録２!$T$3:$T$999991=B119), 4)), "", INDEX(_xlfn._xlws.FILTER([1]加工記録２!$D$3:$M$999991, [1]加工記録２!$T$3:$T$999991=B119), 4)),"")</f>
        <v/>
      </c>
      <c r="B165" s="68" t="str">
        <v/>
      </c>
      <c r="C165" s="68" t="str">
        <v/>
      </c>
      <c r="D165" s="68" t="str">
        <v/>
      </c>
      <c r="E165" s="69" t="str">
        <v/>
      </c>
      <c r="F165" s="70" t="str">
        <v/>
      </c>
      <c r="G165" s="71" t="str">
        <v/>
      </c>
      <c r="H165" s="72">
        <v>0</v>
      </c>
      <c r="I165" s="63" t="str">
        <v/>
      </c>
      <c r="J165" s="64" t="str">
        <v/>
      </c>
      <c r="K165" s="65"/>
      <c r="L165" s="65"/>
      <c r="M165" s="65"/>
      <c r="N165" s="65"/>
    </row>
    <row r="166" spans="1:14" s="66" customFormat="1" ht="18.95" customHeight="1">
      <c r="A166" s="67" t="str" cm="1">
        <f t="array" ref="A166:J166">IFERROR(IF(ISBLANK(INDEX(_xlfn._xlws.FILTER([1]加工記録２!$D$3:$M$999991, [1]加工記録２!$T$3:$T$999991=B119), 5)), "", INDEX(_xlfn._xlws.FILTER([1]加工記録２!$D$3:$M$999991, [1]加工記録２!$T$3:$T$999991=B119), 5)),"")</f>
        <v/>
      </c>
      <c r="B166" s="68" t="str">
        <v/>
      </c>
      <c r="C166" s="68" t="str">
        <v/>
      </c>
      <c r="D166" s="68" t="str">
        <v/>
      </c>
      <c r="E166" s="69" t="str">
        <v/>
      </c>
      <c r="F166" s="70" t="str">
        <v/>
      </c>
      <c r="G166" s="71" t="str">
        <v/>
      </c>
      <c r="H166" s="72">
        <v>0</v>
      </c>
      <c r="I166" s="73" t="str">
        <v/>
      </c>
      <c r="J166" s="74" t="str">
        <v/>
      </c>
      <c r="K166" s="65"/>
      <c r="L166" s="65"/>
      <c r="M166" s="65"/>
      <c r="N166" s="65"/>
    </row>
    <row r="167" spans="1:14" s="66" customFormat="1" ht="18.95" customHeight="1">
      <c r="A167" s="67" t="str" cm="1">
        <f t="array" ref="A167:J167">IFERROR(IF(ISBLANK(INDEX(_xlfn._xlws.FILTER([1]加工記録２!$D$3:$M$999991, [1]加工記録２!$T$3:$T$999991=B119), 6)), "", INDEX(_xlfn._xlws.FILTER([1]加工記録２!$D$3:$M$999991, [1]加工記録２!$T$3:$T$999991=B119), 6)),"")</f>
        <v/>
      </c>
      <c r="B167" s="68" t="str">
        <v/>
      </c>
      <c r="C167" s="68" t="str">
        <v/>
      </c>
      <c r="D167" s="68" t="str">
        <v/>
      </c>
      <c r="E167" s="69" t="str">
        <v/>
      </c>
      <c r="F167" s="70" t="str">
        <v/>
      </c>
      <c r="G167" s="71" t="str">
        <v/>
      </c>
      <c r="H167" s="75">
        <v>0</v>
      </c>
      <c r="I167" s="76" t="str">
        <v>旧品加工</v>
      </c>
      <c r="J167" s="77">
        <v>13</v>
      </c>
      <c r="K167" s="65"/>
      <c r="L167" s="65"/>
      <c r="M167" s="65"/>
      <c r="N167" s="65"/>
    </row>
    <row r="168" spans="1:14" s="66" customFormat="1" ht="18.95" customHeight="1">
      <c r="A168" s="67" t="str" cm="1">
        <f t="array" ref="A168:J168">IFERROR(IF(ISBLANK(INDEX(_xlfn._xlws.FILTER([1]加工記録２!$D$3:$M$999991, [1]加工記録２!$T$3:$T$999991=B119), 7)), "", INDEX(_xlfn._xlws.FILTER([1]加工記録２!$D$3:$M$999991, [1]加工記録２!$T$3:$T$999991=B119), 7)),"")</f>
        <v/>
      </c>
      <c r="B168" s="68" t="str">
        <v/>
      </c>
      <c r="C168" s="68" t="str">
        <v/>
      </c>
      <c r="D168" s="68" t="str">
        <v/>
      </c>
      <c r="E168" s="69" t="str">
        <v/>
      </c>
      <c r="F168" s="70" t="str">
        <v/>
      </c>
      <c r="G168" s="71" t="str">
        <v/>
      </c>
      <c r="H168" s="75">
        <v>0</v>
      </c>
      <c r="I168" s="78" t="str">
        <v>持出端材</v>
      </c>
      <c r="J168" s="79" t="str">
        <v/>
      </c>
      <c r="K168" s="65"/>
      <c r="L168" s="65"/>
      <c r="M168" s="65"/>
      <c r="N168" s="65"/>
    </row>
    <row r="169" spans="1:14" s="66" customFormat="1" ht="18.95" customHeight="1" thickBot="1">
      <c r="A169" s="80" t="str" cm="1">
        <f t="array" ref="A169:J169">IFERROR(IF(ISBLANK(INDEX(_xlfn._xlws.FILTER([1]加工記録２!$D$3:$M$999991, [1]加工記録２!$T$3:$T$999991=B119), 8)), "", INDEX(_xlfn._xlws.FILTER([1]加工記録２!$D$3:$M$999991, [1]加工記録２!$T$3:$T$999991=B119), 8)),"")</f>
        <v/>
      </c>
      <c r="B169" s="81" t="str">
        <v/>
      </c>
      <c r="C169" s="81" t="str">
        <v/>
      </c>
      <c r="D169" s="81" t="str">
        <v/>
      </c>
      <c r="E169" s="82" t="str">
        <v/>
      </c>
      <c r="F169" s="83" t="str">
        <v/>
      </c>
      <c r="G169" s="84" t="str">
        <v/>
      </c>
      <c r="H169" s="85">
        <v>0</v>
      </c>
      <c r="I169" s="86" t="str">
        <v>α端材</v>
      </c>
      <c r="J169" s="87">
        <v>1</v>
      </c>
      <c r="K169" s="65"/>
      <c r="L169" s="65"/>
      <c r="M169" s="65"/>
      <c r="N169" s="65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63" t="s">
        <v>0</v>
      </c>
      <c r="C172" s="95"/>
      <c r="D172" s="95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95"/>
      <c r="C173" s="95"/>
      <c r="D173" s="95"/>
      <c r="E173" s="12"/>
      <c r="F173" s="12"/>
      <c r="G173" s="12"/>
      <c r="H173" s="12"/>
      <c r="I173" s="12"/>
      <c r="J173" s="12"/>
    </row>
    <row r="174" spans="1:14" ht="14.25" customHeight="1">
      <c r="A174" s="109" t="s">
        <v>1</v>
      </c>
      <c r="B174" s="109" t="s">
        <v>75</v>
      </c>
      <c r="C174" s="109" t="s">
        <v>3</v>
      </c>
      <c r="D174" s="94">
        <v>592</v>
      </c>
      <c r="E174" s="109" t="s">
        <v>4</v>
      </c>
      <c r="F174" s="151" t="s">
        <v>76</v>
      </c>
      <c r="G174" s="95"/>
      <c r="H174" s="148"/>
      <c r="I174" s="13" t="s">
        <v>6</v>
      </c>
      <c r="J174" s="13" t="s">
        <v>7</v>
      </c>
    </row>
    <row r="175" spans="1:14" ht="14.25" customHeight="1">
      <c r="A175" s="95"/>
      <c r="B175" s="95"/>
      <c r="C175" s="95"/>
      <c r="D175" s="95"/>
      <c r="E175" s="95"/>
      <c r="F175" s="95"/>
      <c r="G175" s="95"/>
      <c r="H175" s="148"/>
      <c r="I175" s="143"/>
      <c r="J175" s="143"/>
    </row>
    <row r="176" spans="1:14" ht="17.45" customHeight="1">
      <c r="A176" s="103" t="s">
        <v>8</v>
      </c>
      <c r="B176" s="103" t="s">
        <v>77</v>
      </c>
      <c r="E176" s="103" t="s">
        <v>10</v>
      </c>
      <c r="F176" s="153" t="s">
        <v>78</v>
      </c>
      <c r="G176" s="95"/>
      <c r="H176" s="148"/>
      <c r="I176" s="144"/>
      <c r="J176" s="144"/>
    </row>
    <row r="177" spans="1:10" ht="17.45" customHeight="1">
      <c r="A177" s="95"/>
      <c r="B177" s="95"/>
      <c r="E177" s="95"/>
      <c r="F177" s="95"/>
      <c r="G177" s="95"/>
      <c r="H177" s="148"/>
      <c r="I177" s="14"/>
      <c r="J177" s="14"/>
    </row>
    <row r="178" spans="1:10" ht="17.45" customHeight="1">
      <c r="A178" s="103" t="s">
        <v>12</v>
      </c>
      <c r="B178" s="103" t="s">
        <v>79</v>
      </c>
      <c r="E178" s="2" t="s">
        <v>14</v>
      </c>
      <c r="F178" s="101" t="s">
        <v>15</v>
      </c>
      <c r="G178" s="95"/>
      <c r="H178" s="21"/>
    </row>
    <row r="179" spans="1:10" ht="17.45" customHeight="1">
      <c r="A179" s="95"/>
      <c r="B179" s="95"/>
      <c r="E179" s="2" t="s">
        <v>16</v>
      </c>
      <c r="F179" s="21" t="s">
        <v>17</v>
      </c>
      <c r="G179" s="21"/>
      <c r="H179" s="21"/>
    </row>
    <row r="180" spans="1:10" ht="17.45" customHeight="1">
      <c r="A180" s="2" t="s">
        <v>18</v>
      </c>
      <c r="B180" s="4">
        <v>45940</v>
      </c>
      <c r="E180" s="2" t="s">
        <v>19</v>
      </c>
      <c r="F180" s="150">
        <v>100</v>
      </c>
      <c r="G180" s="95"/>
      <c r="H180" s="21"/>
    </row>
    <row r="181" spans="1:10" ht="17.45" customHeight="1">
      <c r="A181" s="2" t="s">
        <v>20</v>
      </c>
      <c r="B181" s="4">
        <v>45940</v>
      </c>
      <c r="E181" s="2" t="s">
        <v>21</v>
      </c>
      <c r="F181" s="21">
        <v>4</v>
      </c>
      <c r="G181" s="162" t="s">
        <v>22</v>
      </c>
      <c r="H181" s="155">
        <v>400</v>
      </c>
      <c r="I181" s="156"/>
      <c r="J181" s="157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58"/>
      <c r="H182" s="158"/>
      <c r="I182" s="146"/>
      <c r="J182" s="149"/>
    </row>
    <row r="183" spans="1:10" ht="13.5" customHeight="1">
      <c r="A183" s="108" t="s">
        <v>80</v>
      </c>
      <c r="B183" s="95"/>
      <c r="C183" s="95"/>
      <c r="D183" s="20"/>
      <c r="F183" s="3"/>
      <c r="G183" s="112" t="s">
        <v>26</v>
      </c>
      <c r="H183" s="152" t="s">
        <v>27</v>
      </c>
      <c r="I183" s="147" t="s">
        <v>28</v>
      </c>
      <c r="J183" s="148"/>
    </row>
    <row r="184" spans="1:10" ht="13.5" customHeight="1">
      <c r="A184" s="95"/>
      <c r="B184" s="95"/>
      <c r="C184" s="95"/>
      <c r="D184" s="20"/>
      <c r="F184" s="3"/>
      <c r="G184" s="113"/>
      <c r="H184" s="113"/>
      <c r="I184" s="146"/>
      <c r="J184" s="149"/>
    </row>
    <row r="185" spans="1:10" ht="13.5" customHeight="1">
      <c r="A185" s="1" t="s">
        <v>29</v>
      </c>
    </row>
    <row r="186" spans="1:10" ht="63" customHeight="1">
      <c r="A186" s="164"/>
      <c r="B186" s="165"/>
      <c r="C186" s="165"/>
      <c r="D186" s="165"/>
      <c r="E186" s="165"/>
      <c r="F186" s="165"/>
      <c r="G186" s="165"/>
      <c r="H186" s="165"/>
      <c r="I186" s="165"/>
      <c r="J186" s="165"/>
    </row>
    <row r="187" spans="1:10" ht="18.75">
      <c r="A187" s="23" t="s">
        <v>30</v>
      </c>
      <c r="B187" s="16" t="s">
        <v>31</v>
      </c>
      <c r="C187" s="141" t="s">
        <v>32</v>
      </c>
      <c r="D187" s="142"/>
      <c r="E187" s="16" t="s">
        <v>33</v>
      </c>
      <c r="F187" s="141" t="s">
        <v>34</v>
      </c>
      <c r="G187" s="142"/>
      <c r="H187" s="142"/>
      <c r="I187" s="159" t="s">
        <v>35</v>
      </c>
      <c r="J187" s="142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4" t="s">
        <v>36</v>
      </c>
      <c r="C189" s="100" t="s">
        <v>37</v>
      </c>
      <c r="D189" s="95"/>
      <c r="E189" s="24" t="s">
        <v>38</v>
      </c>
      <c r="F189" s="100" t="s">
        <v>39</v>
      </c>
      <c r="G189" s="95"/>
      <c r="H189" s="95"/>
      <c r="I189" s="96"/>
      <c r="J189" s="95"/>
    </row>
    <row r="190" spans="1:10" ht="16.5" customHeight="1">
      <c r="A190" s="22">
        <v>1</v>
      </c>
      <c r="B190" s="25" t="s">
        <v>36</v>
      </c>
      <c r="C190" s="100" t="s">
        <v>37</v>
      </c>
      <c r="D190" s="95"/>
      <c r="E190" s="24" t="s">
        <v>40</v>
      </c>
      <c r="F190" s="100" t="s">
        <v>41</v>
      </c>
      <c r="G190" s="95"/>
      <c r="H190" s="95"/>
      <c r="I190" s="96"/>
      <c r="J190" s="95"/>
    </row>
    <row r="191" spans="1:10" ht="16.5" customHeight="1">
      <c r="A191" s="22"/>
      <c r="B191" s="25"/>
      <c r="C191" s="100"/>
      <c r="D191" s="95"/>
      <c r="E191" s="24"/>
      <c r="F191" s="100"/>
      <c r="G191" s="95"/>
      <c r="H191" s="95"/>
      <c r="I191" s="96"/>
      <c r="J191" s="95"/>
    </row>
    <row r="192" spans="1:10" ht="16.5" customHeight="1">
      <c r="A192" s="22"/>
      <c r="B192" s="25"/>
      <c r="C192" s="100"/>
      <c r="D192" s="95"/>
      <c r="E192" s="24"/>
      <c r="F192" s="100"/>
      <c r="G192" s="95"/>
      <c r="H192" s="95"/>
      <c r="I192" s="96"/>
      <c r="J192" s="95"/>
    </row>
    <row r="193" spans="1:10" ht="16.5" customHeight="1">
      <c r="A193" s="22"/>
      <c r="B193" s="25"/>
      <c r="C193" s="100"/>
      <c r="D193" s="95"/>
      <c r="E193" s="24"/>
      <c r="F193" s="100"/>
      <c r="G193" s="95"/>
      <c r="H193" s="95"/>
      <c r="I193" s="96"/>
      <c r="J193" s="95"/>
    </row>
    <row r="194" spans="1:10" ht="16.5" customHeight="1">
      <c r="A194" s="22"/>
      <c r="B194" s="25"/>
      <c r="C194" s="100"/>
      <c r="D194" s="95"/>
      <c r="E194" s="24"/>
      <c r="F194" s="100"/>
      <c r="G194" s="95"/>
      <c r="H194" s="95"/>
      <c r="I194" s="96"/>
      <c r="J194" s="95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10" t="s">
        <v>42</v>
      </c>
      <c r="B196" s="111"/>
      <c r="C196" s="110" t="s">
        <v>43</v>
      </c>
      <c r="D196" s="111"/>
      <c r="E196" s="111"/>
      <c r="F196" s="17" t="s">
        <v>44</v>
      </c>
      <c r="G196" s="110" t="s">
        <v>45</v>
      </c>
      <c r="H196" s="111"/>
      <c r="I196" s="110" t="s">
        <v>46</v>
      </c>
      <c r="J196" s="111"/>
    </row>
    <row r="197" spans="1:10" ht="14.25" customHeight="1">
      <c r="A197" s="8"/>
      <c r="B197" s="18"/>
      <c r="C197" s="145" t="s">
        <v>47</v>
      </c>
      <c r="D197" s="146"/>
      <c r="E197" s="18"/>
      <c r="F197" s="145" t="s">
        <v>29</v>
      </c>
      <c r="G197" s="146"/>
      <c r="H197" s="146"/>
      <c r="I197" s="146"/>
      <c r="J197" s="146"/>
    </row>
    <row r="198" spans="1:10">
      <c r="A198" s="9"/>
      <c r="C198" s="7"/>
      <c r="D198" s="7"/>
      <c r="E198" s="7"/>
    </row>
    <row r="199" spans="1:10" ht="14.25" customHeight="1">
      <c r="A199" s="100" t="s">
        <v>48</v>
      </c>
      <c r="B199" s="95"/>
      <c r="C199" s="100" t="s">
        <v>49</v>
      </c>
      <c r="D199" s="95"/>
      <c r="E199" s="95"/>
      <c r="F199" s="26" t="s">
        <v>27</v>
      </c>
      <c r="G199" s="99">
        <v>133.19999999999999</v>
      </c>
      <c r="H199" s="95"/>
      <c r="I199" s="99">
        <v>1.3320000000000001</v>
      </c>
      <c r="J199" s="95"/>
    </row>
    <row r="200" spans="1:10" ht="24.95" customHeight="1">
      <c r="A200" s="102" t="s">
        <v>50</v>
      </c>
      <c r="B200" s="95"/>
      <c r="C200" s="100"/>
      <c r="D200" s="95"/>
      <c r="E200" s="95"/>
      <c r="F200" s="100"/>
      <c r="G200" s="95"/>
      <c r="H200" s="95"/>
      <c r="I200" s="95"/>
      <c r="J200" s="95"/>
    </row>
    <row r="201" spans="1:10" ht="14.25" customHeight="1">
      <c r="A201" s="154" t="s">
        <v>120</v>
      </c>
      <c r="B201" s="95"/>
      <c r="C201" s="100" t="s">
        <v>81</v>
      </c>
      <c r="D201" s="95"/>
      <c r="E201" s="95"/>
      <c r="F201" s="26" t="s">
        <v>53</v>
      </c>
      <c r="G201" s="99">
        <v>4</v>
      </c>
      <c r="H201" s="95"/>
      <c r="I201" s="99">
        <v>0.04</v>
      </c>
      <c r="J201" s="95"/>
    </row>
    <row r="202" spans="1:10" ht="24.95" customHeight="1">
      <c r="A202" s="102" t="s">
        <v>82</v>
      </c>
      <c r="B202" s="95"/>
      <c r="C202" s="100" t="s">
        <v>83</v>
      </c>
      <c r="D202" s="95"/>
      <c r="E202" s="95"/>
      <c r="F202" s="100"/>
      <c r="G202" s="95"/>
      <c r="H202" s="95"/>
      <c r="I202" s="95"/>
      <c r="J202" s="95"/>
    </row>
    <row r="203" spans="1:10" ht="14.25" customHeight="1">
      <c r="A203" s="100" t="s">
        <v>56</v>
      </c>
      <c r="B203" s="95"/>
      <c r="C203" s="100" t="s">
        <v>57</v>
      </c>
      <c r="D203" s="95"/>
      <c r="E203" s="95"/>
      <c r="F203" s="26"/>
      <c r="G203" s="99">
        <v>0.4</v>
      </c>
      <c r="H203" s="95"/>
      <c r="I203" s="99">
        <v>4.0000000000000001E-3</v>
      </c>
      <c r="J203" s="95"/>
    </row>
    <row r="204" spans="1:10" ht="24.95" customHeight="1">
      <c r="A204" s="102" t="s">
        <v>58</v>
      </c>
      <c r="B204" s="95"/>
      <c r="C204" s="100" t="s">
        <v>59</v>
      </c>
      <c r="D204" s="95"/>
      <c r="E204" s="95"/>
      <c r="F204" s="100"/>
      <c r="G204" s="95"/>
      <c r="H204" s="95"/>
      <c r="I204" s="95"/>
      <c r="J204" s="95"/>
    </row>
    <row r="205" spans="1:10" ht="14.25" customHeight="1">
      <c r="A205" s="100" t="s">
        <v>60</v>
      </c>
      <c r="B205" s="95"/>
      <c r="C205" s="100" t="s">
        <v>61</v>
      </c>
      <c r="D205" s="95"/>
      <c r="E205" s="95"/>
      <c r="F205" s="26"/>
      <c r="G205" s="99">
        <v>0.4</v>
      </c>
      <c r="H205" s="95"/>
      <c r="I205" s="99">
        <v>4.0000000000000001E-3</v>
      </c>
      <c r="J205" s="95"/>
    </row>
    <row r="206" spans="1:10" ht="24.95" customHeight="1">
      <c r="A206" s="102" t="s">
        <v>62</v>
      </c>
      <c r="B206" s="95"/>
      <c r="C206" s="100" t="s">
        <v>63</v>
      </c>
      <c r="D206" s="95"/>
      <c r="E206" s="95"/>
      <c r="F206" s="100"/>
      <c r="G206" s="95"/>
      <c r="H206" s="95"/>
      <c r="I206" s="95"/>
      <c r="J206" s="95"/>
    </row>
    <row r="207" spans="1:10" ht="14.25" customHeight="1">
      <c r="A207" s="100"/>
      <c r="B207" s="95"/>
      <c r="C207" s="100"/>
      <c r="D207" s="95"/>
      <c r="E207" s="95"/>
      <c r="F207" s="26"/>
      <c r="G207" s="99"/>
      <c r="H207" s="95"/>
      <c r="I207" s="99"/>
      <c r="J207" s="95"/>
    </row>
    <row r="208" spans="1:10" ht="24.95" customHeight="1" thickBot="1">
      <c r="A208" s="102"/>
      <c r="B208" s="95"/>
      <c r="C208" s="100"/>
      <c r="D208" s="95"/>
      <c r="E208" s="95"/>
      <c r="F208" s="100"/>
      <c r="G208" s="95"/>
      <c r="H208" s="95"/>
      <c r="I208" s="95"/>
      <c r="J208" s="95"/>
    </row>
    <row r="209" spans="1:14" s="5" customFormat="1" ht="18" customHeight="1">
      <c r="A209" s="124" t="s">
        <v>122</v>
      </c>
      <c r="B209" s="125"/>
      <c r="C209" s="125"/>
      <c r="D209" s="125"/>
      <c r="E209" s="126" t="s">
        <v>123</v>
      </c>
      <c r="F209" s="127"/>
      <c r="G209" s="27" t="s">
        <v>124</v>
      </c>
      <c r="H209" s="104" t="s">
        <v>125</v>
      </c>
      <c r="I209" s="105"/>
      <c r="J209" s="28" t="s">
        <v>126</v>
      </c>
    </row>
    <row r="210" spans="1:14" s="7" customFormat="1" ht="18" customHeight="1">
      <c r="A210" s="136" t="str">
        <f>_xlfn.XLOOKUP(B174,[1]VFDB2!A:A,[1]VFDB2!B:B)</f>
        <v>8FL281304 4910　L=592</v>
      </c>
      <c r="B210" s="137"/>
      <c r="C210" s="137"/>
      <c r="D210" s="137"/>
      <c r="E210" s="88" t="str" cm="1">
        <f t="array" ref="E210">IFERROR(IF(ISBLANK(INDEX(_xlfn._xlws.FILTER([1]加工記録２!$C$3:$C$999991, [1]加工記録２!$T$3:$T$999991=B176), 6)), "", INDEX(_xlfn._xlws.FILTER([1]加工記録２!$C$3:$C$999991, [1]加工記録２!$T$3:$T$999991=B176), 6)),"")</f>
        <v>LED-A592</v>
      </c>
      <c r="F210" s="89"/>
      <c r="G210" s="140" cm="1">
        <f t="array" ref="G210">IFERROR(IF(ISBLANK(INDEX(_xlfn._xlws.FILTER([1]加工記録２!$C$3:$C$999991, [1]加工記録２!$T$3:$T$999991=B176), 7)), " ", INDEX(_xlfn._xlws.FILTER([1]加工記録２!$C$3:$C$999991, [1]加工記録２!$T$3:$T$999991=B176), 7))," ")</f>
        <v>4</v>
      </c>
      <c r="H210" s="29" t="s">
        <v>127</v>
      </c>
      <c r="I210" s="30" cm="1">
        <f t="array" ref="I210:J210">IFERROR(IF(ISBLANK(INDEX(_xlfn._xlws.FILTER([1]加工記録２!$O$3:$P$999991, [1]加工記録２!$T$3:$T$999991=B176), 1)), "", INDEX(_xlfn._xlws.FILTER([1]加工記録２!$O$3:$P$999991, [1]加工記録２!$T$3:$T$999991=B176), 1)),"")</f>
        <v>45937</v>
      </c>
      <c r="J210" s="31">
        <v>2</v>
      </c>
    </row>
    <row r="211" spans="1:14" s="5" customFormat="1" ht="18" customHeight="1">
      <c r="A211" s="138"/>
      <c r="B211" s="139"/>
      <c r="C211" s="139"/>
      <c r="D211" s="139"/>
      <c r="E211" s="88"/>
      <c r="F211" s="89"/>
      <c r="G211" s="140"/>
      <c r="H211" s="29" t="s">
        <v>128</v>
      </c>
      <c r="I211" s="32" cm="1">
        <f t="array" ref="I211:J211">IFERROR(IF(ISBLANK(INDEX(_xlfn._xlws.FILTER([1]加工記録２!$O$3:$P$999991, [1]加工記録２!$T$3:$T$999991=B176), 2)), "", INDEX(_xlfn._xlws.FILTER([1]加工記録２!$O$3:$P$999991, [1]加工記録２!$T$3:$T$999991=B176), 2)),"")</f>
        <v>400</v>
      </c>
      <c r="J211" s="33" t="str">
        <v/>
      </c>
      <c r="K211" s="34"/>
    </row>
    <row r="212" spans="1:14" s="7" customFormat="1" ht="18" customHeight="1">
      <c r="A212" s="118" t="s">
        <v>129</v>
      </c>
      <c r="B212" s="114" t="str">
        <f>_xlfn.XLOOKUP(B174,[1]VFDB2!A:A,[1]VFDB2!J:J)</f>
        <v>〇</v>
      </c>
      <c r="C212" s="116" t="s">
        <v>130</v>
      </c>
      <c r="D212" s="97">
        <f>_xlfn.XLOOKUP(B174,[1]VFDB2!A:A,[1]VFDB2!P:P)</f>
        <v>3</v>
      </c>
      <c r="E212" s="88" t="str">
        <f>_xlfn.XLOOKUP(B174,[1]VFDB2!A:A,[1]VFDB2!V:V)</f>
        <v>1箱目の梱包数 目視確認　以降、重量測定</v>
      </c>
      <c r="F212" s="89"/>
      <c r="G212" s="90"/>
      <c r="H212" s="35" t="s">
        <v>131</v>
      </c>
      <c r="I212" s="32" cm="1">
        <f t="array" ref="I212:J212">IFERROR(IF(ISBLANK(INDEX(_xlfn._xlws.FILTER([1]加工記録２!$O$3:$P$999991, [1]加工記録２!$T$3:$T$999991=B176), 3)), "", INDEX(_xlfn._xlws.FILTER([1]加工記録２!$O$3:$P$999991, [1]加工記録２!$T$3:$T$999991=B176), 3)),"")</f>
        <v>118</v>
      </c>
      <c r="J212" s="36">
        <v>1</v>
      </c>
      <c r="K212" s="37"/>
    </row>
    <row r="213" spans="1:14" s="5" customFormat="1" ht="18" customHeight="1">
      <c r="A213" s="128"/>
      <c r="B213" s="115"/>
      <c r="C213" s="117"/>
      <c r="D213" s="98"/>
      <c r="E213" s="88"/>
      <c r="F213" s="89"/>
      <c r="G213" s="90"/>
      <c r="H213" s="35" t="s">
        <v>132</v>
      </c>
      <c r="I213" s="32" cm="1">
        <f t="array" ref="I213:J213">IFERROR(IF(ISBLANK(INDEX(_xlfn._xlws.FILTER([1]加工記録２!$O$3:$P$999991, [1]加工記録２!$T$3:$T$999991=B176), 4)), "", INDEX(_xlfn._xlws.FILTER([1]加工記録２!$O$3:$P$999991, [1]加工記録２!$T$3:$T$999991=B176), 4)),"")</f>
        <v>2</v>
      </c>
      <c r="J213" s="38" t="str">
        <v/>
      </c>
      <c r="K213" s="34"/>
    </row>
    <row r="214" spans="1:14" s="7" customFormat="1" ht="18" customHeight="1">
      <c r="A214" s="129" t="s">
        <v>133</v>
      </c>
      <c r="B214" s="131">
        <f>D174</f>
        <v>592</v>
      </c>
      <c r="C214" s="133" t="s">
        <v>134</v>
      </c>
      <c r="D214" s="106" t="str">
        <f>_xlfn.XLOOKUP(B174,[1]VFDB2!A:A,[1]VFDB2!L:L)</f>
        <v>+0</v>
      </c>
      <c r="E214" s="88" t="str">
        <f>_xlfn.XLOOKUP(B174,[1]VFDB2!A:A,[1]VFDB2!W:W)</f>
        <v>クラフト紙：592型</v>
      </c>
      <c r="F214" s="89"/>
      <c r="G214" s="90"/>
      <c r="H214" s="35" t="s">
        <v>135</v>
      </c>
      <c r="I214" s="32" cm="1">
        <f t="array" ref="I214:J214">IFERROR(IF(ISBLANK(INDEX(_xlfn._xlws.FILTER([1]加工記録２!$O$3:$P$999991, [1]加工記録２!$T$3:$T$999991=B176), 5)), "", INDEX(_xlfn._xlws.FILTER([1]加工記録２!$O$3:$P$999991, [1]加工記録２!$T$3:$T$999991=B176), 5)),"")</f>
        <v>4</v>
      </c>
      <c r="J214" s="39" t="str">
        <v/>
      </c>
      <c r="K214" s="37"/>
    </row>
    <row r="215" spans="1:14" s="5" customFormat="1" ht="18" customHeight="1">
      <c r="A215" s="130"/>
      <c r="B215" s="132"/>
      <c r="C215" s="134"/>
      <c r="D215" s="135"/>
      <c r="E215" s="88"/>
      <c r="F215" s="89"/>
      <c r="G215" s="90"/>
      <c r="H215" s="35" t="s">
        <v>136</v>
      </c>
      <c r="I215" s="32" cm="1">
        <f t="array" ref="I215:J215">IFERROR(IF(ISBLANK(INDEX(_xlfn._xlws.FILTER([1]加工記録２!$O$3:$P$999991, [1]加工記録２!$T$3:$T$999991=B176), 6)), "", INDEX(_xlfn._xlws.FILTER([1]加工記録２!$O$3:$P$999991, [1]加工記録２!$T$3:$T$999991=B176), 6)),"")</f>
        <v>50</v>
      </c>
      <c r="J215" s="40" t="str">
        <v/>
      </c>
      <c r="K215" s="34"/>
    </row>
    <row r="216" spans="1:14" s="7" customFormat="1" ht="18" customHeight="1">
      <c r="A216" s="118" t="s">
        <v>137</v>
      </c>
      <c r="B216" s="120" t="str">
        <f>_xlfn.XLOOKUP(B174,[1]VFDB2!A:A,[1]VFDB2!AC:AC)</f>
        <v>換算表確認</v>
      </c>
      <c r="C216" s="122" t="s">
        <v>138</v>
      </c>
      <c r="D216" s="106" t="str">
        <f>_xlfn.XLOOKUP(B174,[1]VFDB2!A:A,[1]VFDB2!K:K)</f>
        <v>-1</v>
      </c>
      <c r="E216" s="88" t="str">
        <f>_xlfn.XLOOKUP(B174,[1]VFDB2!A:A,[1]VFDB2!R:R)</f>
        <v>ラベル１枚　長手無　鉢巻１回</v>
      </c>
      <c r="F216" s="89"/>
      <c r="G216" s="90"/>
      <c r="H216" s="35" t="s">
        <v>139</v>
      </c>
      <c r="I216" s="32" t="str" cm="1">
        <f t="array" ref="I216:J216">IFERROR(IF(ISBLANK(INDEX(_xlfn._xlws.FILTER([1]加工記録２!$O$3:$P$999991, [1]加工記録２!$T$3:$T$999991=B176), 7)), "", INDEX(_xlfn._xlws.FILTER([1]加工記録２!$O$3:$P$999991, [1]加工記録２!$T$3:$T$999991=B176), 7)),"")</f>
        <v>M</v>
      </c>
      <c r="J216" s="41">
        <v>1</v>
      </c>
      <c r="K216" s="37"/>
    </row>
    <row r="217" spans="1:14" s="5" customFormat="1" ht="18" customHeight="1" thickBot="1">
      <c r="A217" s="119"/>
      <c r="B217" s="121"/>
      <c r="C217" s="123"/>
      <c r="D217" s="107"/>
      <c r="E217" s="91"/>
      <c r="F217" s="92"/>
      <c r="G217" s="93"/>
      <c r="H217" s="42" t="s">
        <v>140</v>
      </c>
      <c r="I217" s="43" t="str" cm="1">
        <f t="array" ref="I217:J217">IFERROR(IF(ISBLANK(INDEX(_xlfn._xlws.FILTER([1]加工記録２!$O$3:$P$999991, [1]加工記録２!$T$3:$T$999991=B176), 8)), "", INDEX(_xlfn._xlws.FILTER([1]加工記録２!$O$3:$P$999991, [1]加工記録２!$T$3:$T$999991=B176), 8)),"")</f>
        <v>T/U</v>
      </c>
      <c r="J217" s="44">
        <v>4</v>
      </c>
    </row>
    <row r="218" spans="1:14" s="55" customFormat="1" ht="18.95" customHeight="1">
      <c r="A218" s="45" t="s">
        <v>141</v>
      </c>
      <c r="B218" s="46" t="s">
        <v>142</v>
      </c>
      <c r="C218" s="47" t="s">
        <v>143</v>
      </c>
      <c r="D218" s="47" t="s">
        <v>144</v>
      </c>
      <c r="E218" s="48" t="s">
        <v>145</v>
      </c>
      <c r="F218" s="49" t="s">
        <v>146</v>
      </c>
      <c r="G218" s="50" t="s">
        <v>147</v>
      </c>
      <c r="H218" s="51" t="s">
        <v>148</v>
      </c>
      <c r="I218" s="52" t="s">
        <v>149</v>
      </c>
      <c r="J218" s="53" t="s">
        <v>150</v>
      </c>
      <c r="K218" s="54"/>
      <c r="L218" s="54"/>
      <c r="M218" s="54"/>
      <c r="N218" s="54"/>
    </row>
    <row r="219" spans="1:14" s="66" customFormat="1" ht="18.95" customHeight="1">
      <c r="A219" s="56" cm="1">
        <f t="array" ref="A219:J219">IFERROR(IF(ISBLANK(INDEX(_xlfn._xlws.FILTER([1]加工記録２!$D$3:$M$999991, [1]加工記録２!$T$3:$T$999991=B176), 1)), "", INDEX(_xlfn._xlws.FILTER([1]加工記録２!$D$3:$M$999991, [1]加工記録２!$T$3:$T$999991=B176), 1)),"")</f>
        <v>45929</v>
      </c>
      <c r="B219" s="57" t="str">
        <v>25I20-08</v>
      </c>
      <c r="C219" s="58" t="str">
        <v/>
      </c>
      <c r="D219" s="58" t="str">
        <v/>
      </c>
      <c r="E219" s="59" t="str">
        <v/>
      </c>
      <c r="F219" s="60" t="str">
        <v>25I20-08</v>
      </c>
      <c r="G219" s="61">
        <v>0</v>
      </c>
      <c r="H219" s="62">
        <v>0</v>
      </c>
      <c r="I219" s="63">
        <v>45937</v>
      </c>
      <c r="J219" s="64">
        <v>4</v>
      </c>
      <c r="K219" s="65"/>
      <c r="L219" s="65"/>
      <c r="M219" s="65"/>
      <c r="N219" s="65"/>
    </row>
    <row r="220" spans="1:14" s="66" customFormat="1" ht="18.95" customHeight="1">
      <c r="A220" s="67" cm="1">
        <f t="array" ref="A220:J220">IFERROR(IF(ISBLANK(INDEX(_xlfn._xlws.FILTER([1]加工記録２!$D$3:$M$999991, [1]加工記録２!$T$3:$T$999991=B176), 2)), "", INDEX(_xlfn._xlws.FILTER([1]加工記録２!$D$3:$M$999991, [1]加工記録２!$T$3:$T$999991=B176), 2)),"")</f>
        <v>45933</v>
      </c>
      <c r="B220" s="68" t="str">
        <v>25I24-12</v>
      </c>
      <c r="C220" s="68">
        <v>26</v>
      </c>
      <c r="D220" s="68">
        <v>592.23</v>
      </c>
      <c r="E220" s="69">
        <v>591.72</v>
      </c>
      <c r="F220" s="70" t="str">
        <v>25I24-12</v>
      </c>
      <c r="G220" s="71">
        <v>352</v>
      </c>
      <c r="H220" s="72">
        <v>118</v>
      </c>
      <c r="I220" s="63" t="str">
        <v/>
      </c>
      <c r="J220" s="64" t="str">
        <v/>
      </c>
      <c r="K220" s="65"/>
      <c r="L220" s="65"/>
      <c r="M220" s="65"/>
      <c r="N220" s="65"/>
    </row>
    <row r="221" spans="1:14" s="66" customFormat="1" ht="18.95" customHeight="1">
      <c r="A221" s="67" cm="1">
        <f t="array" ref="A221:J221">IFERROR(IF(ISBLANK(INDEX(_xlfn._xlws.FILTER([1]加工記録２!$D$3:$M$999991, [1]加工記録２!$T$3:$T$999991=B176), 3)), "", INDEX(_xlfn._xlws.FILTER([1]加工記録２!$D$3:$M$999991, [1]加工記録２!$T$3:$T$999991=B176), 3)),"")</f>
        <v>45933</v>
      </c>
      <c r="B221" s="68" t="str">
        <v>25I24-12</v>
      </c>
      <c r="C221" s="68">
        <v>26</v>
      </c>
      <c r="D221" s="68">
        <v>592.23</v>
      </c>
      <c r="E221" s="69">
        <v>591.97</v>
      </c>
      <c r="F221" s="70" t="str">
        <v/>
      </c>
      <c r="G221" s="71" t="str">
        <v/>
      </c>
      <c r="H221" s="72">
        <v>0</v>
      </c>
      <c r="I221" s="63" t="str">
        <v/>
      </c>
      <c r="J221" s="64" t="str">
        <v/>
      </c>
      <c r="K221" s="65"/>
      <c r="L221" s="65"/>
      <c r="M221" s="65"/>
      <c r="N221" s="65"/>
    </row>
    <row r="222" spans="1:14" s="66" customFormat="1" ht="18.95" customHeight="1">
      <c r="A222" s="67" t="str" cm="1">
        <f t="array" ref="A222:J222">IFERROR(IF(ISBLANK(INDEX(_xlfn._xlws.FILTER([1]加工記録２!$D$3:$M$999991, [1]加工記録２!$T$3:$T$999991=B176), 4)), "", INDEX(_xlfn._xlws.FILTER([1]加工記録２!$D$3:$M$999991, [1]加工記録２!$T$3:$T$999991=B176), 4)),"")</f>
        <v/>
      </c>
      <c r="B222" s="68" t="str">
        <v/>
      </c>
      <c r="C222" s="68" t="str">
        <v/>
      </c>
      <c r="D222" s="68" t="str">
        <v/>
      </c>
      <c r="E222" s="69" t="str">
        <v/>
      </c>
      <c r="F222" s="70" t="str">
        <v/>
      </c>
      <c r="G222" s="71" t="str">
        <v/>
      </c>
      <c r="H222" s="72">
        <v>0</v>
      </c>
      <c r="I222" s="63" t="str">
        <v/>
      </c>
      <c r="J222" s="64" t="str">
        <v/>
      </c>
      <c r="K222" s="65"/>
      <c r="L222" s="65"/>
      <c r="M222" s="65"/>
      <c r="N222" s="65"/>
    </row>
    <row r="223" spans="1:14" s="66" customFormat="1" ht="18.95" customHeight="1">
      <c r="A223" s="67" t="str" cm="1">
        <f t="array" ref="A223:J223">IFERROR(IF(ISBLANK(INDEX(_xlfn._xlws.FILTER([1]加工記録２!$D$3:$M$999991, [1]加工記録２!$T$3:$T$999991=B176), 5)), "", INDEX(_xlfn._xlws.FILTER([1]加工記録２!$D$3:$M$999991, [1]加工記録２!$T$3:$T$999991=B176), 5)),"")</f>
        <v/>
      </c>
      <c r="B223" s="68" t="str">
        <v/>
      </c>
      <c r="C223" s="68" t="str">
        <v/>
      </c>
      <c r="D223" s="68" t="str">
        <v/>
      </c>
      <c r="E223" s="69" t="str">
        <v/>
      </c>
      <c r="F223" s="70" t="str">
        <v/>
      </c>
      <c r="G223" s="71" t="str">
        <v/>
      </c>
      <c r="H223" s="72">
        <v>0</v>
      </c>
      <c r="I223" s="73" t="str">
        <v/>
      </c>
      <c r="J223" s="74" t="str">
        <v/>
      </c>
      <c r="K223" s="65"/>
      <c r="L223" s="65"/>
      <c r="M223" s="65"/>
      <c r="N223" s="65"/>
    </row>
    <row r="224" spans="1:14" s="66" customFormat="1" ht="18.95" customHeight="1">
      <c r="A224" s="67" t="str" cm="1">
        <f t="array" ref="A224:J224">IFERROR(IF(ISBLANK(INDEX(_xlfn._xlws.FILTER([1]加工記録２!$D$3:$M$999991, [1]加工記録２!$T$3:$T$999991=B176), 6)), "", INDEX(_xlfn._xlws.FILTER([1]加工記録２!$D$3:$M$999991, [1]加工記録２!$T$3:$T$999991=B176), 6)),"")</f>
        <v/>
      </c>
      <c r="B224" s="68" t="str">
        <v/>
      </c>
      <c r="C224" s="68" t="str">
        <v/>
      </c>
      <c r="D224" s="68" t="str">
        <v/>
      </c>
      <c r="E224" s="69" t="str">
        <v/>
      </c>
      <c r="F224" s="70" t="str">
        <v/>
      </c>
      <c r="G224" s="71" t="str">
        <v/>
      </c>
      <c r="H224" s="75">
        <v>0</v>
      </c>
      <c r="I224" s="76" t="str">
        <v>旧品加工</v>
      </c>
      <c r="J224" s="77">
        <v>2</v>
      </c>
      <c r="K224" s="65"/>
      <c r="L224" s="65"/>
      <c r="M224" s="65"/>
      <c r="N224" s="65"/>
    </row>
    <row r="225" spans="1:14" s="66" customFormat="1" ht="18.95" customHeight="1">
      <c r="A225" s="67" t="str" cm="1">
        <f t="array" ref="A225:J225">IFERROR(IF(ISBLANK(INDEX(_xlfn._xlws.FILTER([1]加工記録２!$D$3:$M$999991, [1]加工記録２!$T$3:$T$999991=B176), 7)), "", INDEX(_xlfn._xlws.FILTER([1]加工記録２!$D$3:$M$999991, [1]加工記録２!$T$3:$T$999991=B176), 7)),"")</f>
        <v/>
      </c>
      <c r="B225" s="68" t="str">
        <v/>
      </c>
      <c r="C225" s="68" t="str">
        <v/>
      </c>
      <c r="D225" s="68" t="str">
        <v/>
      </c>
      <c r="E225" s="69" t="str">
        <v/>
      </c>
      <c r="F225" s="70" t="str">
        <v/>
      </c>
      <c r="G225" s="71" t="str">
        <v/>
      </c>
      <c r="H225" s="75">
        <v>0</v>
      </c>
      <c r="I225" s="78" t="str">
        <v>持出端材</v>
      </c>
      <c r="J225" s="79">
        <v>48</v>
      </c>
      <c r="K225" s="65"/>
      <c r="L225" s="65"/>
      <c r="M225" s="65"/>
      <c r="N225" s="65"/>
    </row>
    <row r="226" spans="1:14" s="66" customFormat="1" ht="18.95" customHeight="1" thickBot="1">
      <c r="A226" s="80" t="str" cm="1">
        <f t="array" ref="A226:J226">IFERROR(IF(ISBLANK(INDEX(_xlfn._xlws.FILTER([1]加工記録２!$D$3:$M$999991, [1]加工記録２!$T$3:$T$999991=B176), 8)), "", INDEX(_xlfn._xlws.FILTER([1]加工記録２!$D$3:$M$999991, [1]加工記録２!$T$3:$T$999991=B176), 8)),"")</f>
        <v/>
      </c>
      <c r="B226" s="81" t="str">
        <v/>
      </c>
      <c r="C226" s="81" t="str">
        <v/>
      </c>
      <c r="D226" s="81" t="str">
        <v/>
      </c>
      <c r="E226" s="82" t="str">
        <v/>
      </c>
      <c r="F226" s="83" t="str">
        <v/>
      </c>
      <c r="G226" s="84" t="str">
        <v/>
      </c>
      <c r="H226" s="85">
        <v>0</v>
      </c>
      <c r="I226" s="86" t="str">
        <v>α端材</v>
      </c>
      <c r="J226" s="87">
        <v>2</v>
      </c>
      <c r="K226" s="65"/>
      <c r="L226" s="65"/>
      <c r="M226" s="65"/>
      <c r="N226" s="65"/>
    </row>
    <row r="227" spans="1:14" ht="6" customHeight="1" thickBot="1"/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63" t="s">
        <v>0</v>
      </c>
      <c r="C229" s="95"/>
      <c r="D229" s="95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95"/>
      <c r="C230" s="95"/>
      <c r="D230" s="95"/>
      <c r="E230" s="12"/>
      <c r="F230" s="12"/>
      <c r="G230" s="12"/>
      <c r="H230" s="12"/>
      <c r="I230" s="12"/>
      <c r="J230" s="12"/>
    </row>
    <row r="231" spans="1:14" ht="14.25" customHeight="1">
      <c r="A231" s="109" t="s">
        <v>1</v>
      </c>
      <c r="B231" s="109" t="s">
        <v>84</v>
      </c>
      <c r="C231" s="109" t="s">
        <v>3</v>
      </c>
      <c r="D231" s="94">
        <v>748</v>
      </c>
      <c r="E231" s="109" t="s">
        <v>4</v>
      </c>
      <c r="F231" s="151" t="s">
        <v>85</v>
      </c>
      <c r="G231" s="95"/>
      <c r="H231" s="148"/>
      <c r="I231" s="13" t="s">
        <v>6</v>
      </c>
      <c r="J231" s="13" t="s">
        <v>7</v>
      </c>
    </row>
    <row r="232" spans="1:14" ht="14.25" customHeight="1">
      <c r="A232" s="95"/>
      <c r="B232" s="95"/>
      <c r="C232" s="95"/>
      <c r="D232" s="95"/>
      <c r="E232" s="95"/>
      <c r="F232" s="95"/>
      <c r="G232" s="95"/>
      <c r="H232" s="148"/>
      <c r="I232" s="143"/>
      <c r="J232" s="143"/>
    </row>
    <row r="233" spans="1:14" ht="17.45" customHeight="1">
      <c r="A233" s="103" t="s">
        <v>8</v>
      </c>
      <c r="B233" s="103" t="s">
        <v>86</v>
      </c>
      <c r="E233" s="103" t="s">
        <v>10</v>
      </c>
      <c r="F233" s="153" t="s">
        <v>87</v>
      </c>
      <c r="G233" s="95"/>
      <c r="H233" s="148"/>
      <c r="I233" s="144"/>
      <c r="J233" s="144"/>
    </row>
    <row r="234" spans="1:14" ht="17.45" customHeight="1">
      <c r="A234" s="95"/>
      <c r="B234" s="95"/>
      <c r="E234" s="95"/>
      <c r="F234" s="95"/>
      <c r="G234" s="95"/>
      <c r="H234" s="148"/>
      <c r="I234" s="14"/>
      <c r="J234" s="14"/>
    </row>
    <row r="235" spans="1:14" ht="17.45" customHeight="1">
      <c r="A235" s="103" t="s">
        <v>12</v>
      </c>
      <c r="B235" s="103" t="s">
        <v>88</v>
      </c>
      <c r="E235" s="2" t="s">
        <v>14</v>
      </c>
      <c r="F235" s="101" t="s">
        <v>15</v>
      </c>
      <c r="G235" s="95"/>
      <c r="H235" s="21"/>
    </row>
    <row r="236" spans="1:14" ht="17.45" customHeight="1">
      <c r="A236" s="95"/>
      <c r="B236" s="95"/>
      <c r="E236" s="2" t="s">
        <v>16</v>
      </c>
      <c r="F236" s="21" t="s">
        <v>17</v>
      </c>
      <c r="G236" s="21"/>
      <c r="H236" s="21"/>
    </row>
    <row r="237" spans="1:14" ht="17.45" customHeight="1">
      <c r="A237" s="2" t="s">
        <v>18</v>
      </c>
      <c r="B237" s="4">
        <v>45931</v>
      </c>
      <c r="E237" s="2" t="s">
        <v>19</v>
      </c>
      <c r="F237" s="150">
        <v>100</v>
      </c>
      <c r="G237" s="95"/>
      <c r="H237" s="21"/>
    </row>
    <row r="238" spans="1:14" ht="17.45" customHeight="1">
      <c r="A238" s="2" t="s">
        <v>20</v>
      </c>
      <c r="B238" s="4">
        <v>45931</v>
      </c>
      <c r="E238" s="2" t="s">
        <v>21</v>
      </c>
      <c r="F238" s="21">
        <v>2</v>
      </c>
      <c r="G238" s="162" t="s">
        <v>22</v>
      </c>
      <c r="H238" s="155">
        <v>200</v>
      </c>
      <c r="I238" s="156"/>
      <c r="J238" s="157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58"/>
      <c r="H239" s="158"/>
      <c r="I239" s="146"/>
      <c r="J239" s="149"/>
    </row>
    <row r="240" spans="1:14" ht="13.5" customHeight="1">
      <c r="A240" s="108" t="s">
        <v>89</v>
      </c>
      <c r="B240" s="95"/>
      <c r="C240" s="95"/>
      <c r="D240" s="20"/>
      <c r="F240" s="3"/>
      <c r="G240" s="112" t="s">
        <v>26</v>
      </c>
      <c r="H240" s="152" t="s">
        <v>27</v>
      </c>
      <c r="I240" s="147" t="s">
        <v>28</v>
      </c>
      <c r="J240" s="148"/>
    </row>
    <row r="241" spans="1:10" ht="13.5" customHeight="1">
      <c r="A241" s="95"/>
      <c r="B241" s="95"/>
      <c r="C241" s="95"/>
      <c r="D241" s="20"/>
      <c r="F241" s="3"/>
      <c r="G241" s="113"/>
      <c r="H241" s="113"/>
      <c r="I241" s="146"/>
      <c r="J241" s="149"/>
    </row>
    <row r="242" spans="1:10" ht="13.5" customHeight="1">
      <c r="A242" s="1" t="s">
        <v>29</v>
      </c>
    </row>
    <row r="243" spans="1:10" ht="63" customHeight="1">
      <c r="A243" s="164"/>
      <c r="B243" s="165"/>
      <c r="C243" s="165"/>
      <c r="D243" s="165"/>
      <c r="E243" s="165"/>
      <c r="F243" s="165"/>
      <c r="G243" s="165"/>
      <c r="H243" s="165"/>
      <c r="I243" s="165"/>
      <c r="J243" s="165"/>
    </row>
    <row r="244" spans="1:10" ht="18.75">
      <c r="A244" s="23" t="s">
        <v>30</v>
      </c>
      <c r="B244" s="16" t="s">
        <v>31</v>
      </c>
      <c r="C244" s="141" t="s">
        <v>32</v>
      </c>
      <c r="D244" s="142"/>
      <c r="E244" s="16" t="s">
        <v>33</v>
      </c>
      <c r="F244" s="141" t="s">
        <v>34</v>
      </c>
      <c r="G244" s="142"/>
      <c r="H244" s="142"/>
      <c r="I244" s="159" t="s">
        <v>35</v>
      </c>
      <c r="J244" s="142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4" t="s">
        <v>36</v>
      </c>
      <c r="C246" s="100" t="s">
        <v>37</v>
      </c>
      <c r="D246" s="95"/>
      <c r="E246" s="24" t="s">
        <v>38</v>
      </c>
      <c r="F246" s="100" t="s">
        <v>39</v>
      </c>
      <c r="G246" s="95"/>
      <c r="H246" s="95"/>
      <c r="I246" s="96"/>
      <c r="J246" s="95"/>
    </row>
    <row r="247" spans="1:10" ht="16.5" customHeight="1">
      <c r="A247" s="22">
        <v>1</v>
      </c>
      <c r="B247" s="25" t="s">
        <v>36</v>
      </c>
      <c r="C247" s="100" t="s">
        <v>37</v>
      </c>
      <c r="D247" s="95"/>
      <c r="E247" s="24" t="s">
        <v>40</v>
      </c>
      <c r="F247" s="100" t="s">
        <v>41</v>
      </c>
      <c r="G247" s="95"/>
      <c r="H247" s="95"/>
      <c r="I247" s="96"/>
      <c r="J247" s="95"/>
    </row>
    <row r="248" spans="1:10" ht="16.5" customHeight="1">
      <c r="A248" s="22"/>
      <c r="B248" s="25"/>
      <c r="C248" s="100"/>
      <c r="D248" s="95"/>
      <c r="E248" s="24"/>
      <c r="F248" s="100"/>
      <c r="G248" s="95"/>
      <c r="H248" s="95"/>
      <c r="I248" s="96"/>
      <c r="J248" s="95"/>
    </row>
    <row r="249" spans="1:10" ht="16.5" customHeight="1">
      <c r="A249" s="22"/>
      <c r="B249" s="25"/>
      <c r="C249" s="100"/>
      <c r="D249" s="95"/>
      <c r="E249" s="24"/>
      <c r="F249" s="100"/>
      <c r="G249" s="95"/>
      <c r="H249" s="95"/>
      <c r="I249" s="96"/>
      <c r="J249" s="95"/>
    </row>
    <row r="250" spans="1:10" ht="16.5" customHeight="1">
      <c r="A250" s="22"/>
      <c r="B250" s="25"/>
      <c r="C250" s="100"/>
      <c r="D250" s="95"/>
      <c r="E250" s="24"/>
      <c r="F250" s="100"/>
      <c r="G250" s="95"/>
      <c r="H250" s="95"/>
      <c r="I250" s="96"/>
      <c r="J250" s="95"/>
    </row>
    <row r="251" spans="1:10" ht="16.5" customHeight="1">
      <c r="A251" s="22"/>
      <c r="B251" s="25"/>
      <c r="C251" s="100"/>
      <c r="D251" s="95"/>
      <c r="E251" s="24"/>
      <c r="F251" s="100"/>
      <c r="G251" s="95"/>
      <c r="H251" s="95"/>
      <c r="I251" s="96"/>
      <c r="J251" s="95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10" t="s">
        <v>42</v>
      </c>
      <c r="B253" s="111"/>
      <c r="C253" s="110" t="s">
        <v>43</v>
      </c>
      <c r="D253" s="111"/>
      <c r="E253" s="111"/>
      <c r="F253" s="17" t="s">
        <v>44</v>
      </c>
      <c r="G253" s="110" t="s">
        <v>45</v>
      </c>
      <c r="H253" s="111"/>
      <c r="I253" s="110" t="s">
        <v>46</v>
      </c>
      <c r="J253" s="111"/>
    </row>
    <row r="254" spans="1:10" ht="14.25" customHeight="1">
      <c r="A254" s="8"/>
      <c r="B254" s="18"/>
      <c r="C254" s="145" t="s">
        <v>47</v>
      </c>
      <c r="D254" s="146"/>
      <c r="E254" s="18"/>
      <c r="F254" s="145" t="s">
        <v>29</v>
      </c>
      <c r="G254" s="146"/>
      <c r="H254" s="146"/>
      <c r="I254" s="146"/>
      <c r="J254" s="146"/>
    </row>
    <row r="255" spans="1:10">
      <c r="A255" s="9"/>
      <c r="C255" s="7"/>
      <c r="D255" s="7"/>
      <c r="E255" s="7"/>
    </row>
    <row r="256" spans="1:10" ht="14.25" customHeight="1">
      <c r="A256" s="100" t="s">
        <v>48</v>
      </c>
      <c r="B256" s="95"/>
      <c r="C256" s="100" t="s">
        <v>49</v>
      </c>
      <c r="D256" s="95"/>
      <c r="E256" s="95"/>
      <c r="F256" s="26" t="s">
        <v>27</v>
      </c>
      <c r="G256" s="99">
        <v>100</v>
      </c>
      <c r="H256" s="95"/>
      <c r="I256" s="99">
        <v>1</v>
      </c>
      <c r="J256" s="95"/>
    </row>
    <row r="257" spans="1:11" ht="24.95" customHeight="1">
      <c r="A257" s="102" t="s">
        <v>50</v>
      </c>
      <c r="B257" s="95"/>
      <c r="C257" s="100"/>
      <c r="D257" s="95"/>
      <c r="E257" s="95"/>
      <c r="F257" s="100"/>
      <c r="G257" s="95"/>
      <c r="H257" s="95"/>
      <c r="I257" s="95"/>
      <c r="J257" s="95"/>
    </row>
    <row r="258" spans="1:11" ht="14.25" customHeight="1">
      <c r="A258" s="100" t="s">
        <v>90</v>
      </c>
      <c r="B258" s="95"/>
      <c r="C258" s="100" t="s">
        <v>91</v>
      </c>
      <c r="D258" s="95"/>
      <c r="E258" s="95"/>
      <c r="F258" s="26" t="s">
        <v>36</v>
      </c>
      <c r="G258" s="99">
        <v>2</v>
      </c>
      <c r="H258" s="95"/>
      <c r="I258" s="99">
        <v>0.02</v>
      </c>
      <c r="J258" s="95"/>
    </row>
    <row r="259" spans="1:11" ht="24.95" customHeight="1">
      <c r="A259" s="102" t="s">
        <v>92</v>
      </c>
      <c r="B259" s="95"/>
      <c r="C259" s="100" t="s">
        <v>93</v>
      </c>
      <c r="D259" s="95"/>
      <c r="E259" s="95"/>
      <c r="F259" s="100"/>
      <c r="G259" s="95"/>
      <c r="H259" s="95"/>
      <c r="I259" s="95"/>
      <c r="J259" s="95"/>
    </row>
    <row r="260" spans="1:11" ht="14.25" customHeight="1">
      <c r="A260" s="100" t="s">
        <v>56</v>
      </c>
      <c r="B260" s="95"/>
      <c r="C260" s="100" t="s">
        <v>57</v>
      </c>
      <c r="D260" s="95"/>
      <c r="E260" s="95"/>
      <c r="F260" s="26"/>
      <c r="G260" s="99">
        <v>0.2</v>
      </c>
      <c r="H260" s="95"/>
      <c r="I260" s="99">
        <v>2E-3</v>
      </c>
      <c r="J260" s="95"/>
    </row>
    <row r="261" spans="1:11" ht="24.95" customHeight="1">
      <c r="A261" s="102" t="s">
        <v>58</v>
      </c>
      <c r="B261" s="95"/>
      <c r="C261" s="100" t="s">
        <v>59</v>
      </c>
      <c r="D261" s="95"/>
      <c r="E261" s="95"/>
      <c r="F261" s="100"/>
      <c r="G261" s="95"/>
      <c r="H261" s="95"/>
      <c r="I261" s="95"/>
      <c r="J261" s="95"/>
    </row>
    <row r="262" spans="1:11" ht="14.25" customHeight="1">
      <c r="A262" s="100" t="s">
        <v>60</v>
      </c>
      <c r="B262" s="95"/>
      <c r="C262" s="100" t="s">
        <v>61</v>
      </c>
      <c r="D262" s="95"/>
      <c r="E262" s="95"/>
      <c r="F262" s="26"/>
      <c r="G262" s="99">
        <v>0.2</v>
      </c>
      <c r="H262" s="95"/>
      <c r="I262" s="99">
        <v>2E-3</v>
      </c>
      <c r="J262" s="95"/>
    </row>
    <row r="263" spans="1:11" ht="24.95" customHeight="1">
      <c r="A263" s="102" t="s">
        <v>62</v>
      </c>
      <c r="B263" s="95"/>
      <c r="C263" s="100" t="s">
        <v>63</v>
      </c>
      <c r="D263" s="95"/>
      <c r="E263" s="95"/>
      <c r="F263" s="100"/>
      <c r="G263" s="95"/>
      <c r="H263" s="95"/>
      <c r="I263" s="95"/>
      <c r="J263" s="95"/>
    </row>
    <row r="264" spans="1:11" ht="14.25" customHeight="1">
      <c r="A264" s="100"/>
      <c r="B264" s="95"/>
      <c r="C264" s="100"/>
      <c r="D264" s="95"/>
      <c r="E264" s="95"/>
      <c r="F264" s="26"/>
      <c r="G264" s="99"/>
      <c r="H264" s="95"/>
      <c r="I264" s="99"/>
      <c r="J264" s="95"/>
    </row>
    <row r="265" spans="1:11" ht="24.95" customHeight="1" thickBot="1">
      <c r="A265" s="102"/>
      <c r="B265" s="95"/>
      <c r="C265" s="100"/>
      <c r="D265" s="95"/>
      <c r="E265" s="95"/>
      <c r="F265" s="100"/>
      <c r="G265" s="95"/>
      <c r="H265" s="95"/>
      <c r="I265" s="95"/>
      <c r="J265" s="95"/>
    </row>
    <row r="266" spans="1:11" s="5" customFormat="1" ht="18" customHeight="1">
      <c r="A266" s="124" t="s">
        <v>122</v>
      </c>
      <c r="B266" s="125"/>
      <c r="C266" s="125"/>
      <c r="D266" s="125"/>
      <c r="E266" s="126" t="s">
        <v>123</v>
      </c>
      <c r="F266" s="127"/>
      <c r="G266" s="27" t="s">
        <v>124</v>
      </c>
      <c r="H266" s="104" t="s">
        <v>125</v>
      </c>
      <c r="I266" s="105"/>
      <c r="J266" s="28" t="s">
        <v>126</v>
      </c>
    </row>
    <row r="267" spans="1:11" s="7" customFormat="1" ht="18" customHeight="1">
      <c r="A267" s="136" t="str">
        <f>_xlfn.XLOOKUP(B231,[1]VFDB2!A:A,[1]VFDB2!B:B)</f>
        <v>8FL281304 8310　L=748</v>
      </c>
      <c r="B267" s="137"/>
      <c r="C267" s="137"/>
      <c r="D267" s="137"/>
      <c r="E267" s="88" t="str" cm="1">
        <f t="array" ref="E267">IFERROR(IF(ISBLANK(INDEX(_xlfn._xlws.FILTER([1]加工記録２!$C$3:$C$999991, [1]加工記録２!$T$3:$T$999991=B233), 6)), "", INDEX(_xlfn._xlws.FILTER([1]加工記録２!$C$3:$C$999991, [1]加工記録２!$T$3:$T$999991=B233), 6)),"")</f>
        <v/>
      </c>
      <c r="F267" s="89"/>
      <c r="G267" s="140" t="str" cm="1">
        <f t="array" ref="G267">IFERROR(IF(ISBLANK(INDEX(_xlfn._xlws.FILTER([1]加工記録２!$C$3:$C$999991, [1]加工記録２!$T$3:$T$999991=B233), 7)), " ", INDEX(_xlfn._xlws.FILTER([1]加工記録２!$C$3:$C$999991, [1]加工記録２!$T$3:$T$999991=B233), 7))," ")</f>
        <v xml:space="preserve"> </v>
      </c>
      <c r="H267" s="29" t="s">
        <v>127</v>
      </c>
      <c r="I267" s="30" t="str" cm="1">
        <f t="array" ref="I267">IFERROR(IF(ISBLANK(INDEX(_xlfn._xlws.FILTER([1]加工記録２!$O$3:$P$999991, [1]加工記録２!$T$3:$T$999991=B233), 1)), "", INDEX(_xlfn._xlws.FILTER([1]加工記録２!$O$3:$P$999991, [1]加工記録２!$T$3:$T$999991=B233), 1)),"")</f>
        <v/>
      </c>
      <c r="J267" s="31"/>
    </row>
    <row r="268" spans="1:11" s="5" customFormat="1" ht="18" customHeight="1">
      <c r="A268" s="138"/>
      <c r="B268" s="139"/>
      <c r="C268" s="139"/>
      <c r="D268" s="139"/>
      <c r="E268" s="88"/>
      <c r="F268" s="89"/>
      <c r="G268" s="140"/>
      <c r="H268" s="29" t="s">
        <v>128</v>
      </c>
      <c r="I268" s="32" t="str" cm="1">
        <f t="array" ref="I268">IFERROR(IF(ISBLANK(INDEX(_xlfn._xlws.FILTER([1]加工記録２!$O$3:$P$999991, [1]加工記録２!$T$3:$T$999991=B233), 2)), "", INDEX(_xlfn._xlws.FILTER([1]加工記録２!$O$3:$P$999991, [1]加工記録２!$T$3:$T$999991=B233), 2)),"")</f>
        <v/>
      </c>
      <c r="J268" s="33"/>
      <c r="K268" s="34"/>
    </row>
    <row r="269" spans="1:11" s="7" customFormat="1" ht="18" customHeight="1">
      <c r="A269" s="118" t="s">
        <v>129</v>
      </c>
      <c r="B269" s="114" t="str">
        <f>_xlfn.XLOOKUP(B231,[1]VFDB2!A:A,[1]VFDB2!J:J)</f>
        <v>〇</v>
      </c>
      <c r="C269" s="116" t="s">
        <v>130</v>
      </c>
      <c r="D269" s="97">
        <f>_xlfn.XLOOKUP(B231,[1]VFDB2!A:A,[1]VFDB2!P:P)</f>
        <v>2</v>
      </c>
      <c r="E269" s="88" t="str">
        <f>_xlfn.XLOOKUP(B231,[1]VFDB2!A:A,[1]VFDB2!V:V)</f>
        <v>1箱目の梱包数 目視確認　以降、重量測定</v>
      </c>
      <c r="F269" s="89"/>
      <c r="G269" s="90"/>
      <c r="H269" s="35" t="s">
        <v>131</v>
      </c>
      <c r="I269" s="32" t="str" cm="1">
        <f t="array" ref="I269">IFERROR(IF(ISBLANK(INDEX(_xlfn._xlws.FILTER([1]加工記録２!$O$3:$P$999991, [1]加工記録２!$T$3:$T$999991=B233), 3)), "", INDEX(_xlfn._xlws.FILTER([1]加工記録２!$O$3:$P$999991, [1]加工記録２!$T$3:$T$999991=B233), 3)),"")</f>
        <v/>
      </c>
      <c r="J269" s="36"/>
      <c r="K269" s="37"/>
    </row>
    <row r="270" spans="1:11" s="5" customFormat="1" ht="18" customHeight="1">
      <c r="A270" s="128"/>
      <c r="B270" s="115"/>
      <c r="C270" s="117"/>
      <c r="D270" s="98"/>
      <c r="E270" s="88"/>
      <c r="F270" s="89"/>
      <c r="G270" s="90"/>
      <c r="H270" s="35" t="s">
        <v>132</v>
      </c>
      <c r="I270" s="32" t="str" cm="1">
        <f t="array" ref="I270">IFERROR(IF(ISBLANK(INDEX(_xlfn._xlws.FILTER([1]加工記録２!$O$3:$P$999991, [1]加工記録２!$T$3:$T$999991=B233), 4)), "", INDEX(_xlfn._xlws.FILTER([1]加工記録２!$O$3:$P$999991, [1]加工記録２!$T$3:$T$999991=B233), 4)),"")</f>
        <v/>
      </c>
      <c r="J270" s="38"/>
      <c r="K270" s="34"/>
    </row>
    <row r="271" spans="1:11" s="7" customFormat="1" ht="18" customHeight="1">
      <c r="A271" s="129" t="s">
        <v>133</v>
      </c>
      <c r="B271" s="131">
        <f>D231</f>
        <v>748</v>
      </c>
      <c r="C271" s="133" t="s">
        <v>134</v>
      </c>
      <c r="D271" s="106" t="str">
        <f>_xlfn.XLOOKUP(B231,[1]VFDB2!A:A,[1]VFDB2!L:L)</f>
        <v>+0.5</v>
      </c>
      <c r="E271" s="88" t="str">
        <f>_xlfn.XLOOKUP(B231,[1]VFDB2!A:A,[1]VFDB2!W:W)</f>
        <v>L=888用　クラフト紙</v>
      </c>
      <c r="F271" s="89"/>
      <c r="G271" s="90"/>
      <c r="H271" s="35" t="s">
        <v>135</v>
      </c>
      <c r="I271" s="32" t="str" cm="1">
        <f t="array" ref="I271">IFERROR(IF(ISBLANK(INDEX(_xlfn._xlws.FILTER([1]加工記録２!$O$3:$P$999991, [1]加工記録２!$T$3:$T$999991=B233), 5)), "", INDEX(_xlfn._xlws.FILTER([1]加工記録２!$O$3:$P$999991, [1]加工記録２!$T$3:$T$999991=B233), 5)),"")</f>
        <v/>
      </c>
      <c r="J271" s="39"/>
      <c r="K271" s="37"/>
    </row>
    <row r="272" spans="1:11" s="5" customFormat="1" ht="18" customHeight="1">
      <c r="A272" s="130"/>
      <c r="B272" s="132"/>
      <c r="C272" s="134"/>
      <c r="D272" s="135"/>
      <c r="E272" s="88"/>
      <c r="F272" s="89"/>
      <c r="G272" s="90"/>
      <c r="H272" s="35" t="s">
        <v>136</v>
      </c>
      <c r="I272" s="32" t="str" cm="1">
        <f t="array" ref="I272">IFERROR(IF(ISBLANK(INDEX(_xlfn._xlws.FILTER([1]加工記録２!$O$3:$P$999991, [1]加工記録２!$T$3:$T$999991=B233), 6)), "", INDEX(_xlfn._xlws.FILTER([1]加工記録２!$O$3:$P$999991, [1]加工記録２!$T$3:$T$999991=B233), 6)),"")</f>
        <v/>
      </c>
      <c r="J272" s="40"/>
      <c r="K272" s="34"/>
    </row>
    <row r="273" spans="1:14" s="7" customFormat="1" ht="18" customHeight="1">
      <c r="A273" s="118" t="s">
        <v>137</v>
      </c>
      <c r="B273" s="120" t="str">
        <f>_xlfn.XLOOKUP(B231,[1]VFDB2!A:A,[1]VFDB2!AC:AC)</f>
        <v>換算表確認</v>
      </c>
      <c r="C273" s="122" t="s">
        <v>138</v>
      </c>
      <c r="D273" s="106" t="str">
        <f>_xlfn.XLOOKUP(B231,[1]VFDB2!A:A,[1]VFDB2!K:K)</f>
        <v>－0.5</v>
      </c>
      <c r="E273" s="88" t="str">
        <f>_xlfn.XLOOKUP(B231,[1]VFDB2!A:A,[1]VFDB2!R:R)</f>
        <v>ラベル１枚　長手無　鉢巻１回</v>
      </c>
      <c r="F273" s="89"/>
      <c r="G273" s="90"/>
      <c r="H273" s="35" t="s">
        <v>139</v>
      </c>
      <c r="I273" s="32" t="str" cm="1">
        <f t="array" ref="I273">IFERROR(IF(ISBLANK(INDEX(_xlfn._xlws.FILTER([1]加工記録２!$O$3:$P$999991, [1]加工記録２!$T$3:$T$999991=B233), 7)), "", INDEX(_xlfn._xlws.FILTER([1]加工記録２!$O$3:$P$999991, [1]加工記録２!$T$3:$T$999991=B233), 7)),"")</f>
        <v/>
      </c>
      <c r="J273" s="41"/>
      <c r="K273" s="37"/>
    </row>
    <row r="274" spans="1:14" s="5" customFormat="1" ht="18" customHeight="1" thickBot="1">
      <c r="A274" s="119"/>
      <c r="B274" s="121"/>
      <c r="C274" s="123"/>
      <c r="D274" s="107"/>
      <c r="E274" s="91"/>
      <c r="F274" s="92"/>
      <c r="G274" s="93"/>
      <c r="H274" s="42" t="s">
        <v>140</v>
      </c>
      <c r="I274" s="43" t="str" cm="1">
        <f t="array" ref="I274">IFERROR(IF(ISBLANK(INDEX(_xlfn._xlws.FILTER([1]加工記録２!$O$3:$P$999991, [1]加工記録２!$T$3:$T$999991=B233), 8)), "", INDEX(_xlfn._xlws.FILTER([1]加工記録２!$O$3:$P$999991, [1]加工記録２!$T$3:$T$999991=B233), 8)),"")</f>
        <v/>
      </c>
      <c r="J274" s="44"/>
    </row>
    <row r="275" spans="1:14" s="55" customFormat="1" ht="18.95" customHeight="1">
      <c r="A275" s="45" t="s">
        <v>141</v>
      </c>
      <c r="B275" s="46" t="s">
        <v>142</v>
      </c>
      <c r="C275" s="47" t="s">
        <v>143</v>
      </c>
      <c r="D275" s="47" t="s">
        <v>144</v>
      </c>
      <c r="E275" s="48" t="s">
        <v>145</v>
      </c>
      <c r="F275" s="49" t="s">
        <v>146</v>
      </c>
      <c r="G275" s="50" t="s">
        <v>147</v>
      </c>
      <c r="H275" s="51" t="s">
        <v>148</v>
      </c>
      <c r="I275" s="52" t="s">
        <v>149</v>
      </c>
      <c r="J275" s="53" t="s">
        <v>150</v>
      </c>
      <c r="K275" s="54"/>
      <c r="L275" s="54"/>
      <c r="M275" s="54"/>
      <c r="N275" s="54"/>
    </row>
    <row r="276" spans="1:14" s="66" customFormat="1" ht="18.95" customHeight="1">
      <c r="A276" s="56" t="str" cm="1">
        <f t="array" ref="A276">IFERROR(IF(ISBLANK(INDEX(_xlfn._xlws.FILTER([1]加工記録２!$D$3:$M$999991, [1]加工記録２!$T$3:$T$999991=B233), 1)), "", INDEX(_xlfn._xlws.FILTER([1]加工記録２!$D$3:$M$999991, [1]加工記録２!$T$3:$T$999991=B233), 1)),"")</f>
        <v/>
      </c>
      <c r="B276" s="57"/>
      <c r="C276" s="58"/>
      <c r="D276" s="58"/>
      <c r="E276" s="59"/>
      <c r="F276" s="60"/>
      <c r="G276" s="61"/>
      <c r="H276" s="62"/>
      <c r="I276" s="63"/>
      <c r="J276" s="64"/>
      <c r="K276" s="65"/>
      <c r="L276" s="65"/>
      <c r="M276" s="65"/>
      <c r="N276" s="65"/>
    </row>
    <row r="277" spans="1:14" s="66" customFormat="1" ht="18.95" customHeight="1">
      <c r="A277" s="67" t="str" cm="1">
        <f t="array" ref="A277">IFERROR(IF(ISBLANK(INDEX(_xlfn._xlws.FILTER([1]加工記録２!$D$3:$M$999991, [1]加工記録２!$T$3:$T$999991=B233), 2)), "", INDEX(_xlfn._xlws.FILTER([1]加工記録２!$D$3:$M$999991, [1]加工記録２!$T$3:$T$999991=B233), 2)),"")</f>
        <v/>
      </c>
      <c r="B277" s="68"/>
      <c r="C277" s="68"/>
      <c r="D277" s="68"/>
      <c r="E277" s="69"/>
      <c r="F277" s="70"/>
      <c r="G277" s="71"/>
      <c r="H277" s="72"/>
      <c r="I277" s="63"/>
      <c r="J277" s="64"/>
      <c r="K277" s="65"/>
      <c r="L277" s="65"/>
      <c r="M277" s="65"/>
      <c r="N277" s="65"/>
    </row>
    <row r="278" spans="1:14" s="66" customFormat="1" ht="18.95" customHeight="1">
      <c r="A278" s="67" t="str" cm="1">
        <f t="array" ref="A278">IFERROR(IF(ISBLANK(INDEX(_xlfn._xlws.FILTER([1]加工記録２!$D$3:$M$999991, [1]加工記録２!$T$3:$T$999991=B233), 3)), "", INDEX(_xlfn._xlws.FILTER([1]加工記録２!$D$3:$M$999991, [1]加工記録２!$T$3:$T$999991=B233), 3)),"")</f>
        <v/>
      </c>
      <c r="B278" s="68"/>
      <c r="C278" s="68"/>
      <c r="D278" s="68"/>
      <c r="E278" s="69"/>
      <c r="F278" s="70"/>
      <c r="G278" s="71"/>
      <c r="H278" s="72"/>
      <c r="I278" s="63"/>
      <c r="J278" s="64"/>
      <c r="K278" s="65"/>
      <c r="L278" s="65"/>
      <c r="M278" s="65"/>
      <c r="N278" s="65"/>
    </row>
    <row r="279" spans="1:14" s="66" customFormat="1" ht="18.95" customHeight="1">
      <c r="A279" s="67" t="str" cm="1">
        <f t="array" ref="A279">IFERROR(IF(ISBLANK(INDEX(_xlfn._xlws.FILTER([1]加工記録２!$D$3:$M$999991, [1]加工記録２!$T$3:$T$999991=B233), 4)), "", INDEX(_xlfn._xlws.FILTER([1]加工記録２!$D$3:$M$999991, [1]加工記録２!$T$3:$T$999991=B233), 4)),"")</f>
        <v/>
      </c>
      <c r="B279" s="68"/>
      <c r="C279" s="68"/>
      <c r="D279" s="68"/>
      <c r="E279" s="69"/>
      <c r="F279" s="70"/>
      <c r="G279" s="71"/>
      <c r="H279" s="72"/>
      <c r="I279" s="63"/>
      <c r="J279" s="64"/>
      <c r="K279" s="65"/>
      <c r="L279" s="65"/>
      <c r="M279" s="65"/>
      <c r="N279" s="65"/>
    </row>
    <row r="280" spans="1:14" s="66" customFormat="1" ht="18.95" customHeight="1">
      <c r="A280" s="67" t="str" cm="1">
        <f t="array" ref="A280">IFERROR(IF(ISBLANK(INDEX(_xlfn._xlws.FILTER([1]加工記録２!$D$3:$M$999991, [1]加工記録２!$T$3:$T$999991=B233), 5)), "", INDEX(_xlfn._xlws.FILTER([1]加工記録２!$D$3:$M$999991, [1]加工記録２!$T$3:$T$999991=B233), 5)),"")</f>
        <v/>
      </c>
      <c r="B280" s="68"/>
      <c r="C280" s="68"/>
      <c r="D280" s="68"/>
      <c r="E280" s="69"/>
      <c r="F280" s="70"/>
      <c r="G280" s="71"/>
      <c r="H280" s="72"/>
      <c r="I280" s="73"/>
      <c r="J280" s="74"/>
      <c r="K280" s="65"/>
      <c r="L280" s="65"/>
      <c r="M280" s="65"/>
      <c r="N280" s="65"/>
    </row>
    <row r="281" spans="1:14" s="66" customFormat="1" ht="18.95" customHeight="1">
      <c r="A281" s="67" t="str" cm="1">
        <f t="array" ref="A281">IFERROR(IF(ISBLANK(INDEX(_xlfn._xlws.FILTER([1]加工記録２!$D$3:$M$999991, [1]加工記録２!$T$3:$T$999991=B233), 6)), "", INDEX(_xlfn._xlws.FILTER([1]加工記録２!$D$3:$M$999991, [1]加工記録２!$T$3:$T$999991=B233), 6)),"")</f>
        <v/>
      </c>
      <c r="B281" s="68"/>
      <c r="C281" s="68"/>
      <c r="D281" s="68"/>
      <c r="E281" s="69"/>
      <c r="F281" s="70"/>
      <c r="G281" s="71"/>
      <c r="H281" s="75"/>
      <c r="I281" s="76"/>
      <c r="J281" s="77"/>
      <c r="K281" s="65"/>
      <c r="L281" s="65"/>
      <c r="M281" s="65"/>
      <c r="N281" s="65"/>
    </row>
    <row r="282" spans="1:14" s="66" customFormat="1" ht="18.95" customHeight="1">
      <c r="A282" s="67" t="str" cm="1">
        <f t="array" ref="A282">IFERROR(IF(ISBLANK(INDEX(_xlfn._xlws.FILTER([1]加工記録２!$D$3:$M$999991, [1]加工記録２!$T$3:$T$999991=B233), 7)), "", INDEX(_xlfn._xlws.FILTER([1]加工記録２!$D$3:$M$999991, [1]加工記録２!$T$3:$T$999991=B233), 7)),"")</f>
        <v/>
      </c>
      <c r="B282" s="68"/>
      <c r="C282" s="68"/>
      <c r="D282" s="68"/>
      <c r="E282" s="69"/>
      <c r="F282" s="70"/>
      <c r="G282" s="71"/>
      <c r="H282" s="75"/>
      <c r="I282" s="78"/>
      <c r="J282" s="79"/>
      <c r="K282" s="65"/>
      <c r="L282" s="65"/>
      <c r="M282" s="65"/>
      <c r="N282" s="65"/>
    </row>
    <row r="283" spans="1:14" s="66" customFormat="1" ht="18.95" customHeight="1" thickBot="1">
      <c r="A283" s="80" t="str" cm="1">
        <f t="array" ref="A283">IFERROR(IF(ISBLANK(INDEX(_xlfn._xlws.FILTER([1]加工記録２!$D$3:$M$999991, [1]加工記録２!$T$3:$T$999991=B233), 8)), "", INDEX(_xlfn._xlws.FILTER([1]加工記録２!$D$3:$M$999991, [1]加工記録２!$T$3:$T$999991=B233), 8)),"")</f>
        <v/>
      </c>
      <c r="B283" s="81"/>
      <c r="C283" s="81"/>
      <c r="D283" s="81"/>
      <c r="E283" s="82"/>
      <c r="F283" s="83"/>
      <c r="G283" s="84"/>
      <c r="H283" s="85"/>
      <c r="I283" s="86"/>
      <c r="J283" s="87"/>
      <c r="K283" s="65"/>
      <c r="L283" s="65"/>
      <c r="M283" s="65"/>
      <c r="N283" s="65"/>
    </row>
    <row r="284" spans="1:14" ht="6" customHeight="1" thickBot="1"/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63" t="s">
        <v>0</v>
      </c>
      <c r="C286" s="95"/>
      <c r="D286" s="95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95"/>
      <c r="C287" s="95"/>
      <c r="D287" s="95"/>
      <c r="E287" s="12"/>
      <c r="F287" s="12"/>
      <c r="G287" s="12"/>
      <c r="H287" s="12"/>
      <c r="I287" s="12"/>
      <c r="J287" s="12"/>
    </row>
    <row r="288" spans="1:14" ht="14.25" customHeight="1">
      <c r="A288" s="109" t="s">
        <v>1</v>
      </c>
      <c r="B288" s="109" t="s">
        <v>94</v>
      </c>
      <c r="C288" s="109" t="s">
        <v>3</v>
      </c>
      <c r="D288" s="94">
        <v>888</v>
      </c>
      <c r="E288" s="109" t="s">
        <v>4</v>
      </c>
      <c r="F288" s="151" t="s">
        <v>95</v>
      </c>
      <c r="G288" s="95"/>
      <c r="H288" s="148"/>
      <c r="I288" s="13" t="s">
        <v>6</v>
      </c>
      <c r="J288" s="13" t="s">
        <v>7</v>
      </c>
    </row>
    <row r="289" spans="1:10" ht="14.25" customHeight="1">
      <c r="A289" s="95"/>
      <c r="B289" s="95"/>
      <c r="C289" s="95"/>
      <c r="D289" s="95"/>
      <c r="E289" s="95"/>
      <c r="F289" s="95"/>
      <c r="G289" s="95"/>
      <c r="H289" s="148"/>
      <c r="I289" s="143"/>
      <c r="J289" s="143"/>
    </row>
    <row r="290" spans="1:10" ht="17.45" customHeight="1">
      <c r="A290" s="103" t="s">
        <v>8</v>
      </c>
      <c r="B290" s="103" t="s">
        <v>96</v>
      </c>
      <c r="E290" s="103" t="s">
        <v>10</v>
      </c>
      <c r="F290" s="153" t="s">
        <v>97</v>
      </c>
      <c r="G290" s="95"/>
      <c r="H290" s="148"/>
      <c r="I290" s="144"/>
      <c r="J290" s="144"/>
    </row>
    <row r="291" spans="1:10" ht="17.45" customHeight="1">
      <c r="A291" s="95"/>
      <c r="B291" s="95"/>
      <c r="E291" s="95"/>
      <c r="F291" s="95"/>
      <c r="G291" s="95"/>
      <c r="H291" s="148"/>
      <c r="I291" s="14"/>
      <c r="J291" s="14"/>
    </row>
    <row r="292" spans="1:10" ht="17.45" customHeight="1">
      <c r="A292" s="103" t="s">
        <v>12</v>
      </c>
      <c r="B292" s="103" t="s">
        <v>98</v>
      </c>
      <c r="E292" s="2" t="s">
        <v>14</v>
      </c>
      <c r="F292" s="101" t="s">
        <v>15</v>
      </c>
      <c r="G292" s="95"/>
      <c r="H292" s="21"/>
    </row>
    <row r="293" spans="1:10" ht="17.45" customHeight="1">
      <c r="A293" s="95"/>
      <c r="B293" s="95"/>
      <c r="E293" s="2" t="s">
        <v>16</v>
      </c>
      <c r="F293" s="21" t="s">
        <v>17</v>
      </c>
      <c r="G293" s="21"/>
      <c r="H293" s="21"/>
    </row>
    <row r="294" spans="1:10" ht="17.45" customHeight="1">
      <c r="A294" s="2" t="s">
        <v>18</v>
      </c>
      <c r="B294" s="4">
        <v>45937</v>
      </c>
      <c r="E294" s="2" t="s">
        <v>19</v>
      </c>
      <c r="F294" s="150">
        <v>100</v>
      </c>
      <c r="G294" s="95"/>
      <c r="H294" s="21"/>
    </row>
    <row r="295" spans="1:10" ht="17.45" customHeight="1">
      <c r="A295" s="2" t="s">
        <v>20</v>
      </c>
      <c r="B295" s="4">
        <v>45937</v>
      </c>
      <c r="E295" s="2" t="s">
        <v>21</v>
      </c>
      <c r="F295" s="21">
        <v>1</v>
      </c>
      <c r="G295" s="162" t="s">
        <v>22</v>
      </c>
      <c r="H295" s="155">
        <v>100</v>
      </c>
      <c r="I295" s="156"/>
      <c r="J295" s="157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58"/>
      <c r="H296" s="158"/>
      <c r="I296" s="146"/>
      <c r="J296" s="149"/>
    </row>
    <row r="297" spans="1:10" ht="13.5" customHeight="1">
      <c r="A297" s="108" t="s">
        <v>99</v>
      </c>
      <c r="B297" s="95"/>
      <c r="C297" s="95"/>
      <c r="D297" s="20"/>
      <c r="F297" s="3"/>
      <c r="G297" s="112" t="s">
        <v>26</v>
      </c>
      <c r="H297" s="152" t="s">
        <v>27</v>
      </c>
      <c r="I297" s="147" t="s">
        <v>28</v>
      </c>
      <c r="J297" s="148"/>
    </row>
    <row r="298" spans="1:10" ht="13.5" customHeight="1">
      <c r="A298" s="95"/>
      <c r="B298" s="95"/>
      <c r="C298" s="95"/>
      <c r="D298" s="20"/>
      <c r="F298" s="3"/>
      <c r="G298" s="113"/>
      <c r="H298" s="113"/>
      <c r="I298" s="146"/>
      <c r="J298" s="149"/>
    </row>
    <row r="299" spans="1:10" ht="13.5" customHeight="1">
      <c r="A299" s="1" t="s">
        <v>29</v>
      </c>
    </row>
    <row r="300" spans="1:10" ht="63" customHeight="1">
      <c r="A300" s="164"/>
      <c r="B300" s="165"/>
      <c r="C300" s="165"/>
      <c r="D300" s="165"/>
      <c r="E300" s="165"/>
      <c r="F300" s="165"/>
      <c r="G300" s="165"/>
      <c r="H300" s="165"/>
      <c r="I300" s="165"/>
      <c r="J300" s="165"/>
    </row>
    <row r="301" spans="1:10" ht="18.75">
      <c r="A301" s="23" t="s">
        <v>30</v>
      </c>
      <c r="B301" s="16" t="s">
        <v>31</v>
      </c>
      <c r="C301" s="141" t="s">
        <v>32</v>
      </c>
      <c r="D301" s="142"/>
      <c r="E301" s="16" t="s">
        <v>33</v>
      </c>
      <c r="F301" s="141" t="s">
        <v>34</v>
      </c>
      <c r="G301" s="142"/>
      <c r="H301" s="142"/>
      <c r="I301" s="159" t="s">
        <v>35</v>
      </c>
      <c r="J301" s="142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4" t="s">
        <v>36</v>
      </c>
      <c r="C303" s="100" t="s">
        <v>37</v>
      </c>
      <c r="D303" s="95"/>
      <c r="E303" s="24" t="s">
        <v>38</v>
      </c>
      <c r="F303" s="100" t="s">
        <v>39</v>
      </c>
      <c r="G303" s="95"/>
      <c r="H303" s="95"/>
      <c r="I303" s="96"/>
      <c r="J303" s="95"/>
    </row>
    <row r="304" spans="1:10" ht="16.5" customHeight="1">
      <c r="A304" s="22">
        <v>1</v>
      </c>
      <c r="B304" s="25" t="s">
        <v>36</v>
      </c>
      <c r="C304" s="100" t="s">
        <v>37</v>
      </c>
      <c r="D304" s="95"/>
      <c r="E304" s="24" t="s">
        <v>40</v>
      </c>
      <c r="F304" s="100" t="s">
        <v>41</v>
      </c>
      <c r="G304" s="95"/>
      <c r="H304" s="95"/>
      <c r="I304" s="96"/>
      <c r="J304" s="95"/>
    </row>
    <row r="305" spans="1:10" ht="16.5" customHeight="1">
      <c r="A305" s="22"/>
      <c r="B305" s="25"/>
      <c r="C305" s="100"/>
      <c r="D305" s="95"/>
      <c r="E305" s="24"/>
      <c r="F305" s="100"/>
      <c r="G305" s="95"/>
      <c r="H305" s="95"/>
      <c r="I305" s="96"/>
      <c r="J305" s="95"/>
    </row>
    <row r="306" spans="1:10" ht="16.5" customHeight="1">
      <c r="A306" s="22"/>
      <c r="B306" s="25"/>
      <c r="C306" s="100"/>
      <c r="D306" s="95"/>
      <c r="E306" s="24"/>
      <c r="F306" s="100"/>
      <c r="G306" s="95"/>
      <c r="H306" s="95"/>
      <c r="I306" s="96"/>
      <c r="J306" s="95"/>
    </row>
    <row r="307" spans="1:10" ht="16.5" customHeight="1">
      <c r="A307" s="22"/>
      <c r="B307" s="25"/>
      <c r="C307" s="100"/>
      <c r="D307" s="95"/>
      <c r="E307" s="24"/>
      <c r="F307" s="100"/>
      <c r="G307" s="95"/>
      <c r="H307" s="95"/>
      <c r="I307" s="96"/>
      <c r="J307" s="95"/>
    </row>
    <row r="308" spans="1:10" ht="16.5" customHeight="1">
      <c r="A308" s="22"/>
      <c r="B308" s="25"/>
      <c r="C308" s="100"/>
      <c r="D308" s="95"/>
      <c r="E308" s="24"/>
      <c r="F308" s="100"/>
      <c r="G308" s="95"/>
      <c r="H308" s="95"/>
      <c r="I308" s="96"/>
      <c r="J308" s="95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10" t="s">
        <v>42</v>
      </c>
      <c r="B310" s="111"/>
      <c r="C310" s="110" t="s">
        <v>43</v>
      </c>
      <c r="D310" s="111"/>
      <c r="E310" s="111"/>
      <c r="F310" s="17" t="s">
        <v>44</v>
      </c>
      <c r="G310" s="110" t="s">
        <v>45</v>
      </c>
      <c r="H310" s="111"/>
      <c r="I310" s="110" t="s">
        <v>46</v>
      </c>
      <c r="J310" s="111"/>
    </row>
    <row r="311" spans="1:10" ht="14.25" customHeight="1">
      <c r="A311" s="8"/>
      <c r="B311" s="18"/>
      <c r="C311" s="145" t="s">
        <v>47</v>
      </c>
      <c r="D311" s="146"/>
      <c r="E311" s="18"/>
      <c r="F311" s="145" t="s">
        <v>29</v>
      </c>
      <c r="G311" s="146"/>
      <c r="H311" s="146"/>
      <c r="I311" s="146"/>
      <c r="J311" s="146"/>
    </row>
    <row r="312" spans="1:10">
      <c r="A312" s="9"/>
      <c r="C312" s="7"/>
      <c r="D312" s="7"/>
      <c r="E312" s="7"/>
    </row>
    <row r="313" spans="1:10" ht="14.25" customHeight="1">
      <c r="A313" s="100" t="s">
        <v>48</v>
      </c>
      <c r="B313" s="95"/>
      <c r="C313" s="100" t="s">
        <v>49</v>
      </c>
      <c r="D313" s="95"/>
      <c r="E313" s="95"/>
      <c r="F313" s="26" t="s">
        <v>27</v>
      </c>
      <c r="G313" s="99">
        <v>50</v>
      </c>
      <c r="H313" s="95"/>
      <c r="I313" s="99">
        <v>0.5</v>
      </c>
      <c r="J313" s="95"/>
    </row>
    <row r="314" spans="1:10" ht="24.95" customHeight="1">
      <c r="A314" s="102" t="s">
        <v>50</v>
      </c>
      <c r="B314" s="95"/>
      <c r="C314" s="100"/>
      <c r="D314" s="95"/>
      <c r="E314" s="95"/>
      <c r="F314" s="100"/>
      <c r="G314" s="95"/>
      <c r="H314" s="95"/>
      <c r="I314" s="95"/>
      <c r="J314" s="95"/>
    </row>
    <row r="315" spans="1:10" ht="14.25" customHeight="1">
      <c r="A315" s="100" t="s">
        <v>90</v>
      </c>
      <c r="B315" s="95"/>
      <c r="C315" s="100" t="s">
        <v>91</v>
      </c>
      <c r="D315" s="95"/>
      <c r="E315" s="95"/>
      <c r="F315" s="26" t="s">
        <v>36</v>
      </c>
      <c r="G315" s="99">
        <v>1</v>
      </c>
      <c r="H315" s="95"/>
      <c r="I315" s="99">
        <v>0.01</v>
      </c>
      <c r="J315" s="95"/>
    </row>
    <row r="316" spans="1:10" ht="24.95" customHeight="1">
      <c r="A316" s="102" t="s">
        <v>92</v>
      </c>
      <c r="B316" s="95"/>
      <c r="C316" s="100" t="s">
        <v>93</v>
      </c>
      <c r="D316" s="95"/>
      <c r="E316" s="95"/>
      <c r="F316" s="100"/>
      <c r="G316" s="95"/>
      <c r="H316" s="95"/>
      <c r="I316" s="95"/>
      <c r="J316" s="95"/>
    </row>
    <row r="317" spans="1:10" ht="14.25" customHeight="1">
      <c r="A317" s="100" t="s">
        <v>100</v>
      </c>
      <c r="B317" s="95"/>
      <c r="C317" s="100" t="s">
        <v>57</v>
      </c>
      <c r="D317" s="95"/>
      <c r="E317" s="95"/>
      <c r="F317" s="26"/>
      <c r="G317" s="99">
        <v>11</v>
      </c>
      <c r="H317" s="95"/>
      <c r="I317" s="99">
        <v>0.11</v>
      </c>
      <c r="J317" s="95"/>
    </row>
    <row r="318" spans="1:10" ht="24.95" customHeight="1">
      <c r="A318" s="102" t="s">
        <v>101</v>
      </c>
      <c r="B318" s="95"/>
      <c r="C318" s="100" t="s">
        <v>102</v>
      </c>
      <c r="D318" s="95"/>
      <c r="E318" s="95"/>
      <c r="F318" s="100"/>
      <c r="G318" s="95"/>
      <c r="H318" s="95"/>
      <c r="I318" s="95"/>
      <c r="J318" s="95"/>
    </row>
    <row r="319" spans="1:10" ht="14.25" customHeight="1">
      <c r="A319" s="100" t="s">
        <v>60</v>
      </c>
      <c r="B319" s="95"/>
      <c r="C319" s="100" t="s">
        <v>61</v>
      </c>
      <c r="D319" s="95"/>
      <c r="E319" s="95"/>
      <c r="F319" s="26"/>
      <c r="G319" s="99">
        <v>0.1</v>
      </c>
      <c r="H319" s="95"/>
      <c r="I319" s="99">
        <v>1E-3</v>
      </c>
      <c r="J319" s="95"/>
    </row>
    <row r="320" spans="1:10" ht="24.95" customHeight="1">
      <c r="A320" s="102" t="s">
        <v>62</v>
      </c>
      <c r="B320" s="95"/>
      <c r="C320" s="100" t="s">
        <v>63</v>
      </c>
      <c r="D320" s="95"/>
      <c r="E320" s="95"/>
      <c r="F320" s="100"/>
      <c r="G320" s="95"/>
      <c r="H320" s="95"/>
      <c r="I320" s="95"/>
      <c r="J320" s="95"/>
    </row>
    <row r="321" spans="1:14" ht="14.25" customHeight="1">
      <c r="A321" s="100"/>
      <c r="B321" s="95"/>
      <c r="C321" s="100"/>
      <c r="D321" s="95"/>
      <c r="E321" s="95"/>
      <c r="F321" s="26"/>
      <c r="G321" s="99"/>
      <c r="H321" s="95"/>
      <c r="I321" s="99"/>
      <c r="J321" s="95"/>
    </row>
    <row r="322" spans="1:14" ht="24.95" customHeight="1" thickBot="1">
      <c r="A322" s="102"/>
      <c r="B322" s="95"/>
      <c r="C322" s="100"/>
      <c r="D322" s="95"/>
      <c r="E322" s="95"/>
      <c r="F322" s="100"/>
      <c r="G322" s="95"/>
      <c r="H322" s="95"/>
      <c r="I322" s="95"/>
      <c r="J322" s="95"/>
    </row>
    <row r="323" spans="1:14" s="5" customFormat="1" ht="18" customHeight="1">
      <c r="A323" s="124" t="s">
        <v>122</v>
      </c>
      <c r="B323" s="125"/>
      <c r="C323" s="125"/>
      <c r="D323" s="125"/>
      <c r="E323" s="126" t="s">
        <v>123</v>
      </c>
      <c r="F323" s="127"/>
      <c r="G323" s="27" t="s">
        <v>124</v>
      </c>
      <c r="H323" s="104" t="s">
        <v>125</v>
      </c>
      <c r="I323" s="105"/>
      <c r="J323" s="28" t="s">
        <v>126</v>
      </c>
    </row>
    <row r="324" spans="1:14" s="7" customFormat="1" ht="18" customHeight="1">
      <c r="A324" s="136" t="str">
        <f>_xlfn.XLOOKUP(B288,[1]VFDB2!A:A,[1]VFDB2!B:B)</f>
        <v>8FL281304 5010　L=888</v>
      </c>
      <c r="B324" s="137"/>
      <c r="C324" s="137"/>
      <c r="D324" s="137"/>
      <c r="E324" s="88" t="str" cm="1">
        <f t="array" ref="E324">IFERROR(IF(ISBLANK(INDEX(_xlfn._xlws.FILTER([1]加工記録２!$C$3:$C$999991, [1]加工記録２!$T$3:$T$999991=B290), 6)), "", INDEX(_xlfn._xlws.FILTER([1]加工記録２!$C$3:$C$999991, [1]加工記録２!$T$3:$T$999991=B290), 6)),"")</f>
        <v>LED-A888</v>
      </c>
      <c r="F324" s="89"/>
      <c r="G324" s="140" cm="1">
        <f t="array" ref="G324">IFERROR(IF(ISBLANK(INDEX(_xlfn._xlws.FILTER([1]加工記録２!$C$3:$C$999991, [1]加工記録２!$T$3:$T$999991=B290), 7)), " ", INDEX(_xlfn._xlws.FILTER([1]加工記録２!$C$3:$C$999991, [1]加工記録２!$T$3:$T$999991=B290), 7))," ")</f>
        <v>1</v>
      </c>
      <c r="H324" s="29" t="s">
        <v>127</v>
      </c>
      <c r="I324" s="30" cm="1">
        <f t="array" ref="I324:J324">IFERROR(IF(ISBLANK(INDEX(_xlfn._xlws.FILTER([1]加工記録２!$O$3:$P$999991, [1]加工記録２!$T$3:$T$999991=B290), 1)), "", INDEX(_xlfn._xlws.FILTER([1]加工記録２!$O$3:$P$999991, [1]加工記録２!$T$3:$T$999991=B290), 1)),"")</f>
        <v>45932</v>
      </c>
      <c r="J324" s="31">
        <v>1</v>
      </c>
    </row>
    <row r="325" spans="1:14" s="5" customFormat="1" ht="18" customHeight="1">
      <c r="A325" s="138"/>
      <c r="B325" s="139"/>
      <c r="C325" s="139"/>
      <c r="D325" s="139"/>
      <c r="E325" s="88"/>
      <c r="F325" s="89"/>
      <c r="G325" s="140"/>
      <c r="H325" s="29" t="s">
        <v>128</v>
      </c>
      <c r="I325" s="32" cm="1">
        <f t="array" ref="I325:J325">IFERROR(IF(ISBLANK(INDEX(_xlfn._xlws.FILTER([1]加工記録２!$O$3:$P$999991, [1]加工記録２!$T$3:$T$999991=B290), 2)), "", INDEX(_xlfn._xlws.FILTER([1]加工記録２!$O$3:$P$999991, [1]加工記録２!$T$3:$T$999991=B290), 2)),"")</f>
        <v>100</v>
      </c>
      <c r="J325" s="33" t="str">
        <v/>
      </c>
      <c r="K325" s="34"/>
    </row>
    <row r="326" spans="1:14" s="7" customFormat="1" ht="18" customHeight="1">
      <c r="A326" s="118" t="s">
        <v>129</v>
      </c>
      <c r="B326" s="114" t="str">
        <f>_xlfn.XLOOKUP(B288,[1]VFDB2!A:A,[1]VFDB2!J:J)</f>
        <v>〇</v>
      </c>
      <c r="C326" s="116" t="s">
        <v>130</v>
      </c>
      <c r="D326" s="97">
        <f>_xlfn.XLOOKUP(B288,[1]VFDB2!A:A,[1]VFDB2!P:P)</f>
        <v>2</v>
      </c>
      <c r="E326" s="88" t="str">
        <f>_xlfn.XLOOKUP(B288,[1]VFDB2!A:A,[1]VFDB2!V:V)</f>
        <v>1箱目の梱包数 目視確認　以降、重量測定</v>
      </c>
      <c r="F326" s="89"/>
      <c r="G326" s="90"/>
      <c r="H326" s="35" t="s">
        <v>131</v>
      </c>
      <c r="I326" s="32" cm="1">
        <f t="array" ref="I326:J326">IFERROR(IF(ISBLANK(INDEX(_xlfn._xlws.FILTER([1]加工記録２!$O$3:$P$999991, [1]加工記録２!$T$3:$T$999991=B290), 3)), "", INDEX(_xlfn._xlws.FILTER([1]加工記録２!$O$3:$P$999991, [1]加工記録２!$T$3:$T$999991=B290), 3)),"")</f>
        <v>52</v>
      </c>
      <c r="J326" s="36">
        <v>2</v>
      </c>
      <c r="K326" s="37"/>
    </row>
    <row r="327" spans="1:14" s="5" customFormat="1" ht="18" customHeight="1">
      <c r="A327" s="128"/>
      <c r="B327" s="115"/>
      <c r="C327" s="117"/>
      <c r="D327" s="98"/>
      <c r="E327" s="88"/>
      <c r="F327" s="89"/>
      <c r="G327" s="90"/>
      <c r="H327" s="35" t="s">
        <v>132</v>
      </c>
      <c r="I327" s="32" cm="1">
        <f t="array" ref="I327:J327">IFERROR(IF(ISBLANK(INDEX(_xlfn._xlws.FILTER([1]加工記録２!$O$3:$P$999991, [1]加工記録２!$T$3:$T$999991=B290), 4)), "", INDEX(_xlfn._xlws.FILTER([1]加工記録２!$O$3:$P$999991, [1]加工記録２!$T$3:$T$999991=B290), 4)),"")</f>
        <v>2</v>
      </c>
      <c r="J327" s="38" t="str">
        <v/>
      </c>
      <c r="K327" s="34"/>
    </row>
    <row r="328" spans="1:14" s="7" customFormat="1" ht="18" customHeight="1">
      <c r="A328" s="129" t="s">
        <v>133</v>
      </c>
      <c r="B328" s="131">
        <f>D288</f>
        <v>888</v>
      </c>
      <c r="C328" s="133" t="s">
        <v>134</v>
      </c>
      <c r="D328" s="106" t="str">
        <f>_xlfn.XLOOKUP(B288,[1]VFDB2!A:A,[1]VFDB2!L:L)</f>
        <v>+0.5</v>
      </c>
      <c r="E328" s="88" t="str">
        <f>_xlfn.XLOOKUP(B288,[1]VFDB2!A:A,[1]VFDB2!W:W)</f>
        <v>L=888用　クラフト紙</v>
      </c>
      <c r="F328" s="89"/>
      <c r="G328" s="90"/>
      <c r="H328" s="35" t="s">
        <v>135</v>
      </c>
      <c r="I328" s="32" cm="1">
        <f t="array" ref="I328:J328">IFERROR(IF(ISBLANK(INDEX(_xlfn._xlws.FILTER([1]加工記録２!$O$3:$P$999991, [1]加工記録２!$T$3:$T$999991=B290), 5)), "", INDEX(_xlfn._xlws.FILTER([1]加工記録２!$O$3:$P$999991, [1]加工記録２!$T$3:$T$999991=B290), 5)),"")</f>
        <v>4</v>
      </c>
      <c r="J328" s="39" t="str">
        <v/>
      </c>
      <c r="K328" s="37"/>
    </row>
    <row r="329" spans="1:14" s="5" customFormat="1" ht="18" customHeight="1">
      <c r="A329" s="130"/>
      <c r="B329" s="132"/>
      <c r="C329" s="134"/>
      <c r="D329" s="135"/>
      <c r="E329" s="88"/>
      <c r="F329" s="89"/>
      <c r="G329" s="90"/>
      <c r="H329" s="35" t="s">
        <v>136</v>
      </c>
      <c r="I329" s="32" cm="1">
        <f t="array" ref="I329:J329">IFERROR(IF(ISBLANK(INDEX(_xlfn._xlws.FILTER([1]加工記録２!$O$3:$P$999991, [1]加工記録２!$T$3:$T$999991=B290), 6)), "", INDEX(_xlfn._xlws.FILTER([1]加工記録２!$O$3:$P$999991, [1]加工記録２!$T$3:$T$999991=B290), 6)),"")</f>
        <v>0</v>
      </c>
      <c r="J329" s="40" t="str">
        <v/>
      </c>
      <c r="K329" s="34"/>
    </row>
    <row r="330" spans="1:14" s="7" customFormat="1" ht="18" customHeight="1">
      <c r="A330" s="118" t="s">
        <v>137</v>
      </c>
      <c r="B330" s="120" t="str">
        <f>_xlfn.XLOOKUP(B288,[1]VFDB2!A:A,[1]VFDB2!AC:AC)</f>
        <v>換算表確認</v>
      </c>
      <c r="C330" s="122" t="s">
        <v>138</v>
      </c>
      <c r="D330" s="106" t="str">
        <f>_xlfn.XLOOKUP(B288,[1]VFDB2!A:A,[1]VFDB2!K:K)</f>
        <v>－0.5</v>
      </c>
      <c r="E330" s="88" t="str">
        <f>_xlfn.XLOOKUP(B288,[1]VFDB2!A:A,[1]VFDB2!R:R)</f>
        <v>ラベル１枚　長手無　鉢巻１回</v>
      </c>
      <c r="F330" s="89"/>
      <c r="G330" s="90"/>
      <c r="H330" s="35" t="s">
        <v>139</v>
      </c>
      <c r="I330" s="32" t="str" cm="1">
        <f t="array" ref="I330:J330">IFERROR(IF(ISBLANK(INDEX(_xlfn._xlws.FILTER([1]加工記録２!$O$3:$P$999991, [1]加工記録２!$T$3:$T$999991=B290), 7)), "", INDEX(_xlfn._xlws.FILTER([1]加工記録２!$O$3:$P$999991, [1]加工記録２!$T$3:$T$999991=B290), 7)),"")</f>
        <v>M</v>
      </c>
      <c r="J330" s="41">
        <v>1</v>
      </c>
      <c r="K330" s="37"/>
    </row>
    <row r="331" spans="1:14" s="5" customFormat="1" ht="18" customHeight="1" thickBot="1">
      <c r="A331" s="119"/>
      <c r="B331" s="121"/>
      <c r="C331" s="123"/>
      <c r="D331" s="107"/>
      <c r="E331" s="91"/>
      <c r="F331" s="92"/>
      <c r="G331" s="93"/>
      <c r="H331" s="42" t="s">
        <v>140</v>
      </c>
      <c r="I331" s="43" t="str" cm="1">
        <f t="array" ref="I331:J331">IFERROR(IF(ISBLANK(INDEX(_xlfn._xlws.FILTER([1]加工記録２!$O$3:$P$999991, [1]加工記録２!$T$3:$T$999991=B290), 8)), "", INDEX(_xlfn._xlws.FILTER([1]加工記録２!$O$3:$P$999991, [1]加工記録２!$T$3:$T$999991=B290), 8)),"")</f>
        <v>T</v>
      </c>
      <c r="J331" s="44">
        <v>4</v>
      </c>
    </row>
    <row r="332" spans="1:14" s="55" customFormat="1" ht="18.95" customHeight="1">
      <c r="A332" s="45" t="s">
        <v>141</v>
      </c>
      <c r="B332" s="46" t="s">
        <v>142</v>
      </c>
      <c r="C332" s="47" t="s">
        <v>143</v>
      </c>
      <c r="D332" s="47" t="s">
        <v>144</v>
      </c>
      <c r="E332" s="48" t="s">
        <v>145</v>
      </c>
      <c r="F332" s="49" t="s">
        <v>146</v>
      </c>
      <c r="G332" s="50" t="s">
        <v>147</v>
      </c>
      <c r="H332" s="51" t="s">
        <v>148</v>
      </c>
      <c r="I332" s="52" t="s">
        <v>149</v>
      </c>
      <c r="J332" s="53" t="s">
        <v>150</v>
      </c>
      <c r="K332" s="54"/>
      <c r="L332" s="54"/>
      <c r="M332" s="54"/>
      <c r="N332" s="54"/>
    </row>
    <row r="333" spans="1:14" s="66" customFormat="1" ht="18.95" customHeight="1">
      <c r="A333" s="56" t="str" cm="1">
        <f t="array" ref="A333:J333">IFERROR(IF(ISBLANK(INDEX(_xlfn._xlws.FILTER([1]加工記録２!$D$3:$M$999991, [1]加工記録２!$T$3:$T$999991=B290), 1)), "", INDEX(_xlfn._xlws.FILTER([1]加工記録２!$D$3:$M$999991, [1]加工記録２!$T$3:$T$999991=B290), 1)),"")</f>
        <v/>
      </c>
      <c r="B333" s="57" t="str">
        <v/>
      </c>
      <c r="C333" s="58" t="str">
        <v/>
      </c>
      <c r="D333" s="58" t="str">
        <v/>
      </c>
      <c r="E333" s="59" t="str">
        <v/>
      </c>
      <c r="F333" s="60">
        <v>0</v>
      </c>
      <c r="G333" s="61">
        <v>0</v>
      </c>
      <c r="H333" s="62">
        <v>0</v>
      </c>
      <c r="I333" s="63">
        <v>45932</v>
      </c>
      <c r="J333" s="64">
        <v>1</v>
      </c>
      <c r="K333" s="65"/>
      <c r="L333" s="65"/>
      <c r="M333" s="65"/>
      <c r="N333" s="65"/>
    </row>
    <row r="334" spans="1:14" s="66" customFormat="1" ht="18.95" customHeight="1">
      <c r="A334" s="67" cm="1">
        <f t="array" ref="A334:J334">IFERROR(IF(ISBLANK(INDEX(_xlfn._xlws.FILTER([1]加工記録２!$D$3:$M$999991, [1]加工記録２!$T$3:$T$999991=B290), 2)), "", INDEX(_xlfn._xlws.FILTER([1]加工記録２!$D$3:$M$999991, [1]加工記録２!$T$3:$T$999991=B290), 2)),"")</f>
        <v>45931</v>
      </c>
      <c r="B334" s="68" t="str">
        <v>25I22-10</v>
      </c>
      <c r="C334" s="68">
        <v>26</v>
      </c>
      <c r="D334" s="68">
        <v>888.35</v>
      </c>
      <c r="E334" s="69">
        <v>888.41</v>
      </c>
      <c r="F334" s="70" t="str">
        <v>25I22-10</v>
      </c>
      <c r="G334" s="71">
        <v>104</v>
      </c>
      <c r="H334" s="72">
        <v>52</v>
      </c>
      <c r="I334" s="63" t="str">
        <v/>
      </c>
      <c r="J334" s="64" t="str">
        <v/>
      </c>
      <c r="K334" s="65"/>
      <c r="L334" s="65"/>
      <c r="M334" s="65"/>
      <c r="N334" s="65"/>
    </row>
    <row r="335" spans="1:14" s="66" customFormat="1" ht="18.95" customHeight="1">
      <c r="A335" s="67" cm="1">
        <f t="array" ref="A335:J335">IFERROR(IF(ISBLANK(INDEX(_xlfn._xlws.FILTER([1]加工記録２!$D$3:$M$999991, [1]加工記録２!$T$3:$T$999991=B290), 3)), "", INDEX(_xlfn._xlws.FILTER([1]加工記録２!$D$3:$M$999991, [1]加工記録２!$T$3:$T$999991=B290), 3)),"")</f>
        <v>45931</v>
      </c>
      <c r="B335" s="68" t="str">
        <v>25I22-10</v>
      </c>
      <c r="C335" s="68">
        <v>26</v>
      </c>
      <c r="D335" s="68">
        <v>888.35</v>
      </c>
      <c r="E335" s="69">
        <v>888.15</v>
      </c>
      <c r="F335" s="70" t="str">
        <v/>
      </c>
      <c r="G335" s="71" t="str">
        <v/>
      </c>
      <c r="H335" s="72">
        <v>0</v>
      </c>
      <c r="I335" s="63" t="str">
        <v/>
      </c>
      <c r="J335" s="64" t="str">
        <v/>
      </c>
      <c r="K335" s="65"/>
      <c r="L335" s="65"/>
      <c r="M335" s="65"/>
      <c r="N335" s="65"/>
    </row>
    <row r="336" spans="1:14" s="66" customFormat="1" ht="18.95" customHeight="1">
      <c r="A336" s="67" t="str" cm="1">
        <f t="array" ref="A336:J336">IFERROR(IF(ISBLANK(INDEX(_xlfn._xlws.FILTER([1]加工記録２!$D$3:$M$999991, [1]加工記録２!$T$3:$T$999991=B290), 4)), "", INDEX(_xlfn._xlws.FILTER([1]加工記録２!$D$3:$M$999991, [1]加工記録２!$T$3:$T$999991=B290), 4)),"")</f>
        <v/>
      </c>
      <c r="B336" s="68" t="str">
        <v/>
      </c>
      <c r="C336" s="68" t="str">
        <v/>
      </c>
      <c r="D336" s="68" t="str">
        <v/>
      </c>
      <c r="E336" s="69" t="str">
        <v/>
      </c>
      <c r="F336" s="70" t="str">
        <v/>
      </c>
      <c r="G336" s="71" t="str">
        <v/>
      </c>
      <c r="H336" s="72">
        <v>0</v>
      </c>
      <c r="I336" s="63" t="str">
        <v/>
      </c>
      <c r="J336" s="64" t="str">
        <v/>
      </c>
      <c r="K336" s="65"/>
      <c r="L336" s="65"/>
      <c r="M336" s="65"/>
      <c r="N336" s="65"/>
    </row>
    <row r="337" spans="1:14" s="66" customFormat="1" ht="18.95" customHeight="1">
      <c r="A337" s="67" t="str" cm="1">
        <f t="array" ref="A337:J337">IFERROR(IF(ISBLANK(INDEX(_xlfn._xlws.FILTER([1]加工記録２!$D$3:$M$999991, [1]加工記録２!$T$3:$T$999991=B290), 5)), "", INDEX(_xlfn._xlws.FILTER([1]加工記録２!$D$3:$M$999991, [1]加工記録２!$T$3:$T$999991=B290), 5)),"")</f>
        <v/>
      </c>
      <c r="B337" s="68" t="str">
        <v/>
      </c>
      <c r="C337" s="68" t="str">
        <v/>
      </c>
      <c r="D337" s="68" t="str">
        <v/>
      </c>
      <c r="E337" s="69" t="str">
        <v/>
      </c>
      <c r="F337" s="70" t="str">
        <v/>
      </c>
      <c r="G337" s="71" t="str">
        <v/>
      </c>
      <c r="H337" s="72">
        <v>0</v>
      </c>
      <c r="I337" s="73" t="str">
        <v/>
      </c>
      <c r="J337" s="74" t="str">
        <v/>
      </c>
      <c r="K337" s="65"/>
      <c r="L337" s="65"/>
      <c r="M337" s="65"/>
      <c r="N337" s="65"/>
    </row>
    <row r="338" spans="1:14" s="66" customFormat="1" ht="18.95" customHeight="1">
      <c r="A338" s="67" t="str" cm="1">
        <f t="array" ref="A338:J338">IFERROR(IF(ISBLANK(INDEX(_xlfn._xlws.FILTER([1]加工記録２!$D$3:$M$999991, [1]加工記録２!$T$3:$T$999991=B290), 6)), "", INDEX(_xlfn._xlws.FILTER([1]加工記録２!$D$3:$M$999991, [1]加工記録２!$T$3:$T$999991=B290), 6)),"")</f>
        <v/>
      </c>
      <c r="B338" s="68" t="str">
        <v/>
      </c>
      <c r="C338" s="68" t="str">
        <v/>
      </c>
      <c r="D338" s="68" t="str">
        <v/>
      </c>
      <c r="E338" s="69" t="str">
        <v/>
      </c>
      <c r="F338" s="70" t="str">
        <v/>
      </c>
      <c r="G338" s="71" t="str">
        <v/>
      </c>
      <c r="H338" s="75">
        <v>0</v>
      </c>
      <c r="I338" s="76" t="str">
        <v>旧品加工</v>
      </c>
      <c r="J338" s="77" t="str">
        <v/>
      </c>
      <c r="K338" s="65"/>
      <c r="L338" s="65"/>
      <c r="M338" s="65"/>
      <c r="N338" s="65"/>
    </row>
    <row r="339" spans="1:14" s="66" customFormat="1" ht="18.95" customHeight="1">
      <c r="A339" s="67" t="str" cm="1">
        <f t="array" ref="A339:J339">IFERROR(IF(ISBLANK(INDEX(_xlfn._xlws.FILTER([1]加工記録２!$D$3:$M$999991, [1]加工記録２!$T$3:$T$999991=B290), 7)), "", INDEX(_xlfn._xlws.FILTER([1]加工記録２!$D$3:$M$999991, [1]加工記録２!$T$3:$T$999991=B290), 7)),"")</f>
        <v/>
      </c>
      <c r="B339" s="68" t="str">
        <v/>
      </c>
      <c r="C339" s="68" t="str">
        <v/>
      </c>
      <c r="D339" s="68" t="str">
        <v/>
      </c>
      <c r="E339" s="69" t="str">
        <v/>
      </c>
      <c r="F339" s="70" t="str">
        <v/>
      </c>
      <c r="G339" s="71" t="str">
        <v/>
      </c>
      <c r="H339" s="75">
        <v>0</v>
      </c>
      <c r="I339" s="78" t="str">
        <v>持出端材</v>
      </c>
      <c r="J339" s="79" t="str">
        <v/>
      </c>
      <c r="K339" s="65"/>
      <c r="L339" s="65"/>
      <c r="M339" s="65"/>
      <c r="N339" s="65"/>
    </row>
    <row r="340" spans="1:14" s="66" customFormat="1" ht="18.95" customHeight="1" thickBot="1">
      <c r="A340" s="80" t="str" cm="1">
        <f t="array" ref="A340:J340">IFERROR(IF(ISBLANK(INDEX(_xlfn._xlws.FILTER([1]加工記録２!$D$3:$M$999991, [1]加工記録２!$T$3:$T$999991=B290), 8)), "", INDEX(_xlfn._xlws.FILTER([1]加工記録２!$D$3:$M$999991, [1]加工記録２!$T$3:$T$999991=B290), 8)),"")</f>
        <v/>
      </c>
      <c r="B340" s="81" t="str">
        <v/>
      </c>
      <c r="C340" s="81" t="str">
        <v/>
      </c>
      <c r="D340" s="81" t="str">
        <v/>
      </c>
      <c r="E340" s="82" t="str">
        <v/>
      </c>
      <c r="F340" s="83" t="str">
        <v/>
      </c>
      <c r="G340" s="84" t="str">
        <v/>
      </c>
      <c r="H340" s="85">
        <v>0</v>
      </c>
      <c r="I340" s="86" t="str">
        <v>α端材</v>
      </c>
      <c r="J340" s="87">
        <v>0</v>
      </c>
      <c r="K340" s="65"/>
      <c r="L340" s="65"/>
      <c r="M340" s="65"/>
      <c r="N340" s="65"/>
    </row>
    <row r="341" spans="1:14" ht="6" customHeight="1" thickBot="1"/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63" t="s">
        <v>0</v>
      </c>
      <c r="C343" s="95"/>
      <c r="D343" s="95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95"/>
      <c r="C344" s="95"/>
      <c r="D344" s="95"/>
      <c r="E344" s="12"/>
      <c r="F344" s="12"/>
      <c r="G344" s="12"/>
      <c r="H344" s="12"/>
      <c r="I344" s="12"/>
      <c r="J344" s="12"/>
    </row>
    <row r="345" spans="1:14" ht="14.25" customHeight="1">
      <c r="A345" s="109" t="s">
        <v>1</v>
      </c>
      <c r="B345" s="109" t="s">
        <v>94</v>
      </c>
      <c r="C345" s="109" t="s">
        <v>3</v>
      </c>
      <c r="D345" s="94">
        <v>888</v>
      </c>
      <c r="E345" s="109" t="s">
        <v>4</v>
      </c>
      <c r="F345" s="151" t="s">
        <v>95</v>
      </c>
      <c r="G345" s="95"/>
      <c r="H345" s="148"/>
      <c r="I345" s="13" t="s">
        <v>6</v>
      </c>
      <c r="J345" s="13" t="s">
        <v>7</v>
      </c>
    </row>
    <row r="346" spans="1:14" ht="14.25" customHeight="1">
      <c r="A346" s="95"/>
      <c r="B346" s="95"/>
      <c r="C346" s="95"/>
      <c r="D346" s="95"/>
      <c r="E346" s="95"/>
      <c r="F346" s="95"/>
      <c r="G346" s="95"/>
      <c r="H346" s="148"/>
      <c r="I346" s="143"/>
      <c r="J346" s="143"/>
    </row>
    <row r="347" spans="1:14" ht="17.45" customHeight="1">
      <c r="A347" s="103" t="s">
        <v>8</v>
      </c>
      <c r="B347" s="103" t="s">
        <v>103</v>
      </c>
      <c r="E347" s="103" t="s">
        <v>10</v>
      </c>
      <c r="F347" s="153" t="s">
        <v>97</v>
      </c>
      <c r="G347" s="95"/>
      <c r="H347" s="148"/>
      <c r="I347" s="144"/>
      <c r="J347" s="144"/>
    </row>
    <row r="348" spans="1:14" ht="17.45" customHeight="1">
      <c r="A348" s="95"/>
      <c r="B348" s="95"/>
      <c r="E348" s="95"/>
      <c r="F348" s="95"/>
      <c r="G348" s="95"/>
      <c r="H348" s="148"/>
      <c r="I348" s="14"/>
      <c r="J348" s="14"/>
    </row>
    <row r="349" spans="1:14" ht="17.45" customHeight="1">
      <c r="A349" s="103" t="s">
        <v>12</v>
      </c>
      <c r="B349" s="103" t="s">
        <v>104</v>
      </c>
      <c r="E349" s="2" t="s">
        <v>14</v>
      </c>
      <c r="F349" s="101" t="s">
        <v>15</v>
      </c>
      <c r="G349" s="95"/>
      <c r="H349" s="21"/>
    </row>
    <row r="350" spans="1:14" ht="17.45" customHeight="1">
      <c r="A350" s="95"/>
      <c r="B350" s="95"/>
      <c r="E350" s="2" t="s">
        <v>16</v>
      </c>
      <c r="F350" s="21" t="s">
        <v>17</v>
      </c>
      <c r="G350" s="21"/>
      <c r="H350" s="21"/>
    </row>
    <row r="351" spans="1:14" ht="17.45" customHeight="1">
      <c r="A351" s="2" t="s">
        <v>18</v>
      </c>
      <c r="B351" s="4">
        <v>45940</v>
      </c>
      <c r="E351" s="2" t="s">
        <v>19</v>
      </c>
      <c r="F351" s="150">
        <v>100</v>
      </c>
      <c r="G351" s="95"/>
      <c r="H351" s="21"/>
    </row>
    <row r="352" spans="1:14" ht="17.45" customHeight="1">
      <c r="A352" s="2" t="s">
        <v>20</v>
      </c>
      <c r="B352" s="4">
        <v>45940</v>
      </c>
      <c r="E352" s="2" t="s">
        <v>21</v>
      </c>
      <c r="F352" s="21">
        <v>10</v>
      </c>
      <c r="G352" s="162" t="s">
        <v>22</v>
      </c>
      <c r="H352" s="155">
        <v>1000</v>
      </c>
      <c r="I352" s="156"/>
      <c r="J352" s="157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58"/>
      <c r="H353" s="158"/>
      <c r="I353" s="146"/>
      <c r="J353" s="149"/>
    </row>
    <row r="354" spans="1:10" ht="13.5" customHeight="1">
      <c r="A354" s="108" t="s">
        <v>99</v>
      </c>
      <c r="B354" s="95"/>
      <c r="C354" s="95"/>
      <c r="D354" s="20"/>
      <c r="F354" s="3"/>
      <c r="G354" s="112" t="s">
        <v>26</v>
      </c>
      <c r="H354" s="152" t="s">
        <v>27</v>
      </c>
      <c r="I354" s="147" t="s">
        <v>28</v>
      </c>
      <c r="J354" s="148"/>
    </row>
    <row r="355" spans="1:10" ht="13.5" customHeight="1">
      <c r="A355" s="95"/>
      <c r="B355" s="95"/>
      <c r="C355" s="95"/>
      <c r="D355" s="20"/>
      <c r="F355" s="3"/>
      <c r="G355" s="113"/>
      <c r="H355" s="113"/>
      <c r="I355" s="146"/>
      <c r="J355" s="149"/>
    </row>
    <row r="356" spans="1:10" ht="13.5" customHeight="1">
      <c r="A356" s="1" t="s">
        <v>29</v>
      </c>
    </row>
    <row r="357" spans="1:10" ht="63" customHeight="1">
      <c r="A357" s="164"/>
      <c r="B357" s="165"/>
      <c r="C357" s="165"/>
      <c r="D357" s="165"/>
      <c r="E357" s="165"/>
      <c r="F357" s="165"/>
      <c r="G357" s="165"/>
      <c r="H357" s="165"/>
      <c r="I357" s="165"/>
      <c r="J357" s="165"/>
    </row>
    <row r="358" spans="1:10" ht="18.75">
      <c r="A358" s="23" t="s">
        <v>30</v>
      </c>
      <c r="B358" s="16" t="s">
        <v>31</v>
      </c>
      <c r="C358" s="141" t="s">
        <v>32</v>
      </c>
      <c r="D358" s="142"/>
      <c r="E358" s="16" t="s">
        <v>33</v>
      </c>
      <c r="F358" s="141" t="s">
        <v>34</v>
      </c>
      <c r="G358" s="142"/>
      <c r="H358" s="142"/>
      <c r="I358" s="159" t="s">
        <v>35</v>
      </c>
      <c r="J358" s="142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4" t="s">
        <v>36</v>
      </c>
      <c r="C360" s="100" t="s">
        <v>37</v>
      </c>
      <c r="D360" s="95"/>
      <c r="E360" s="24" t="s">
        <v>38</v>
      </c>
      <c r="F360" s="100" t="s">
        <v>39</v>
      </c>
      <c r="G360" s="95"/>
      <c r="H360" s="95"/>
      <c r="I360" s="96"/>
      <c r="J360" s="95"/>
    </row>
    <row r="361" spans="1:10" ht="16.5" customHeight="1">
      <c r="A361" s="22">
        <v>1</v>
      </c>
      <c r="B361" s="25" t="s">
        <v>36</v>
      </c>
      <c r="C361" s="100" t="s">
        <v>37</v>
      </c>
      <c r="D361" s="95"/>
      <c r="E361" s="24" t="s">
        <v>40</v>
      </c>
      <c r="F361" s="100" t="s">
        <v>41</v>
      </c>
      <c r="G361" s="95"/>
      <c r="H361" s="95"/>
      <c r="I361" s="96"/>
      <c r="J361" s="95"/>
    </row>
    <row r="362" spans="1:10" ht="16.5" customHeight="1">
      <c r="A362" s="22"/>
      <c r="B362" s="25"/>
      <c r="C362" s="100"/>
      <c r="D362" s="95"/>
      <c r="E362" s="24"/>
      <c r="F362" s="100"/>
      <c r="G362" s="95"/>
      <c r="H362" s="95"/>
      <c r="I362" s="96"/>
      <c r="J362" s="95"/>
    </row>
    <row r="363" spans="1:10" ht="16.5" customHeight="1">
      <c r="A363" s="22"/>
      <c r="B363" s="25"/>
      <c r="C363" s="100"/>
      <c r="D363" s="95"/>
      <c r="E363" s="24"/>
      <c r="F363" s="100"/>
      <c r="G363" s="95"/>
      <c r="H363" s="95"/>
      <c r="I363" s="96"/>
      <c r="J363" s="95"/>
    </row>
    <row r="364" spans="1:10" ht="16.5" customHeight="1">
      <c r="A364" s="22"/>
      <c r="B364" s="25"/>
      <c r="C364" s="100"/>
      <c r="D364" s="95"/>
      <c r="E364" s="24"/>
      <c r="F364" s="100"/>
      <c r="G364" s="95"/>
      <c r="H364" s="95"/>
      <c r="I364" s="96"/>
      <c r="J364" s="95"/>
    </row>
    <row r="365" spans="1:10" ht="16.5" customHeight="1">
      <c r="A365" s="22"/>
      <c r="B365" s="25"/>
      <c r="C365" s="100"/>
      <c r="D365" s="95"/>
      <c r="E365" s="24"/>
      <c r="F365" s="100"/>
      <c r="G365" s="95"/>
      <c r="H365" s="95"/>
      <c r="I365" s="96"/>
      <c r="J365" s="95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10" t="s">
        <v>42</v>
      </c>
      <c r="B367" s="111"/>
      <c r="C367" s="110" t="s">
        <v>43</v>
      </c>
      <c r="D367" s="111"/>
      <c r="E367" s="111"/>
      <c r="F367" s="17" t="s">
        <v>44</v>
      </c>
      <c r="G367" s="110" t="s">
        <v>45</v>
      </c>
      <c r="H367" s="111"/>
      <c r="I367" s="110" t="s">
        <v>46</v>
      </c>
      <c r="J367" s="111"/>
    </row>
    <row r="368" spans="1:10" ht="14.25" customHeight="1">
      <c r="A368" s="8"/>
      <c r="B368" s="18"/>
      <c r="C368" s="145" t="s">
        <v>47</v>
      </c>
      <c r="D368" s="146"/>
      <c r="E368" s="18"/>
      <c r="F368" s="145" t="s">
        <v>29</v>
      </c>
      <c r="G368" s="146"/>
      <c r="H368" s="146"/>
      <c r="I368" s="146"/>
      <c r="J368" s="146"/>
    </row>
    <row r="369" spans="1:11">
      <c r="A369" s="9"/>
      <c r="C369" s="7"/>
      <c r="D369" s="7"/>
      <c r="E369" s="7"/>
    </row>
    <row r="370" spans="1:11" ht="14.25" customHeight="1">
      <c r="A370" s="100" t="s">
        <v>48</v>
      </c>
      <c r="B370" s="95"/>
      <c r="C370" s="100" t="s">
        <v>49</v>
      </c>
      <c r="D370" s="95"/>
      <c r="E370" s="95"/>
      <c r="F370" s="26" t="s">
        <v>27</v>
      </c>
      <c r="G370" s="99">
        <v>500</v>
      </c>
      <c r="H370" s="95"/>
      <c r="I370" s="99">
        <v>5</v>
      </c>
      <c r="J370" s="95"/>
    </row>
    <row r="371" spans="1:11" ht="24.95" customHeight="1">
      <c r="A371" s="102" t="s">
        <v>50</v>
      </c>
      <c r="B371" s="95"/>
      <c r="C371" s="100"/>
      <c r="D371" s="95"/>
      <c r="E371" s="95"/>
      <c r="F371" s="100"/>
      <c r="G371" s="95"/>
      <c r="H371" s="95"/>
      <c r="I371" s="95"/>
      <c r="J371" s="95"/>
    </row>
    <row r="372" spans="1:11" ht="14.25" customHeight="1">
      <c r="A372" s="100" t="s">
        <v>90</v>
      </c>
      <c r="B372" s="95"/>
      <c r="C372" s="100" t="s">
        <v>91</v>
      </c>
      <c r="D372" s="95"/>
      <c r="E372" s="95"/>
      <c r="F372" s="26" t="s">
        <v>36</v>
      </c>
      <c r="G372" s="99">
        <v>10</v>
      </c>
      <c r="H372" s="95"/>
      <c r="I372" s="99">
        <v>0.1</v>
      </c>
      <c r="J372" s="95"/>
    </row>
    <row r="373" spans="1:11" ht="24.95" customHeight="1">
      <c r="A373" s="102" t="s">
        <v>92</v>
      </c>
      <c r="B373" s="95"/>
      <c r="C373" s="100" t="s">
        <v>93</v>
      </c>
      <c r="D373" s="95"/>
      <c r="E373" s="95"/>
      <c r="F373" s="100"/>
      <c r="G373" s="95"/>
      <c r="H373" s="95"/>
      <c r="I373" s="95"/>
      <c r="J373" s="95"/>
    </row>
    <row r="374" spans="1:11" ht="14.25" customHeight="1">
      <c r="A374" s="100" t="s">
        <v>100</v>
      </c>
      <c r="B374" s="95"/>
      <c r="C374" s="100" t="s">
        <v>57</v>
      </c>
      <c r="D374" s="95"/>
      <c r="E374" s="95"/>
      <c r="F374" s="26"/>
      <c r="G374" s="99">
        <v>110</v>
      </c>
      <c r="H374" s="95"/>
      <c r="I374" s="99">
        <v>1.1000000000000001</v>
      </c>
      <c r="J374" s="95"/>
    </row>
    <row r="375" spans="1:11" ht="24.95" customHeight="1">
      <c r="A375" s="102" t="s">
        <v>101</v>
      </c>
      <c r="B375" s="95"/>
      <c r="C375" s="100" t="s">
        <v>102</v>
      </c>
      <c r="D375" s="95"/>
      <c r="E375" s="95"/>
      <c r="F375" s="100"/>
      <c r="G375" s="95"/>
      <c r="H375" s="95"/>
      <c r="I375" s="95"/>
      <c r="J375" s="95"/>
    </row>
    <row r="376" spans="1:11" ht="14.25" customHeight="1">
      <c r="A376" s="100" t="s">
        <v>60</v>
      </c>
      <c r="B376" s="95"/>
      <c r="C376" s="100" t="s">
        <v>61</v>
      </c>
      <c r="D376" s="95"/>
      <c r="E376" s="95"/>
      <c r="F376" s="26"/>
      <c r="G376" s="99">
        <v>1</v>
      </c>
      <c r="H376" s="95"/>
      <c r="I376" s="99">
        <v>0.01</v>
      </c>
      <c r="J376" s="95"/>
    </row>
    <row r="377" spans="1:11" ht="24.95" customHeight="1">
      <c r="A377" s="102" t="s">
        <v>62</v>
      </c>
      <c r="B377" s="95"/>
      <c r="C377" s="100" t="s">
        <v>63</v>
      </c>
      <c r="D377" s="95"/>
      <c r="E377" s="95"/>
      <c r="F377" s="100"/>
      <c r="G377" s="95"/>
      <c r="H377" s="95"/>
      <c r="I377" s="95"/>
      <c r="J377" s="95"/>
    </row>
    <row r="378" spans="1:11" ht="14.25" customHeight="1">
      <c r="A378" s="100"/>
      <c r="B378" s="95"/>
      <c r="C378" s="100"/>
      <c r="D378" s="95"/>
      <c r="E378" s="95"/>
      <c r="F378" s="26"/>
      <c r="G378" s="99"/>
      <c r="H378" s="95"/>
      <c r="I378" s="99"/>
      <c r="J378" s="95"/>
    </row>
    <row r="379" spans="1:11" ht="24.95" customHeight="1" thickBot="1">
      <c r="A379" s="102"/>
      <c r="B379" s="95"/>
      <c r="C379" s="100"/>
      <c r="D379" s="95"/>
      <c r="E379" s="95"/>
      <c r="F379" s="100"/>
      <c r="G379" s="95"/>
      <c r="H379" s="95"/>
      <c r="I379" s="95"/>
      <c r="J379" s="95"/>
    </row>
    <row r="380" spans="1:11" s="5" customFormat="1" ht="18" customHeight="1">
      <c r="A380" s="124" t="s">
        <v>122</v>
      </c>
      <c r="B380" s="125"/>
      <c r="C380" s="125"/>
      <c r="D380" s="125"/>
      <c r="E380" s="126" t="s">
        <v>123</v>
      </c>
      <c r="F380" s="127"/>
      <c r="G380" s="27" t="s">
        <v>124</v>
      </c>
      <c r="H380" s="104" t="s">
        <v>125</v>
      </c>
      <c r="I380" s="105"/>
      <c r="J380" s="28" t="s">
        <v>126</v>
      </c>
    </row>
    <row r="381" spans="1:11" s="7" customFormat="1" ht="18" customHeight="1">
      <c r="A381" s="136" t="str">
        <f>_xlfn.XLOOKUP(B345,[1]VFDB2!A:A,[1]VFDB2!B:B)</f>
        <v>8FL281304 5010　L=888</v>
      </c>
      <c r="B381" s="137"/>
      <c r="C381" s="137"/>
      <c r="D381" s="137"/>
      <c r="E381" s="88" t="str" cm="1">
        <f t="array" ref="E381">IFERROR(IF(ISBLANK(INDEX(_xlfn._xlws.FILTER([1]加工記録２!$C$3:$C$999991, [1]加工記録２!$T$3:$T$999991=B347), 6)), "", INDEX(_xlfn._xlws.FILTER([1]加工記録２!$C$3:$C$999991, [1]加工記録２!$T$3:$T$999991=B347), 6)),"")</f>
        <v>LED-A888</v>
      </c>
      <c r="F381" s="89"/>
      <c r="G381" s="140" cm="1">
        <f t="array" ref="G381">IFERROR(IF(ISBLANK(INDEX(_xlfn._xlws.FILTER([1]加工記録２!$C$3:$C$999991, [1]加工記録２!$T$3:$T$999991=B347), 7)), " ", INDEX(_xlfn._xlws.FILTER([1]加工記録２!$C$3:$C$999991, [1]加工記録２!$T$3:$T$999991=B347), 7))," ")</f>
        <v>10</v>
      </c>
      <c r="H381" s="29" t="s">
        <v>127</v>
      </c>
      <c r="I381" s="30" cm="1">
        <f t="array" ref="I381:J381">IFERROR(IF(ISBLANK(INDEX(_xlfn._xlws.FILTER([1]加工記録２!$O$3:$P$999991, [1]加工記録２!$T$3:$T$999991=B347), 1)), "", INDEX(_xlfn._xlws.FILTER([1]加工記録２!$O$3:$P$999991, [1]加工記録２!$T$3:$T$999991=B347), 1)),"")</f>
        <v>45936</v>
      </c>
      <c r="J381" s="31">
        <v>6</v>
      </c>
    </row>
    <row r="382" spans="1:11" s="5" customFormat="1" ht="18" customHeight="1">
      <c r="A382" s="138"/>
      <c r="B382" s="139"/>
      <c r="C382" s="139"/>
      <c r="D382" s="139"/>
      <c r="E382" s="88"/>
      <c r="F382" s="89"/>
      <c r="G382" s="140"/>
      <c r="H382" s="29" t="s">
        <v>128</v>
      </c>
      <c r="I382" s="32" cm="1">
        <f t="array" ref="I382:J382">IFERROR(IF(ISBLANK(INDEX(_xlfn._xlws.FILTER([1]加工記録２!$O$3:$P$999991, [1]加工記録２!$T$3:$T$999991=B347), 2)), "", INDEX(_xlfn._xlws.FILTER([1]加工記録２!$O$3:$P$999991, [1]加工記録２!$T$3:$T$999991=B347), 2)),"")</f>
        <v>1000</v>
      </c>
      <c r="J382" s="33">
        <v>2</v>
      </c>
      <c r="K382" s="34"/>
    </row>
    <row r="383" spans="1:11" s="7" customFormat="1" ht="18" customHeight="1">
      <c r="A383" s="118" t="s">
        <v>129</v>
      </c>
      <c r="B383" s="114" t="str">
        <f>_xlfn.XLOOKUP(B345,[1]VFDB2!A:A,[1]VFDB2!J:J)</f>
        <v>〇</v>
      </c>
      <c r="C383" s="116" t="s">
        <v>130</v>
      </c>
      <c r="D383" s="97">
        <f>_xlfn.XLOOKUP(B345,[1]VFDB2!A:A,[1]VFDB2!P:P)</f>
        <v>2</v>
      </c>
      <c r="E383" s="88" t="str">
        <f>_xlfn.XLOOKUP(B345,[1]VFDB2!A:A,[1]VFDB2!V:V)</f>
        <v>1箱目の梱包数 目視確認　以降、重量測定</v>
      </c>
      <c r="F383" s="89"/>
      <c r="G383" s="90"/>
      <c r="H383" s="35" t="s">
        <v>131</v>
      </c>
      <c r="I383" s="32" cm="1">
        <f t="array" ref="I383:J383">IFERROR(IF(ISBLANK(INDEX(_xlfn._xlws.FILTER([1]加工記録２!$O$3:$P$999991, [1]加工記録２!$T$3:$T$999991=B347), 3)), "", INDEX(_xlfn._xlws.FILTER([1]加工記録２!$O$3:$P$999991, [1]加工記録２!$T$3:$T$999991=B347), 3)),"")</f>
        <v>506</v>
      </c>
      <c r="J383" s="36" t="str">
        <v/>
      </c>
      <c r="K383" s="37"/>
    </row>
    <row r="384" spans="1:11" s="5" customFormat="1" ht="18" customHeight="1">
      <c r="A384" s="128"/>
      <c r="B384" s="115"/>
      <c r="C384" s="117"/>
      <c r="D384" s="98"/>
      <c r="E384" s="88"/>
      <c r="F384" s="89"/>
      <c r="G384" s="90"/>
      <c r="H384" s="35" t="s">
        <v>132</v>
      </c>
      <c r="I384" s="32" cm="1">
        <f t="array" ref="I384:J384">IFERROR(IF(ISBLANK(INDEX(_xlfn._xlws.FILTER([1]加工記録２!$O$3:$P$999991, [1]加工記録２!$T$3:$T$999991=B347), 4)), "", INDEX(_xlfn._xlws.FILTER([1]加工記録２!$O$3:$P$999991, [1]加工記録２!$T$3:$T$999991=B347), 4)),"")</f>
        <v>7</v>
      </c>
      <c r="J384" s="38" t="str">
        <v/>
      </c>
      <c r="K384" s="34"/>
    </row>
    <row r="385" spans="1:14" s="7" customFormat="1" ht="18" customHeight="1">
      <c r="A385" s="129" t="s">
        <v>133</v>
      </c>
      <c r="B385" s="131">
        <f>D345</f>
        <v>888</v>
      </c>
      <c r="C385" s="133" t="s">
        <v>134</v>
      </c>
      <c r="D385" s="106" t="str">
        <f>_xlfn.XLOOKUP(B345,[1]VFDB2!A:A,[1]VFDB2!L:L)</f>
        <v>+0.5</v>
      </c>
      <c r="E385" s="88" t="str">
        <f>_xlfn.XLOOKUP(B345,[1]VFDB2!A:A,[1]VFDB2!W:W)</f>
        <v>L=888用　クラフト紙</v>
      </c>
      <c r="F385" s="89"/>
      <c r="G385" s="90"/>
      <c r="H385" s="35" t="s">
        <v>135</v>
      </c>
      <c r="I385" s="32" cm="1">
        <f t="array" ref="I385:J385">IFERROR(IF(ISBLANK(INDEX(_xlfn._xlws.FILTER([1]加工記録２!$O$3:$P$999991, [1]加工記録２!$T$3:$T$999991=B347), 5)), "", INDEX(_xlfn._xlws.FILTER([1]加工記録２!$O$3:$P$999991, [1]加工記録２!$T$3:$T$999991=B347), 5)),"")</f>
        <v>13</v>
      </c>
      <c r="J385" s="39" t="str">
        <v/>
      </c>
      <c r="K385" s="37"/>
    </row>
    <row r="386" spans="1:14" s="5" customFormat="1" ht="18" customHeight="1">
      <c r="A386" s="130"/>
      <c r="B386" s="132"/>
      <c r="C386" s="134"/>
      <c r="D386" s="135"/>
      <c r="E386" s="88"/>
      <c r="F386" s="89"/>
      <c r="G386" s="90"/>
      <c r="H386" s="35" t="s">
        <v>136</v>
      </c>
      <c r="I386" s="32" cm="1">
        <f t="array" ref="I386:J386">IFERROR(IF(ISBLANK(INDEX(_xlfn._xlws.FILTER([1]加工記録２!$O$3:$P$999991, [1]加工記録２!$T$3:$T$999991=B347), 6)), "", INDEX(_xlfn._xlws.FILTER([1]加工記録２!$O$3:$P$999991, [1]加工記録２!$T$3:$T$999991=B347), 6)),"")</f>
        <v>1</v>
      </c>
      <c r="J386" s="40" t="str">
        <v/>
      </c>
      <c r="K386" s="34"/>
    </row>
    <row r="387" spans="1:14" s="7" customFormat="1" ht="18" customHeight="1">
      <c r="A387" s="118" t="s">
        <v>137</v>
      </c>
      <c r="B387" s="120" t="str">
        <f>_xlfn.XLOOKUP(B345,[1]VFDB2!A:A,[1]VFDB2!AC:AC)</f>
        <v>換算表確認</v>
      </c>
      <c r="C387" s="122" t="s">
        <v>138</v>
      </c>
      <c r="D387" s="106" t="str">
        <f>_xlfn.XLOOKUP(B345,[1]VFDB2!A:A,[1]VFDB2!K:K)</f>
        <v>－0.5</v>
      </c>
      <c r="E387" s="88" t="str">
        <f>_xlfn.XLOOKUP(B345,[1]VFDB2!A:A,[1]VFDB2!R:R)</f>
        <v>ラベル１枚　長手無　鉢巻１回</v>
      </c>
      <c r="F387" s="89"/>
      <c r="G387" s="90"/>
      <c r="H387" s="35" t="s">
        <v>139</v>
      </c>
      <c r="I387" s="32" t="str" cm="1">
        <f t="array" ref="I387:J387">IFERROR(IF(ISBLANK(INDEX(_xlfn._xlws.FILTER([1]加工記録２!$O$3:$P$999991, [1]加工記録２!$T$3:$T$999991=B347), 7)), "", INDEX(_xlfn._xlws.FILTER([1]加工記録２!$O$3:$P$999991, [1]加工記録２!$T$3:$T$999991=B347), 7)),"")</f>
        <v>C/M</v>
      </c>
      <c r="J387" s="41">
        <v>5</v>
      </c>
      <c r="K387" s="37"/>
    </row>
    <row r="388" spans="1:14" s="5" customFormat="1" ht="18" customHeight="1" thickBot="1">
      <c r="A388" s="119"/>
      <c r="B388" s="121"/>
      <c r="C388" s="123"/>
      <c r="D388" s="107"/>
      <c r="E388" s="91"/>
      <c r="F388" s="92"/>
      <c r="G388" s="93"/>
      <c r="H388" s="42" t="s">
        <v>140</v>
      </c>
      <c r="I388" s="43" t="str" cm="1">
        <f t="array" ref="I388:J388">IFERROR(IF(ISBLANK(INDEX(_xlfn._xlws.FILTER([1]加工記録２!$O$3:$P$999991, [1]加工記録２!$T$3:$T$999991=B347), 8)), "", INDEX(_xlfn._xlws.FILTER([1]加工記録２!$O$3:$P$999991, [1]加工記録２!$T$3:$T$999991=B347), 8)),"")</f>
        <v>C/T/U</v>
      </c>
      <c r="J388" s="44">
        <v>13</v>
      </c>
    </row>
    <row r="389" spans="1:14" s="55" customFormat="1" ht="18.95" customHeight="1">
      <c r="A389" s="45" t="s">
        <v>141</v>
      </c>
      <c r="B389" s="46" t="s">
        <v>142</v>
      </c>
      <c r="C389" s="47" t="s">
        <v>143</v>
      </c>
      <c r="D389" s="47" t="s">
        <v>144</v>
      </c>
      <c r="E389" s="48" t="s">
        <v>145</v>
      </c>
      <c r="F389" s="49" t="s">
        <v>146</v>
      </c>
      <c r="G389" s="50" t="s">
        <v>147</v>
      </c>
      <c r="H389" s="51" t="s">
        <v>148</v>
      </c>
      <c r="I389" s="52" t="s">
        <v>149</v>
      </c>
      <c r="J389" s="53" t="s">
        <v>150</v>
      </c>
      <c r="K389" s="54"/>
      <c r="L389" s="54"/>
      <c r="M389" s="54"/>
      <c r="N389" s="54"/>
    </row>
    <row r="390" spans="1:14" s="66" customFormat="1" ht="18.95" customHeight="1">
      <c r="A390" s="56" cm="1">
        <f t="array" ref="A390:J390">IFERROR(IF(ISBLANK(INDEX(_xlfn._xlws.FILTER([1]加工記録２!$D$3:$M$999991, [1]加工記録２!$T$3:$T$999991=B347), 1)), "", INDEX(_xlfn._xlws.FILTER([1]加工記録２!$D$3:$M$999991, [1]加工記録２!$T$3:$T$999991=B347), 1)),"")</f>
        <v>45932</v>
      </c>
      <c r="B390" s="57" t="str">
        <v>25I22-10</v>
      </c>
      <c r="C390" s="58" t="str">
        <v/>
      </c>
      <c r="D390" s="58" t="str">
        <v/>
      </c>
      <c r="E390" s="59" t="str">
        <v/>
      </c>
      <c r="F390" s="60" t="str">
        <v>25I22-10</v>
      </c>
      <c r="G390" s="61">
        <v>10</v>
      </c>
      <c r="H390" s="62">
        <v>5</v>
      </c>
      <c r="I390" s="63">
        <v>45933</v>
      </c>
      <c r="J390" s="64">
        <v>7</v>
      </c>
      <c r="K390" s="65"/>
      <c r="L390" s="65"/>
      <c r="M390" s="65"/>
      <c r="N390" s="65"/>
    </row>
    <row r="391" spans="1:14" s="66" customFormat="1" ht="18.95" customHeight="1">
      <c r="A391" s="67" cm="1">
        <f t="array" ref="A391:J391">IFERROR(IF(ISBLANK(INDEX(_xlfn._xlws.FILTER([1]加工記録２!$D$3:$M$999991, [1]加工記録２!$T$3:$T$999991=B347), 2)), "", INDEX(_xlfn._xlws.FILTER([1]加工記録２!$D$3:$M$999991, [1]加工記録２!$T$3:$T$999991=B347), 2)),"")</f>
        <v>45933</v>
      </c>
      <c r="B391" s="68" t="str">
        <v>25I23-11</v>
      </c>
      <c r="C391" s="68">
        <v>24</v>
      </c>
      <c r="D391" s="68">
        <v>888.23</v>
      </c>
      <c r="E391" s="69">
        <v>888.17</v>
      </c>
      <c r="F391" s="70" t="str">
        <v>25I23-11</v>
      </c>
      <c r="G391" s="71">
        <v>296</v>
      </c>
      <c r="H391" s="72">
        <v>148</v>
      </c>
      <c r="I391" s="63">
        <v>45936</v>
      </c>
      <c r="J391" s="64">
        <v>3</v>
      </c>
      <c r="K391" s="65"/>
      <c r="L391" s="65"/>
      <c r="M391" s="65"/>
      <c r="N391" s="65"/>
    </row>
    <row r="392" spans="1:14" s="66" customFormat="1" ht="18.95" customHeight="1">
      <c r="A392" s="67" cm="1">
        <f t="array" ref="A392:J392">IFERROR(IF(ISBLANK(INDEX(_xlfn._xlws.FILTER([1]加工記録２!$D$3:$M$999991, [1]加工記録２!$T$3:$T$999991=B347), 3)), "", INDEX(_xlfn._xlws.FILTER([1]加工記録２!$D$3:$M$999991, [1]加工記録２!$T$3:$T$999991=B347), 3)),"")</f>
        <v>45933</v>
      </c>
      <c r="B392" s="68" t="str">
        <v>25I24-12</v>
      </c>
      <c r="C392" s="68">
        <v>26</v>
      </c>
      <c r="D392" s="68">
        <v>888.35</v>
      </c>
      <c r="E392" s="69">
        <v>888.2</v>
      </c>
      <c r="F392" s="70" t="str">
        <v>25I24-12</v>
      </c>
      <c r="G392" s="71">
        <v>705</v>
      </c>
      <c r="H392" s="72">
        <v>353</v>
      </c>
      <c r="I392" s="63" t="str">
        <v/>
      </c>
      <c r="J392" s="64" t="str">
        <v/>
      </c>
      <c r="K392" s="65"/>
      <c r="L392" s="65"/>
      <c r="M392" s="65"/>
      <c r="N392" s="65"/>
    </row>
    <row r="393" spans="1:14" s="66" customFormat="1" ht="18.95" customHeight="1">
      <c r="A393" s="67" cm="1">
        <f t="array" ref="A393:J393">IFERROR(IF(ISBLANK(INDEX(_xlfn._xlws.FILTER([1]加工記録２!$D$3:$M$999991, [1]加工記録２!$T$3:$T$999991=B347), 4)), "", INDEX(_xlfn._xlws.FILTER([1]加工記録２!$D$3:$M$999991, [1]加工記録２!$T$3:$T$999991=B347), 4)),"")</f>
        <v>45933</v>
      </c>
      <c r="B393" s="68" t="str">
        <v>25I24-12</v>
      </c>
      <c r="C393" s="68">
        <v>26</v>
      </c>
      <c r="D393" s="68">
        <v>888.35</v>
      </c>
      <c r="E393" s="69">
        <v>888.4</v>
      </c>
      <c r="F393" s="70" t="str">
        <v/>
      </c>
      <c r="G393" s="71" t="str">
        <v/>
      </c>
      <c r="H393" s="72">
        <v>0</v>
      </c>
      <c r="I393" s="63" t="str">
        <v/>
      </c>
      <c r="J393" s="64" t="str">
        <v/>
      </c>
      <c r="K393" s="65"/>
      <c r="L393" s="65"/>
      <c r="M393" s="65"/>
      <c r="N393" s="65"/>
    </row>
    <row r="394" spans="1:14" s="66" customFormat="1" ht="18.95" customHeight="1">
      <c r="A394" s="67" cm="1">
        <f t="array" ref="A394:J394">IFERROR(IF(ISBLANK(INDEX(_xlfn._xlws.FILTER([1]加工記録２!$D$3:$M$999991, [1]加工記録２!$T$3:$T$999991=B347), 5)), "", INDEX(_xlfn._xlws.FILTER([1]加工記録２!$D$3:$M$999991, [1]加工記録２!$T$3:$T$999991=B347), 5)),"")</f>
        <v>45933</v>
      </c>
      <c r="B394" s="68" t="str">
        <v>25I24-12</v>
      </c>
      <c r="C394" s="68">
        <v>26</v>
      </c>
      <c r="D394" s="68">
        <v>888.35</v>
      </c>
      <c r="E394" s="69">
        <v>888.35</v>
      </c>
      <c r="F394" s="70" t="str">
        <v/>
      </c>
      <c r="G394" s="71" t="str">
        <v/>
      </c>
      <c r="H394" s="72">
        <v>0</v>
      </c>
      <c r="I394" s="73" t="str">
        <v/>
      </c>
      <c r="J394" s="74" t="str">
        <v/>
      </c>
      <c r="K394" s="65"/>
      <c r="L394" s="65"/>
      <c r="M394" s="65"/>
      <c r="N394" s="65"/>
    </row>
    <row r="395" spans="1:14" s="66" customFormat="1" ht="18.95" customHeight="1">
      <c r="A395" s="67" t="str" cm="1">
        <f t="array" ref="A395:J395">IFERROR(IF(ISBLANK(INDEX(_xlfn._xlws.FILTER([1]加工記録２!$D$3:$M$999991, [1]加工記録２!$T$3:$T$999991=B347), 6)), "", INDEX(_xlfn._xlws.FILTER([1]加工記録２!$D$3:$M$999991, [1]加工記録２!$T$3:$T$999991=B347), 6)),"")</f>
        <v/>
      </c>
      <c r="B395" s="68" t="str">
        <v/>
      </c>
      <c r="C395" s="68" t="str">
        <v/>
      </c>
      <c r="D395" s="68" t="str">
        <v/>
      </c>
      <c r="E395" s="69" t="str">
        <v/>
      </c>
      <c r="F395" s="70" t="str">
        <v/>
      </c>
      <c r="G395" s="71" t="str">
        <v/>
      </c>
      <c r="H395" s="75">
        <v>0</v>
      </c>
      <c r="I395" s="76" t="str">
        <v>旧品加工</v>
      </c>
      <c r="J395" s="77">
        <v>11</v>
      </c>
      <c r="K395" s="65"/>
      <c r="L395" s="65"/>
      <c r="M395" s="65"/>
      <c r="N395" s="65"/>
    </row>
    <row r="396" spans="1:14" s="66" customFormat="1" ht="18.95" customHeight="1">
      <c r="A396" s="67" t="str" cm="1">
        <f t="array" ref="A396:J396">IFERROR(IF(ISBLANK(INDEX(_xlfn._xlws.FILTER([1]加工記録２!$D$3:$M$999991, [1]加工記録２!$T$3:$T$999991=B347), 7)), "", INDEX(_xlfn._xlws.FILTER([1]加工記録２!$D$3:$M$999991, [1]加工記録２!$T$3:$T$999991=B347), 7)),"")</f>
        <v/>
      </c>
      <c r="B396" s="68" t="str">
        <v/>
      </c>
      <c r="C396" s="68" t="str">
        <v/>
      </c>
      <c r="D396" s="68" t="str">
        <v/>
      </c>
      <c r="E396" s="69" t="str">
        <v/>
      </c>
      <c r="F396" s="70" t="str">
        <v/>
      </c>
      <c r="G396" s="71" t="str">
        <v/>
      </c>
      <c r="H396" s="75">
        <v>0</v>
      </c>
      <c r="I396" s="78" t="str">
        <v>持出端材</v>
      </c>
      <c r="J396" s="79" t="str">
        <v/>
      </c>
      <c r="K396" s="65"/>
      <c r="L396" s="65"/>
      <c r="M396" s="65"/>
      <c r="N396" s="65"/>
    </row>
    <row r="397" spans="1:14" s="66" customFormat="1" ht="18.95" customHeight="1" thickBot="1">
      <c r="A397" s="80" t="str" cm="1">
        <f t="array" ref="A397:J397">IFERROR(IF(ISBLANK(INDEX(_xlfn._xlws.FILTER([1]加工記録２!$D$3:$M$999991, [1]加工記録２!$T$3:$T$999991=B347), 8)), "", INDEX(_xlfn._xlws.FILTER([1]加工記録２!$D$3:$M$999991, [1]加工記録２!$T$3:$T$999991=B347), 8)),"")</f>
        <v/>
      </c>
      <c r="B397" s="81" t="str">
        <v/>
      </c>
      <c r="C397" s="81" t="str">
        <v/>
      </c>
      <c r="D397" s="81" t="str">
        <v/>
      </c>
      <c r="E397" s="82" t="str">
        <v/>
      </c>
      <c r="F397" s="83" t="str">
        <v/>
      </c>
      <c r="G397" s="84" t="str">
        <v/>
      </c>
      <c r="H397" s="85">
        <v>0</v>
      </c>
      <c r="I397" s="86" t="str">
        <v>α端材</v>
      </c>
      <c r="J397" s="87">
        <v>1</v>
      </c>
      <c r="K397" s="65"/>
      <c r="L397" s="65"/>
      <c r="M397" s="65"/>
      <c r="N397" s="65"/>
    </row>
    <row r="398" spans="1:14" ht="6" customHeight="1" thickBot="1"/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63" t="s">
        <v>0</v>
      </c>
      <c r="C400" s="95"/>
      <c r="D400" s="95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95"/>
      <c r="C401" s="95"/>
      <c r="D401" s="95"/>
      <c r="E401" s="12"/>
      <c r="F401" s="12"/>
      <c r="G401" s="12"/>
      <c r="H401" s="12"/>
      <c r="I401" s="12"/>
      <c r="J401" s="12"/>
    </row>
    <row r="402" spans="1:10" ht="14.25" customHeight="1">
      <c r="A402" s="109" t="s">
        <v>1</v>
      </c>
      <c r="B402" s="109" t="s">
        <v>94</v>
      </c>
      <c r="C402" s="109" t="s">
        <v>3</v>
      </c>
      <c r="D402" s="94">
        <v>888</v>
      </c>
      <c r="E402" s="109" t="s">
        <v>4</v>
      </c>
      <c r="F402" s="151" t="s">
        <v>95</v>
      </c>
      <c r="G402" s="95"/>
      <c r="H402" s="148"/>
      <c r="I402" s="13" t="s">
        <v>6</v>
      </c>
      <c r="J402" s="13" t="s">
        <v>7</v>
      </c>
    </row>
    <row r="403" spans="1:10" ht="14.25" customHeight="1">
      <c r="A403" s="95"/>
      <c r="B403" s="95"/>
      <c r="C403" s="95"/>
      <c r="D403" s="95"/>
      <c r="E403" s="95"/>
      <c r="F403" s="95"/>
      <c r="G403" s="95"/>
      <c r="H403" s="148"/>
      <c r="I403" s="143"/>
      <c r="J403" s="143"/>
    </row>
    <row r="404" spans="1:10" ht="17.45" customHeight="1">
      <c r="A404" s="103" t="s">
        <v>8</v>
      </c>
      <c r="B404" s="103" t="s">
        <v>105</v>
      </c>
      <c r="E404" s="103" t="s">
        <v>10</v>
      </c>
      <c r="F404" s="153" t="s">
        <v>97</v>
      </c>
      <c r="G404" s="95"/>
      <c r="H404" s="148"/>
      <c r="I404" s="144"/>
      <c r="J404" s="144"/>
    </row>
    <row r="405" spans="1:10" ht="17.45" customHeight="1">
      <c r="A405" s="95"/>
      <c r="B405" s="95"/>
      <c r="E405" s="95"/>
      <c r="F405" s="95"/>
      <c r="G405" s="95"/>
      <c r="H405" s="148"/>
      <c r="I405" s="14"/>
      <c r="J405" s="14"/>
    </row>
    <row r="406" spans="1:10" ht="17.45" customHeight="1">
      <c r="A406" s="103" t="s">
        <v>12</v>
      </c>
      <c r="B406" s="103" t="s">
        <v>106</v>
      </c>
      <c r="E406" s="2" t="s">
        <v>14</v>
      </c>
      <c r="F406" s="101" t="s">
        <v>15</v>
      </c>
      <c r="G406" s="95"/>
      <c r="H406" s="21"/>
    </row>
    <row r="407" spans="1:10" ht="17.45" customHeight="1">
      <c r="A407" s="95"/>
      <c r="B407" s="95"/>
      <c r="E407" s="2" t="s">
        <v>16</v>
      </c>
      <c r="F407" s="21" t="s">
        <v>17</v>
      </c>
      <c r="G407" s="21"/>
      <c r="H407" s="21"/>
    </row>
    <row r="408" spans="1:10" ht="17.45" customHeight="1">
      <c r="A408" s="2" t="s">
        <v>18</v>
      </c>
      <c r="B408" s="4">
        <v>45940</v>
      </c>
      <c r="E408" s="2" t="s">
        <v>19</v>
      </c>
      <c r="F408" s="150">
        <v>100</v>
      </c>
      <c r="G408" s="95"/>
      <c r="H408" s="21"/>
    </row>
    <row r="409" spans="1:10" ht="17.45" customHeight="1">
      <c r="A409" s="2" t="s">
        <v>20</v>
      </c>
      <c r="B409" s="4">
        <v>45940</v>
      </c>
      <c r="E409" s="2" t="s">
        <v>21</v>
      </c>
      <c r="F409" s="21">
        <v>4</v>
      </c>
      <c r="G409" s="162" t="s">
        <v>22</v>
      </c>
      <c r="H409" s="155">
        <v>400</v>
      </c>
      <c r="I409" s="156"/>
      <c r="J409" s="157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58"/>
      <c r="H410" s="158"/>
      <c r="I410" s="146"/>
      <c r="J410" s="149"/>
    </row>
    <row r="411" spans="1:10" ht="13.5" customHeight="1">
      <c r="A411" s="108" t="s">
        <v>99</v>
      </c>
      <c r="B411" s="95"/>
      <c r="C411" s="95"/>
      <c r="D411" s="20"/>
      <c r="F411" s="3"/>
      <c r="G411" s="112" t="s">
        <v>26</v>
      </c>
      <c r="H411" s="152" t="s">
        <v>27</v>
      </c>
      <c r="I411" s="147" t="s">
        <v>28</v>
      </c>
      <c r="J411" s="148"/>
    </row>
    <row r="412" spans="1:10" ht="13.5" customHeight="1">
      <c r="A412" s="95"/>
      <c r="B412" s="95"/>
      <c r="C412" s="95"/>
      <c r="D412" s="20"/>
      <c r="F412" s="3"/>
      <c r="G412" s="113"/>
      <c r="H412" s="113"/>
      <c r="I412" s="146"/>
      <c r="J412" s="149"/>
    </row>
    <row r="413" spans="1:10" ht="13.5" customHeight="1">
      <c r="A413" s="1" t="s">
        <v>29</v>
      </c>
    </row>
    <row r="414" spans="1:10" ht="63" customHeight="1">
      <c r="A414" s="164"/>
      <c r="B414" s="165"/>
      <c r="C414" s="165"/>
      <c r="D414" s="165"/>
      <c r="E414" s="165"/>
      <c r="F414" s="165"/>
      <c r="G414" s="165"/>
      <c r="H414" s="165"/>
      <c r="I414" s="165"/>
      <c r="J414" s="165"/>
    </row>
    <row r="415" spans="1:10" ht="18.75">
      <c r="A415" s="23" t="s">
        <v>30</v>
      </c>
      <c r="B415" s="16" t="s">
        <v>31</v>
      </c>
      <c r="C415" s="141" t="s">
        <v>32</v>
      </c>
      <c r="D415" s="142"/>
      <c r="E415" s="16" t="s">
        <v>33</v>
      </c>
      <c r="F415" s="141" t="s">
        <v>34</v>
      </c>
      <c r="G415" s="142"/>
      <c r="H415" s="142"/>
      <c r="I415" s="159" t="s">
        <v>35</v>
      </c>
      <c r="J415" s="142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4" t="s">
        <v>36</v>
      </c>
      <c r="C417" s="100" t="s">
        <v>37</v>
      </c>
      <c r="D417" s="95"/>
      <c r="E417" s="24" t="s">
        <v>38</v>
      </c>
      <c r="F417" s="100" t="s">
        <v>39</v>
      </c>
      <c r="G417" s="95"/>
      <c r="H417" s="95"/>
      <c r="I417" s="96"/>
      <c r="J417" s="95"/>
    </row>
    <row r="418" spans="1:10" ht="16.5" customHeight="1">
      <c r="A418" s="22">
        <v>1</v>
      </c>
      <c r="B418" s="25" t="s">
        <v>36</v>
      </c>
      <c r="C418" s="100" t="s">
        <v>37</v>
      </c>
      <c r="D418" s="95"/>
      <c r="E418" s="24" t="s">
        <v>40</v>
      </c>
      <c r="F418" s="100" t="s">
        <v>41</v>
      </c>
      <c r="G418" s="95"/>
      <c r="H418" s="95"/>
      <c r="I418" s="96"/>
      <c r="J418" s="95"/>
    </row>
    <row r="419" spans="1:10" ht="16.5" customHeight="1">
      <c r="A419" s="22"/>
      <c r="B419" s="25"/>
      <c r="C419" s="100"/>
      <c r="D419" s="95"/>
      <c r="E419" s="24"/>
      <c r="F419" s="100"/>
      <c r="G419" s="95"/>
      <c r="H419" s="95"/>
      <c r="I419" s="96"/>
      <c r="J419" s="95"/>
    </row>
    <row r="420" spans="1:10" ht="16.5" customHeight="1">
      <c r="A420" s="22"/>
      <c r="B420" s="25"/>
      <c r="C420" s="100"/>
      <c r="D420" s="95"/>
      <c r="E420" s="24"/>
      <c r="F420" s="100"/>
      <c r="G420" s="95"/>
      <c r="H420" s="95"/>
      <c r="I420" s="96"/>
      <c r="J420" s="95"/>
    </row>
    <row r="421" spans="1:10" ht="16.5" customHeight="1">
      <c r="A421" s="22"/>
      <c r="B421" s="25"/>
      <c r="C421" s="100"/>
      <c r="D421" s="95"/>
      <c r="E421" s="24"/>
      <c r="F421" s="100"/>
      <c r="G421" s="95"/>
      <c r="H421" s="95"/>
      <c r="I421" s="96"/>
      <c r="J421" s="95"/>
    </row>
    <row r="422" spans="1:10" ht="16.5" customHeight="1">
      <c r="A422" s="22"/>
      <c r="B422" s="25"/>
      <c r="C422" s="100"/>
      <c r="D422" s="95"/>
      <c r="E422" s="24"/>
      <c r="F422" s="100"/>
      <c r="G422" s="95"/>
      <c r="H422" s="95"/>
      <c r="I422" s="96"/>
      <c r="J422" s="95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10" t="s">
        <v>42</v>
      </c>
      <c r="B424" s="111"/>
      <c r="C424" s="110" t="s">
        <v>43</v>
      </c>
      <c r="D424" s="111"/>
      <c r="E424" s="111"/>
      <c r="F424" s="17" t="s">
        <v>44</v>
      </c>
      <c r="G424" s="110" t="s">
        <v>45</v>
      </c>
      <c r="H424" s="111"/>
      <c r="I424" s="110" t="s">
        <v>46</v>
      </c>
      <c r="J424" s="111"/>
    </row>
    <row r="425" spans="1:10" ht="14.25" customHeight="1">
      <c r="A425" s="8"/>
      <c r="B425" s="18"/>
      <c r="C425" s="145" t="s">
        <v>47</v>
      </c>
      <c r="D425" s="146"/>
      <c r="E425" s="18"/>
      <c r="F425" s="145" t="s">
        <v>29</v>
      </c>
      <c r="G425" s="146"/>
      <c r="H425" s="146"/>
      <c r="I425" s="146"/>
      <c r="J425" s="146"/>
    </row>
    <row r="426" spans="1:10">
      <c r="A426" s="9"/>
      <c r="C426" s="7"/>
      <c r="D426" s="7"/>
      <c r="E426" s="7"/>
    </row>
    <row r="427" spans="1:10" ht="14.25" customHeight="1">
      <c r="A427" s="100" t="s">
        <v>48</v>
      </c>
      <c r="B427" s="95"/>
      <c r="C427" s="100" t="s">
        <v>49</v>
      </c>
      <c r="D427" s="95"/>
      <c r="E427" s="95"/>
      <c r="F427" s="26" t="s">
        <v>27</v>
      </c>
      <c r="G427" s="99">
        <v>200</v>
      </c>
      <c r="H427" s="95"/>
      <c r="I427" s="99">
        <v>2</v>
      </c>
      <c r="J427" s="95"/>
    </row>
    <row r="428" spans="1:10" ht="24.95" customHeight="1">
      <c r="A428" s="102" t="s">
        <v>50</v>
      </c>
      <c r="B428" s="95"/>
      <c r="C428" s="100"/>
      <c r="D428" s="95"/>
      <c r="E428" s="95"/>
      <c r="F428" s="100"/>
      <c r="G428" s="95"/>
      <c r="H428" s="95"/>
      <c r="I428" s="95"/>
      <c r="J428" s="95"/>
    </row>
    <row r="429" spans="1:10" ht="14.25" customHeight="1">
      <c r="A429" s="100" t="s">
        <v>90</v>
      </c>
      <c r="B429" s="95"/>
      <c r="C429" s="100" t="s">
        <v>91</v>
      </c>
      <c r="D429" s="95"/>
      <c r="E429" s="95"/>
      <c r="F429" s="26" t="s">
        <v>36</v>
      </c>
      <c r="G429" s="99">
        <v>4</v>
      </c>
      <c r="H429" s="95"/>
      <c r="I429" s="99">
        <v>0.04</v>
      </c>
      <c r="J429" s="95"/>
    </row>
    <row r="430" spans="1:10" ht="24.95" customHeight="1">
      <c r="A430" s="102" t="s">
        <v>92</v>
      </c>
      <c r="B430" s="95"/>
      <c r="C430" s="100" t="s">
        <v>93</v>
      </c>
      <c r="D430" s="95"/>
      <c r="E430" s="95"/>
      <c r="F430" s="100"/>
      <c r="G430" s="95"/>
      <c r="H430" s="95"/>
      <c r="I430" s="95"/>
      <c r="J430" s="95"/>
    </row>
    <row r="431" spans="1:10" ht="14.25" customHeight="1">
      <c r="A431" s="100" t="s">
        <v>100</v>
      </c>
      <c r="B431" s="95"/>
      <c r="C431" s="100" t="s">
        <v>57</v>
      </c>
      <c r="D431" s="95"/>
      <c r="E431" s="95"/>
      <c r="F431" s="26"/>
      <c r="G431" s="99">
        <v>44</v>
      </c>
      <c r="H431" s="95"/>
      <c r="I431" s="99">
        <v>0.44</v>
      </c>
      <c r="J431" s="95"/>
    </row>
    <row r="432" spans="1:10" ht="24.95" customHeight="1">
      <c r="A432" s="102" t="s">
        <v>101</v>
      </c>
      <c r="B432" s="95"/>
      <c r="C432" s="100" t="s">
        <v>102</v>
      </c>
      <c r="D432" s="95"/>
      <c r="E432" s="95"/>
      <c r="F432" s="100"/>
      <c r="G432" s="95"/>
      <c r="H432" s="95"/>
      <c r="I432" s="95"/>
      <c r="J432" s="95"/>
    </row>
    <row r="433" spans="1:14" ht="14.25" customHeight="1">
      <c r="A433" s="100" t="s">
        <v>60</v>
      </c>
      <c r="B433" s="95"/>
      <c r="C433" s="100" t="s">
        <v>61</v>
      </c>
      <c r="D433" s="95"/>
      <c r="E433" s="95"/>
      <c r="F433" s="26"/>
      <c r="G433" s="99">
        <v>0.4</v>
      </c>
      <c r="H433" s="95"/>
      <c r="I433" s="99">
        <v>4.0000000000000001E-3</v>
      </c>
      <c r="J433" s="95"/>
    </row>
    <row r="434" spans="1:14" ht="24.95" customHeight="1">
      <c r="A434" s="102" t="s">
        <v>62</v>
      </c>
      <c r="B434" s="95"/>
      <c r="C434" s="100" t="s">
        <v>63</v>
      </c>
      <c r="D434" s="95"/>
      <c r="E434" s="95"/>
      <c r="F434" s="100"/>
      <c r="G434" s="95"/>
      <c r="H434" s="95"/>
      <c r="I434" s="95"/>
      <c r="J434" s="95"/>
    </row>
    <row r="435" spans="1:14" ht="14.25" customHeight="1">
      <c r="A435" s="100"/>
      <c r="B435" s="95"/>
      <c r="C435" s="100"/>
      <c r="D435" s="95"/>
      <c r="E435" s="95"/>
      <c r="F435" s="26"/>
      <c r="G435" s="99"/>
      <c r="H435" s="95"/>
      <c r="I435" s="99"/>
      <c r="J435" s="95"/>
    </row>
    <row r="436" spans="1:14" ht="24.95" customHeight="1" thickBot="1">
      <c r="A436" s="102"/>
      <c r="B436" s="95"/>
      <c r="C436" s="100"/>
      <c r="D436" s="95"/>
      <c r="E436" s="95"/>
      <c r="F436" s="100"/>
      <c r="G436" s="95"/>
      <c r="H436" s="95"/>
      <c r="I436" s="95"/>
      <c r="J436" s="95"/>
    </row>
    <row r="437" spans="1:14" s="5" customFormat="1" ht="18" customHeight="1">
      <c r="A437" s="124" t="s">
        <v>122</v>
      </c>
      <c r="B437" s="125"/>
      <c r="C437" s="125"/>
      <c r="D437" s="125"/>
      <c r="E437" s="126" t="s">
        <v>123</v>
      </c>
      <c r="F437" s="127"/>
      <c r="G437" s="27" t="s">
        <v>124</v>
      </c>
      <c r="H437" s="104" t="s">
        <v>125</v>
      </c>
      <c r="I437" s="105"/>
      <c r="J437" s="28" t="s">
        <v>126</v>
      </c>
    </row>
    <row r="438" spans="1:14" s="7" customFormat="1" ht="18" customHeight="1">
      <c r="A438" s="136" t="str">
        <f>_xlfn.XLOOKUP(B402,[1]VFDB2!A:A,[1]VFDB2!B:B)</f>
        <v>8FL281304 5010　L=888</v>
      </c>
      <c r="B438" s="137"/>
      <c r="C438" s="137"/>
      <c r="D438" s="137"/>
      <c r="E438" s="88" t="str" cm="1">
        <f t="array" ref="E438">IFERROR(IF(ISBLANK(INDEX(_xlfn._xlws.FILTER([1]加工記録２!$C$3:$C$999991, [1]加工記録２!$T$3:$T$999991=B404), 6)), "", INDEX(_xlfn._xlws.FILTER([1]加工記録２!$C$3:$C$999991, [1]加工記録２!$T$3:$T$999991=B404), 6)),"")</f>
        <v>LED-A888</v>
      </c>
      <c r="F438" s="89"/>
      <c r="G438" s="140" cm="1">
        <f t="array" ref="G438">IFERROR(IF(ISBLANK(INDEX(_xlfn._xlws.FILTER([1]加工記録２!$C$3:$C$999991, [1]加工記録２!$T$3:$T$999991=B404), 7)), " ", INDEX(_xlfn._xlws.FILTER([1]加工記録２!$C$3:$C$999991, [1]加工記録２!$T$3:$T$999991=B404), 7))," ")</f>
        <v>4</v>
      </c>
      <c r="H438" s="29" t="s">
        <v>127</v>
      </c>
      <c r="I438" s="30" cm="1">
        <f t="array" ref="I438:J438">IFERROR(IF(ISBLANK(INDEX(_xlfn._xlws.FILTER([1]加工記録２!$O$3:$P$999991, [1]加工記録２!$T$3:$T$999991=B404), 1)), "", INDEX(_xlfn._xlws.FILTER([1]加工記録２!$O$3:$P$999991, [1]加工記録２!$T$3:$T$999991=B404), 1)),"")</f>
        <v>45936</v>
      </c>
      <c r="J438" s="31">
        <v>5</v>
      </c>
    </row>
    <row r="439" spans="1:14" s="5" customFormat="1" ht="18" customHeight="1">
      <c r="A439" s="138"/>
      <c r="B439" s="139"/>
      <c r="C439" s="139"/>
      <c r="D439" s="139"/>
      <c r="E439" s="88"/>
      <c r="F439" s="89"/>
      <c r="G439" s="140"/>
      <c r="H439" s="29" t="s">
        <v>128</v>
      </c>
      <c r="I439" s="32" cm="1">
        <f t="array" ref="I439:J439">IFERROR(IF(ISBLANK(INDEX(_xlfn._xlws.FILTER([1]加工記録２!$O$3:$P$999991, [1]加工記録２!$T$3:$T$999991=B404), 2)), "", INDEX(_xlfn._xlws.FILTER([1]加工記録２!$O$3:$P$999991, [1]加工記録２!$T$3:$T$999991=B404), 2)),"")</f>
        <v>400</v>
      </c>
      <c r="J439" s="33" t="str">
        <v/>
      </c>
      <c r="K439" s="34"/>
    </row>
    <row r="440" spans="1:14" s="7" customFormat="1" ht="18" customHeight="1">
      <c r="A440" s="118" t="s">
        <v>129</v>
      </c>
      <c r="B440" s="114" t="str">
        <f>_xlfn.XLOOKUP(B402,[1]VFDB2!A:A,[1]VFDB2!J:J)</f>
        <v>〇</v>
      </c>
      <c r="C440" s="116" t="s">
        <v>130</v>
      </c>
      <c r="D440" s="97">
        <f>_xlfn.XLOOKUP(B402,[1]VFDB2!A:A,[1]VFDB2!P:P)</f>
        <v>2</v>
      </c>
      <c r="E440" s="88" t="str">
        <f>_xlfn.XLOOKUP(B402,[1]VFDB2!A:A,[1]VFDB2!V:V)</f>
        <v>1箱目の梱包数 目視確認　以降、重量測定</v>
      </c>
      <c r="F440" s="89"/>
      <c r="G440" s="90"/>
      <c r="H440" s="35" t="s">
        <v>131</v>
      </c>
      <c r="I440" s="32" cm="1">
        <f t="array" ref="I440:J440">IFERROR(IF(ISBLANK(INDEX(_xlfn._xlws.FILTER([1]加工記録２!$O$3:$P$999991, [1]加工記録２!$T$3:$T$999991=B404), 3)), "", INDEX(_xlfn._xlws.FILTER([1]加工記録２!$O$3:$P$999991, [1]加工記録２!$T$3:$T$999991=B404), 3)),"")</f>
        <v>205</v>
      </c>
      <c r="J440" s="36">
        <v>2</v>
      </c>
      <c r="K440" s="37"/>
    </row>
    <row r="441" spans="1:14" s="5" customFormat="1" ht="18" customHeight="1">
      <c r="A441" s="128"/>
      <c r="B441" s="115"/>
      <c r="C441" s="117"/>
      <c r="D441" s="98"/>
      <c r="E441" s="88"/>
      <c r="F441" s="89"/>
      <c r="G441" s="90"/>
      <c r="H441" s="35" t="s">
        <v>132</v>
      </c>
      <c r="I441" s="32" cm="1">
        <f t="array" ref="I441:J441">IFERROR(IF(ISBLANK(INDEX(_xlfn._xlws.FILTER([1]加工記録２!$O$3:$P$999991, [1]加工記録２!$T$3:$T$999991=B404), 4)), "", INDEX(_xlfn._xlws.FILTER([1]加工記録２!$O$3:$P$999991, [1]加工記録２!$T$3:$T$999991=B404), 4)),"")</f>
        <v>5</v>
      </c>
      <c r="J441" s="38" t="str">
        <v/>
      </c>
      <c r="K441" s="34"/>
    </row>
    <row r="442" spans="1:14" s="7" customFormat="1" ht="18" customHeight="1">
      <c r="A442" s="129" t="s">
        <v>133</v>
      </c>
      <c r="B442" s="131">
        <f>D402</f>
        <v>888</v>
      </c>
      <c r="C442" s="133" t="s">
        <v>134</v>
      </c>
      <c r="D442" s="106" t="str">
        <f>_xlfn.XLOOKUP(B402,[1]VFDB2!A:A,[1]VFDB2!L:L)</f>
        <v>+0.5</v>
      </c>
      <c r="E442" s="88" t="str">
        <f>_xlfn.XLOOKUP(B402,[1]VFDB2!A:A,[1]VFDB2!W:W)</f>
        <v>L=888用　クラフト紙</v>
      </c>
      <c r="F442" s="89"/>
      <c r="G442" s="90"/>
      <c r="H442" s="35" t="s">
        <v>135</v>
      </c>
      <c r="I442" s="32" cm="1">
        <f t="array" ref="I442:J442">IFERROR(IF(ISBLANK(INDEX(_xlfn._xlws.FILTER([1]加工記録２!$O$3:$P$999991, [1]加工記録２!$T$3:$T$999991=B404), 5)), "", INDEX(_xlfn._xlws.FILTER([1]加工記録２!$O$3:$P$999991, [1]加工記録２!$T$3:$T$999991=B404), 5)),"")</f>
        <v>9</v>
      </c>
      <c r="J442" s="39" t="str">
        <v/>
      </c>
      <c r="K442" s="37"/>
    </row>
    <row r="443" spans="1:14" s="5" customFormat="1" ht="18" customHeight="1">
      <c r="A443" s="130"/>
      <c r="B443" s="132"/>
      <c r="C443" s="134"/>
      <c r="D443" s="135"/>
      <c r="E443" s="88"/>
      <c r="F443" s="89"/>
      <c r="G443" s="90"/>
      <c r="H443" s="35" t="s">
        <v>136</v>
      </c>
      <c r="I443" s="32" cm="1">
        <f t="array" ref="I443:J443">IFERROR(IF(ISBLANK(INDEX(_xlfn._xlws.FILTER([1]加工記録２!$O$3:$P$999991, [1]加工記録２!$T$3:$T$999991=B404), 6)), "", INDEX(_xlfn._xlws.FILTER([1]加工記録２!$O$3:$P$999991, [1]加工記録２!$T$3:$T$999991=B404), 6)),"")</f>
        <v>0</v>
      </c>
      <c r="J443" s="40" t="str">
        <v/>
      </c>
      <c r="K443" s="34"/>
    </row>
    <row r="444" spans="1:14" s="7" customFormat="1" ht="18" customHeight="1">
      <c r="A444" s="118" t="s">
        <v>137</v>
      </c>
      <c r="B444" s="120" t="str">
        <f>_xlfn.XLOOKUP(B402,[1]VFDB2!A:A,[1]VFDB2!AC:AC)</f>
        <v>換算表確認</v>
      </c>
      <c r="C444" s="122" t="s">
        <v>138</v>
      </c>
      <c r="D444" s="106" t="str">
        <f>_xlfn.XLOOKUP(B402,[1]VFDB2!A:A,[1]VFDB2!K:K)</f>
        <v>－0.5</v>
      </c>
      <c r="E444" s="88" t="str">
        <f>_xlfn.XLOOKUP(B402,[1]VFDB2!A:A,[1]VFDB2!R:R)</f>
        <v>ラベル１枚　長手無　鉢巻１回</v>
      </c>
      <c r="F444" s="89"/>
      <c r="G444" s="90"/>
      <c r="H444" s="35" t="s">
        <v>139</v>
      </c>
      <c r="I444" s="32" t="str" cm="1">
        <f t="array" ref="I444:J444">IFERROR(IF(ISBLANK(INDEX(_xlfn._xlws.FILTER([1]加工記録２!$O$3:$P$999991, [1]加工記録２!$T$3:$T$999991=B404), 7)), "", INDEX(_xlfn._xlws.FILTER([1]加工記録２!$O$3:$P$999991, [1]加工記録２!$T$3:$T$999991=B404), 7)),"")</f>
        <v>M</v>
      </c>
      <c r="J444" s="41">
        <v>2</v>
      </c>
      <c r="K444" s="37"/>
    </row>
    <row r="445" spans="1:14" s="5" customFormat="1" ht="18" customHeight="1" thickBot="1">
      <c r="A445" s="119"/>
      <c r="B445" s="121"/>
      <c r="C445" s="123"/>
      <c r="D445" s="107"/>
      <c r="E445" s="91"/>
      <c r="F445" s="92"/>
      <c r="G445" s="93"/>
      <c r="H445" s="42" t="s">
        <v>140</v>
      </c>
      <c r="I445" s="43" t="str" cm="1">
        <f t="array" ref="I445:J445">IFERROR(IF(ISBLANK(INDEX(_xlfn._xlws.FILTER([1]加工記録２!$O$3:$P$999991, [1]加工記録２!$T$3:$T$999991=B404), 8)), "", INDEX(_xlfn._xlws.FILTER([1]加工記録２!$O$3:$P$999991, [1]加工記録２!$T$3:$T$999991=B404), 8)),"")</f>
        <v>T</v>
      </c>
      <c r="J445" s="44">
        <v>9</v>
      </c>
    </row>
    <row r="446" spans="1:14" s="55" customFormat="1" ht="18.95" customHeight="1">
      <c r="A446" s="45" t="s">
        <v>141</v>
      </c>
      <c r="B446" s="46" t="s">
        <v>142</v>
      </c>
      <c r="C446" s="47" t="s">
        <v>143</v>
      </c>
      <c r="D446" s="47" t="s">
        <v>144</v>
      </c>
      <c r="E446" s="48" t="s">
        <v>145</v>
      </c>
      <c r="F446" s="49" t="s">
        <v>146</v>
      </c>
      <c r="G446" s="50" t="s">
        <v>147</v>
      </c>
      <c r="H446" s="51" t="s">
        <v>148</v>
      </c>
      <c r="I446" s="52" t="s">
        <v>149</v>
      </c>
      <c r="J446" s="53" t="s">
        <v>150</v>
      </c>
      <c r="K446" s="54"/>
      <c r="L446" s="54"/>
      <c r="M446" s="54"/>
      <c r="N446" s="54"/>
    </row>
    <row r="447" spans="1:14" s="66" customFormat="1" ht="18.95" customHeight="1">
      <c r="A447" s="56" t="str" cm="1">
        <f t="array" ref="A447:J447">IFERROR(IF(ISBLANK(INDEX(_xlfn._xlws.FILTER([1]加工記録２!$D$3:$M$999991, [1]加工記録２!$T$3:$T$999991=B404), 1)), "", INDEX(_xlfn._xlws.FILTER([1]加工記録２!$D$3:$M$999991, [1]加工記録２!$T$3:$T$999991=B404), 1)),"")</f>
        <v/>
      </c>
      <c r="B447" s="57" t="str">
        <v/>
      </c>
      <c r="C447" s="58" t="str">
        <v/>
      </c>
      <c r="D447" s="58" t="str">
        <v/>
      </c>
      <c r="E447" s="59" t="str">
        <v/>
      </c>
      <c r="F447" s="60">
        <v>0</v>
      </c>
      <c r="G447" s="61">
        <v>0</v>
      </c>
      <c r="H447" s="62">
        <v>0</v>
      </c>
      <c r="I447" s="63">
        <v>45936</v>
      </c>
      <c r="J447" s="64">
        <v>4</v>
      </c>
      <c r="K447" s="65"/>
      <c r="L447" s="65"/>
      <c r="M447" s="65"/>
      <c r="N447" s="65"/>
    </row>
    <row r="448" spans="1:14" s="66" customFormat="1" ht="18.95" customHeight="1">
      <c r="A448" s="67" cm="1">
        <f t="array" ref="A448:J448">IFERROR(IF(ISBLANK(INDEX(_xlfn._xlws.FILTER([1]加工記録２!$D$3:$M$999991, [1]加工記録２!$T$3:$T$999991=B404), 2)), "", INDEX(_xlfn._xlws.FILTER([1]加工記録２!$D$3:$M$999991, [1]加工記録２!$T$3:$T$999991=B404), 2)),"")</f>
        <v>45933</v>
      </c>
      <c r="B448" s="68" t="str">
        <v>25I24-12</v>
      </c>
      <c r="C448" s="68">
        <v>26</v>
      </c>
      <c r="D448" s="68">
        <v>888.35</v>
      </c>
      <c r="E448" s="69">
        <v>888.35</v>
      </c>
      <c r="F448" s="70" t="str">
        <v>25I24-12</v>
      </c>
      <c r="G448" s="71">
        <v>409</v>
      </c>
      <c r="H448" s="72">
        <v>205</v>
      </c>
      <c r="I448" s="63" t="str">
        <v/>
      </c>
      <c r="J448" s="64" t="str">
        <v/>
      </c>
      <c r="K448" s="65"/>
      <c r="L448" s="65"/>
      <c r="M448" s="65"/>
      <c r="N448" s="65"/>
    </row>
    <row r="449" spans="1:14" s="66" customFormat="1" ht="18.95" customHeight="1">
      <c r="A449" s="67" cm="1">
        <f t="array" ref="A449:J449">IFERROR(IF(ISBLANK(INDEX(_xlfn._xlws.FILTER([1]加工記録２!$D$3:$M$999991, [1]加工記録２!$T$3:$T$999991=B404), 3)), "", INDEX(_xlfn._xlws.FILTER([1]加工記録２!$D$3:$M$999991, [1]加工記録２!$T$3:$T$999991=B404), 3)),"")</f>
        <v>45933</v>
      </c>
      <c r="B449" s="68" t="str">
        <v>25I24-12</v>
      </c>
      <c r="C449" s="68">
        <v>26</v>
      </c>
      <c r="D449" s="68">
        <v>888.35</v>
      </c>
      <c r="E449" s="69">
        <v>888.32</v>
      </c>
      <c r="F449" s="70" t="str">
        <v/>
      </c>
      <c r="G449" s="71" t="str">
        <v/>
      </c>
      <c r="H449" s="72">
        <v>0</v>
      </c>
      <c r="I449" s="63" t="str">
        <v/>
      </c>
      <c r="J449" s="64" t="str">
        <v/>
      </c>
      <c r="K449" s="65"/>
      <c r="L449" s="65"/>
      <c r="M449" s="65"/>
      <c r="N449" s="65"/>
    </row>
    <row r="450" spans="1:14" s="66" customFormat="1" ht="18.95" customHeight="1">
      <c r="A450" s="67" t="str" cm="1">
        <f t="array" ref="A450:J450">IFERROR(IF(ISBLANK(INDEX(_xlfn._xlws.FILTER([1]加工記録２!$D$3:$M$999991, [1]加工記録２!$T$3:$T$999991=B404), 4)), "", INDEX(_xlfn._xlws.FILTER([1]加工記録２!$D$3:$M$999991, [1]加工記録２!$T$3:$T$999991=B404), 4)),"")</f>
        <v/>
      </c>
      <c r="B450" s="68" t="str">
        <v/>
      </c>
      <c r="C450" s="68" t="str">
        <v/>
      </c>
      <c r="D450" s="68" t="str">
        <v/>
      </c>
      <c r="E450" s="69" t="str">
        <v/>
      </c>
      <c r="F450" s="70" t="str">
        <v/>
      </c>
      <c r="G450" s="71" t="str">
        <v/>
      </c>
      <c r="H450" s="72">
        <v>0</v>
      </c>
      <c r="I450" s="63" t="str">
        <v/>
      </c>
      <c r="J450" s="64" t="str">
        <v/>
      </c>
      <c r="K450" s="65"/>
      <c r="L450" s="65"/>
      <c r="M450" s="65"/>
      <c r="N450" s="65"/>
    </row>
    <row r="451" spans="1:14" s="66" customFormat="1" ht="18.95" customHeight="1">
      <c r="A451" s="67" t="str" cm="1">
        <f t="array" ref="A451:J451">IFERROR(IF(ISBLANK(INDEX(_xlfn._xlws.FILTER([1]加工記録２!$D$3:$M$999991, [1]加工記録２!$T$3:$T$999991=B404), 5)), "", INDEX(_xlfn._xlws.FILTER([1]加工記録２!$D$3:$M$999991, [1]加工記録２!$T$3:$T$999991=B404), 5)),"")</f>
        <v/>
      </c>
      <c r="B451" s="68" t="str">
        <v/>
      </c>
      <c r="C451" s="68" t="str">
        <v/>
      </c>
      <c r="D451" s="68" t="str">
        <v/>
      </c>
      <c r="E451" s="69" t="str">
        <v/>
      </c>
      <c r="F451" s="70" t="str">
        <v/>
      </c>
      <c r="G451" s="71" t="str">
        <v/>
      </c>
      <c r="H451" s="72">
        <v>0</v>
      </c>
      <c r="I451" s="73" t="str">
        <v/>
      </c>
      <c r="J451" s="74" t="str">
        <v/>
      </c>
      <c r="K451" s="65"/>
      <c r="L451" s="65"/>
      <c r="M451" s="65"/>
      <c r="N451" s="65"/>
    </row>
    <row r="452" spans="1:14" s="66" customFormat="1" ht="18.95" customHeight="1">
      <c r="A452" s="67" t="str" cm="1">
        <f t="array" ref="A452:J452">IFERROR(IF(ISBLANK(INDEX(_xlfn._xlws.FILTER([1]加工記録２!$D$3:$M$999991, [1]加工記録２!$T$3:$T$999991=B404), 6)), "", INDEX(_xlfn._xlws.FILTER([1]加工記録２!$D$3:$M$999991, [1]加工記録２!$T$3:$T$999991=B404), 6)),"")</f>
        <v/>
      </c>
      <c r="B452" s="68" t="str">
        <v/>
      </c>
      <c r="C452" s="68" t="str">
        <v/>
      </c>
      <c r="D452" s="68" t="str">
        <v/>
      </c>
      <c r="E452" s="69" t="str">
        <v/>
      </c>
      <c r="F452" s="70" t="str">
        <v/>
      </c>
      <c r="G452" s="71" t="str">
        <v/>
      </c>
      <c r="H452" s="75">
        <v>0</v>
      </c>
      <c r="I452" s="76" t="str">
        <v>旧品加工</v>
      </c>
      <c r="J452" s="77" t="str">
        <v/>
      </c>
      <c r="K452" s="65"/>
      <c r="L452" s="65"/>
      <c r="M452" s="65"/>
      <c r="N452" s="65"/>
    </row>
    <row r="453" spans="1:14" s="66" customFormat="1" ht="18.95" customHeight="1">
      <c r="A453" s="67" t="str" cm="1">
        <f t="array" ref="A453:J453">IFERROR(IF(ISBLANK(INDEX(_xlfn._xlws.FILTER([1]加工記録２!$D$3:$M$999991, [1]加工記録２!$T$3:$T$999991=B404), 7)), "", INDEX(_xlfn._xlws.FILTER([1]加工記録２!$D$3:$M$999991, [1]加工記録２!$T$3:$T$999991=B404), 7)),"")</f>
        <v/>
      </c>
      <c r="B453" s="68" t="str">
        <v/>
      </c>
      <c r="C453" s="68" t="str">
        <v/>
      </c>
      <c r="D453" s="68" t="str">
        <v/>
      </c>
      <c r="E453" s="69" t="str">
        <v/>
      </c>
      <c r="F453" s="70" t="str">
        <v/>
      </c>
      <c r="G453" s="71" t="str">
        <v/>
      </c>
      <c r="H453" s="75">
        <v>0</v>
      </c>
      <c r="I453" s="78" t="str">
        <v>持出端材</v>
      </c>
      <c r="J453" s="79" t="str">
        <v/>
      </c>
      <c r="K453" s="65"/>
      <c r="L453" s="65"/>
      <c r="M453" s="65"/>
      <c r="N453" s="65"/>
    </row>
    <row r="454" spans="1:14" s="66" customFormat="1" ht="18.95" customHeight="1" thickBot="1">
      <c r="A454" s="80" t="str" cm="1">
        <f t="array" ref="A454:J454">IFERROR(IF(ISBLANK(INDEX(_xlfn._xlws.FILTER([1]加工記録２!$D$3:$M$999991, [1]加工記録２!$T$3:$T$999991=B404), 8)), "", INDEX(_xlfn._xlws.FILTER([1]加工記録２!$D$3:$M$999991, [1]加工記録２!$T$3:$T$999991=B404), 8)),"")</f>
        <v/>
      </c>
      <c r="B454" s="81" t="str">
        <v/>
      </c>
      <c r="C454" s="81" t="str">
        <v/>
      </c>
      <c r="D454" s="81" t="str">
        <v/>
      </c>
      <c r="E454" s="82" t="str">
        <v/>
      </c>
      <c r="F454" s="83" t="str">
        <v/>
      </c>
      <c r="G454" s="84" t="str">
        <v/>
      </c>
      <c r="H454" s="85">
        <v>0</v>
      </c>
      <c r="I454" s="86" t="str">
        <v>α端材</v>
      </c>
      <c r="J454" s="87">
        <v>0</v>
      </c>
      <c r="K454" s="65"/>
      <c r="L454" s="65"/>
      <c r="M454" s="65"/>
      <c r="N454" s="65"/>
    </row>
    <row r="455" spans="1:14" ht="6" customHeight="1" thickBot="1"/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63" t="s">
        <v>0</v>
      </c>
      <c r="C457" s="95"/>
      <c r="D457" s="95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95"/>
      <c r="C458" s="95"/>
      <c r="D458" s="95"/>
      <c r="E458" s="12"/>
      <c r="F458" s="12"/>
      <c r="G458" s="12"/>
      <c r="H458" s="12"/>
      <c r="I458" s="12"/>
      <c r="J458" s="12"/>
    </row>
    <row r="459" spans="1:14" ht="14.25" customHeight="1">
      <c r="A459" s="109" t="s">
        <v>1</v>
      </c>
      <c r="B459" s="109" t="s">
        <v>94</v>
      </c>
      <c r="C459" s="109" t="s">
        <v>3</v>
      </c>
      <c r="D459" s="94">
        <v>888</v>
      </c>
      <c r="E459" s="109" t="s">
        <v>4</v>
      </c>
      <c r="F459" s="151" t="s">
        <v>95</v>
      </c>
      <c r="G459" s="95"/>
      <c r="H459" s="148"/>
      <c r="I459" s="13" t="s">
        <v>6</v>
      </c>
      <c r="J459" s="13" t="s">
        <v>7</v>
      </c>
    </row>
    <row r="460" spans="1:14" ht="14.25" customHeight="1">
      <c r="A460" s="95"/>
      <c r="B460" s="95"/>
      <c r="C460" s="95"/>
      <c r="D460" s="95"/>
      <c r="E460" s="95"/>
      <c r="F460" s="95"/>
      <c r="G460" s="95"/>
      <c r="H460" s="148"/>
      <c r="I460" s="143"/>
      <c r="J460" s="143"/>
    </row>
    <row r="461" spans="1:14" ht="17.45" customHeight="1">
      <c r="A461" s="103" t="s">
        <v>8</v>
      </c>
      <c r="B461" s="103" t="s">
        <v>107</v>
      </c>
      <c r="E461" s="103" t="s">
        <v>10</v>
      </c>
      <c r="F461" s="153" t="s">
        <v>97</v>
      </c>
      <c r="G461" s="95"/>
      <c r="H461" s="148"/>
      <c r="I461" s="144"/>
      <c r="J461" s="144"/>
    </row>
    <row r="462" spans="1:14" ht="17.45" customHeight="1">
      <c r="A462" s="95"/>
      <c r="B462" s="95"/>
      <c r="E462" s="95"/>
      <c r="F462" s="95"/>
      <c r="G462" s="95"/>
      <c r="H462" s="148"/>
      <c r="I462" s="14"/>
      <c r="J462" s="14"/>
    </row>
    <row r="463" spans="1:14" ht="17.45" customHeight="1">
      <c r="A463" s="103" t="s">
        <v>12</v>
      </c>
      <c r="B463" s="103" t="s">
        <v>108</v>
      </c>
      <c r="E463" s="2" t="s">
        <v>14</v>
      </c>
      <c r="F463" s="101" t="s">
        <v>15</v>
      </c>
      <c r="G463" s="95"/>
      <c r="H463" s="21"/>
    </row>
    <row r="464" spans="1:14" ht="17.45" customHeight="1">
      <c r="A464" s="95"/>
      <c r="B464" s="95"/>
      <c r="E464" s="2" t="s">
        <v>16</v>
      </c>
      <c r="F464" s="21" t="s">
        <v>17</v>
      </c>
      <c r="G464" s="21"/>
      <c r="H464" s="21"/>
    </row>
    <row r="465" spans="1:10" ht="17.45" customHeight="1">
      <c r="A465" s="2" t="s">
        <v>18</v>
      </c>
      <c r="B465" s="4">
        <v>45946</v>
      </c>
      <c r="E465" s="2" t="s">
        <v>19</v>
      </c>
      <c r="F465" s="150">
        <v>100</v>
      </c>
      <c r="G465" s="95"/>
      <c r="H465" s="21"/>
    </row>
    <row r="466" spans="1:10" ht="17.45" customHeight="1">
      <c r="A466" s="2" t="s">
        <v>20</v>
      </c>
      <c r="B466" s="4">
        <v>45946</v>
      </c>
      <c r="E466" s="2" t="s">
        <v>21</v>
      </c>
      <c r="F466" s="21">
        <v>20</v>
      </c>
      <c r="G466" s="162" t="s">
        <v>22</v>
      </c>
      <c r="H466" s="155">
        <v>2000</v>
      </c>
      <c r="I466" s="156"/>
      <c r="J466" s="157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58"/>
      <c r="H467" s="158"/>
      <c r="I467" s="146"/>
      <c r="J467" s="149"/>
    </row>
    <row r="468" spans="1:10" ht="13.5" customHeight="1">
      <c r="A468" s="108" t="s">
        <v>99</v>
      </c>
      <c r="B468" s="95"/>
      <c r="C468" s="95"/>
      <c r="D468" s="20"/>
      <c r="F468" s="3"/>
      <c r="G468" s="112" t="s">
        <v>26</v>
      </c>
      <c r="H468" s="152" t="s">
        <v>27</v>
      </c>
      <c r="I468" s="147" t="s">
        <v>28</v>
      </c>
      <c r="J468" s="148"/>
    </row>
    <row r="469" spans="1:10" ht="13.5" customHeight="1">
      <c r="A469" s="95"/>
      <c r="B469" s="95"/>
      <c r="C469" s="95"/>
      <c r="D469" s="20"/>
      <c r="F469" s="3"/>
      <c r="G469" s="113"/>
      <c r="H469" s="113"/>
      <c r="I469" s="146"/>
      <c r="J469" s="149"/>
    </row>
    <row r="470" spans="1:10" ht="13.5" customHeight="1">
      <c r="A470" s="1" t="s">
        <v>29</v>
      </c>
    </row>
    <row r="471" spans="1:10" ht="63" customHeight="1">
      <c r="A471" s="164"/>
      <c r="B471" s="165"/>
      <c r="C471" s="165"/>
      <c r="D471" s="165"/>
      <c r="E471" s="165"/>
      <c r="F471" s="165"/>
      <c r="G471" s="165"/>
      <c r="H471" s="165"/>
      <c r="I471" s="165"/>
      <c r="J471" s="165"/>
    </row>
    <row r="472" spans="1:10" ht="18.75">
      <c r="A472" s="23" t="s">
        <v>30</v>
      </c>
      <c r="B472" s="16" t="s">
        <v>31</v>
      </c>
      <c r="C472" s="141" t="s">
        <v>32</v>
      </c>
      <c r="D472" s="142"/>
      <c r="E472" s="16" t="s">
        <v>33</v>
      </c>
      <c r="F472" s="141" t="s">
        <v>34</v>
      </c>
      <c r="G472" s="142"/>
      <c r="H472" s="142"/>
      <c r="I472" s="159" t="s">
        <v>35</v>
      </c>
      <c r="J472" s="142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4" t="s">
        <v>36</v>
      </c>
      <c r="C474" s="100" t="s">
        <v>37</v>
      </c>
      <c r="D474" s="95"/>
      <c r="E474" s="24" t="s">
        <v>38</v>
      </c>
      <c r="F474" s="100" t="s">
        <v>39</v>
      </c>
      <c r="G474" s="95"/>
      <c r="H474" s="95"/>
      <c r="I474" s="96"/>
      <c r="J474" s="95"/>
    </row>
    <row r="475" spans="1:10" ht="16.5" customHeight="1">
      <c r="A475" s="22">
        <v>1</v>
      </c>
      <c r="B475" s="25" t="s">
        <v>36</v>
      </c>
      <c r="C475" s="100" t="s">
        <v>37</v>
      </c>
      <c r="D475" s="95"/>
      <c r="E475" s="24" t="s">
        <v>40</v>
      </c>
      <c r="F475" s="100" t="s">
        <v>41</v>
      </c>
      <c r="G475" s="95"/>
      <c r="H475" s="95"/>
      <c r="I475" s="96"/>
      <c r="J475" s="95"/>
    </row>
    <row r="476" spans="1:10" ht="16.5" customHeight="1">
      <c r="A476" s="22"/>
      <c r="B476" s="25"/>
      <c r="C476" s="100"/>
      <c r="D476" s="95"/>
      <c r="E476" s="24"/>
      <c r="F476" s="100"/>
      <c r="G476" s="95"/>
      <c r="H476" s="95"/>
      <c r="I476" s="96"/>
      <c r="J476" s="95"/>
    </row>
    <row r="477" spans="1:10" ht="16.5" customHeight="1">
      <c r="A477" s="22"/>
      <c r="B477" s="25"/>
      <c r="C477" s="100"/>
      <c r="D477" s="95"/>
      <c r="E477" s="24"/>
      <c r="F477" s="100"/>
      <c r="G477" s="95"/>
      <c r="H477" s="95"/>
      <c r="I477" s="96"/>
      <c r="J477" s="95"/>
    </row>
    <row r="478" spans="1:10" ht="16.5" customHeight="1">
      <c r="A478" s="22"/>
      <c r="B478" s="25"/>
      <c r="C478" s="100"/>
      <c r="D478" s="95"/>
      <c r="E478" s="24"/>
      <c r="F478" s="100"/>
      <c r="G478" s="95"/>
      <c r="H478" s="95"/>
      <c r="I478" s="96"/>
      <c r="J478" s="95"/>
    </row>
    <row r="479" spans="1:10" ht="16.5" customHeight="1">
      <c r="A479" s="22"/>
      <c r="B479" s="25"/>
      <c r="C479" s="100"/>
      <c r="D479" s="95"/>
      <c r="E479" s="24"/>
      <c r="F479" s="100"/>
      <c r="G479" s="95"/>
      <c r="H479" s="95"/>
      <c r="I479" s="96"/>
      <c r="J479" s="95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10" t="s">
        <v>42</v>
      </c>
      <c r="B481" s="111"/>
      <c r="C481" s="110" t="s">
        <v>43</v>
      </c>
      <c r="D481" s="111"/>
      <c r="E481" s="111"/>
      <c r="F481" s="17" t="s">
        <v>44</v>
      </c>
      <c r="G481" s="110" t="s">
        <v>45</v>
      </c>
      <c r="H481" s="111"/>
      <c r="I481" s="110" t="s">
        <v>46</v>
      </c>
      <c r="J481" s="111"/>
    </row>
    <row r="482" spans="1:11" ht="14.25" customHeight="1">
      <c r="A482" s="8"/>
      <c r="B482" s="18"/>
      <c r="C482" s="145" t="s">
        <v>47</v>
      </c>
      <c r="D482" s="146"/>
      <c r="E482" s="18"/>
      <c r="F482" s="145" t="s">
        <v>29</v>
      </c>
      <c r="G482" s="146"/>
      <c r="H482" s="146"/>
      <c r="I482" s="146"/>
      <c r="J482" s="146"/>
    </row>
    <row r="483" spans="1:11">
      <c r="A483" s="9"/>
      <c r="C483" s="7"/>
      <c r="D483" s="7"/>
      <c r="E483" s="7"/>
    </row>
    <row r="484" spans="1:11" ht="14.25" customHeight="1">
      <c r="A484" s="100" t="s">
        <v>48</v>
      </c>
      <c r="B484" s="95"/>
      <c r="C484" s="100" t="s">
        <v>49</v>
      </c>
      <c r="D484" s="95"/>
      <c r="E484" s="95"/>
      <c r="F484" s="26" t="s">
        <v>27</v>
      </c>
      <c r="G484" s="99">
        <v>1000</v>
      </c>
      <c r="H484" s="95"/>
      <c r="I484" s="99">
        <v>10</v>
      </c>
      <c r="J484" s="95"/>
    </row>
    <row r="485" spans="1:11" ht="24.95" customHeight="1">
      <c r="A485" s="102" t="s">
        <v>50</v>
      </c>
      <c r="B485" s="95"/>
      <c r="C485" s="100"/>
      <c r="D485" s="95"/>
      <c r="E485" s="95"/>
      <c r="F485" s="100"/>
      <c r="G485" s="95"/>
      <c r="H485" s="95"/>
      <c r="I485" s="95"/>
      <c r="J485" s="95"/>
    </row>
    <row r="486" spans="1:11" ht="14.25" customHeight="1">
      <c r="A486" s="100" t="s">
        <v>90</v>
      </c>
      <c r="B486" s="95"/>
      <c r="C486" s="100" t="s">
        <v>91</v>
      </c>
      <c r="D486" s="95"/>
      <c r="E486" s="95"/>
      <c r="F486" s="26" t="s">
        <v>36</v>
      </c>
      <c r="G486" s="99">
        <v>20</v>
      </c>
      <c r="H486" s="95"/>
      <c r="I486" s="99">
        <v>0.2</v>
      </c>
      <c r="J486" s="95"/>
    </row>
    <row r="487" spans="1:11" ht="24.95" customHeight="1">
      <c r="A487" s="102" t="s">
        <v>92</v>
      </c>
      <c r="B487" s="95"/>
      <c r="C487" s="100" t="s">
        <v>93</v>
      </c>
      <c r="D487" s="95"/>
      <c r="E487" s="95"/>
      <c r="F487" s="100"/>
      <c r="G487" s="95"/>
      <c r="H487" s="95"/>
      <c r="I487" s="95"/>
      <c r="J487" s="95"/>
    </row>
    <row r="488" spans="1:11" ht="14.25" customHeight="1">
      <c r="A488" s="100" t="s">
        <v>100</v>
      </c>
      <c r="B488" s="95"/>
      <c r="C488" s="100" t="s">
        <v>57</v>
      </c>
      <c r="D488" s="95"/>
      <c r="E488" s="95"/>
      <c r="F488" s="26"/>
      <c r="G488" s="99">
        <v>220</v>
      </c>
      <c r="H488" s="95"/>
      <c r="I488" s="99">
        <v>2.2000000000000002</v>
      </c>
      <c r="J488" s="95"/>
    </row>
    <row r="489" spans="1:11" ht="24.95" customHeight="1">
      <c r="A489" s="102" t="s">
        <v>101</v>
      </c>
      <c r="B489" s="95"/>
      <c r="C489" s="100" t="s">
        <v>102</v>
      </c>
      <c r="D489" s="95"/>
      <c r="E489" s="95"/>
      <c r="F489" s="100"/>
      <c r="G489" s="95"/>
      <c r="H489" s="95"/>
      <c r="I489" s="95"/>
      <c r="J489" s="95"/>
    </row>
    <row r="490" spans="1:11" ht="14.25" customHeight="1">
      <c r="A490" s="100" t="s">
        <v>60</v>
      </c>
      <c r="B490" s="95"/>
      <c r="C490" s="100" t="s">
        <v>61</v>
      </c>
      <c r="D490" s="95"/>
      <c r="E490" s="95"/>
      <c r="F490" s="26"/>
      <c r="G490" s="99">
        <v>2</v>
      </c>
      <c r="H490" s="95"/>
      <c r="I490" s="99">
        <v>0.02</v>
      </c>
      <c r="J490" s="95"/>
    </row>
    <row r="491" spans="1:11" ht="24.95" customHeight="1">
      <c r="A491" s="102" t="s">
        <v>62</v>
      </c>
      <c r="B491" s="95"/>
      <c r="C491" s="100" t="s">
        <v>63</v>
      </c>
      <c r="D491" s="95"/>
      <c r="E491" s="95"/>
      <c r="F491" s="100"/>
      <c r="G491" s="95"/>
      <c r="H491" s="95"/>
      <c r="I491" s="95"/>
      <c r="J491" s="95"/>
    </row>
    <row r="492" spans="1:11" ht="14.25" customHeight="1">
      <c r="A492" s="100"/>
      <c r="B492" s="95"/>
      <c r="C492" s="100"/>
      <c r="D492" s="95"/>
      <c r="E492" s="95"/>
      <c r="F492" s="26"/>
      <c r="G492" s="99"/>
      <c r="H492" s="95"/>
      <c r="I492" s="99"/>
      <c r="J492" s="95"/>
    </row>
    <row r="493" spans="1:11" ht="24.95" customHeight="1" thickBot="1">
      <c r="A493" s="102"/>
      <c r="B493" s="95"/>
      <c r="C493" s="100"/>
      <c r="D493" s="95"/>
      <c r="E493" s="95"/>
      <c r="F493" s="100"/>
      <c r="G493" s="95"/>
      <c r="H493" s="95"/>
      <c r="I493" s="95"/>
      <c r="J493" s="95"/>
    </row>
    <row r="494" spans="1:11" s="5" customFormat="1" ht="18" customHeight="1">
      <c r="A494" s="124" t="s">
        <v>122</v>
      </c>
      <c r="B494" s="125"/>
      <c r="C494" s="125"/>
      <c r="D494" s="125"/>
      <c r="E494" s="126" t="s">
        <v>123</v>
      </c>
      <c r="F494" s="127"/>
      <c r="G494" s="27" t="s">
        <v>124</v>
      </c>
      <c r="H494" s="104" t="s">
        <v>125</v>
      </c>
      <c r="I494" s="105"/>
      <c r="J494" s="28" t="s">
        <v>126</v>
      </c>
    </row>
    <row r="495" spans="1:11" s="7" customFormat="1" ht="18" customHeight="1">
      <c r="A495" s="136" t="str">
        <f>_xlfn.XLOOKUP(B459,[1]VFDB2!A:A,[1]VFDB2!B:B)</f>
        <v>8FL281304 5010　L=888</v>
      </c>
      <c r="B495" s="137"/>
      <c r="C495" s="137"/>
      <c r="D495" s="137"/>
      <c r="E495" s="88" t="str" cm="1">
        <f t="array" ref="E495">IFERROR(IF(ISBLANK(INDEX(_xlfn._xlws.FILTER([1]加工記録２!$C$3:$C$999991, [1]加工記録２!$T$3:$T$999991=B461), 6)), "", INDEX(_xlfn._xlws.FILTER([1]加工記録２!$C$3:$C$999991, [1]加工記録２!$T$3:$T$999991=B461), 6)),"")</f>
        <v>LED-A888</v>
      </c>
      <c r="F495" s="89"/>
      <c r="G495" s="140" cm="1">
        <f t="array" ref="G495">IFERROR(IF(ISBLANK(INDEX(_xlfn._xlws.FILTER([1]加工記録２!$C$3:$C$999991, [1]加工記録２!$T$3:$T$999991=B461), 7)), " ", INDEX(_xlfn._xlws.FILTER([1]加工記録２!$C$3:$C$999991, [1]加工記録２!$T$3:$T$999991=B461), 7))," ")</f>
        <v>20</v>
      </c>
      <c r="H495" s="29" t="s">
        <v>127</v>
      </c>
      <c r="I495" s="30" cm="1">
        <f t="array" ref="I495:J495">IFERROR(IF(ISBLANK(INDEX(_xlfn._xlws.FILTER([1]加工記録２!$O$3:$P$999991, [1]加工記録２!$T$3:$T$999991=B461), 1)), "", INDEX(_xlfn._xlws.FILTER([1]加工記録２!$O$3:$P$999991, [1]加工記録２!$T$3:$T$999991=B461), 1)),"")</f>
        <v>45959</v>
      </c>
      <c r="J495" s="31">
        <v>9</v>
      </c>
    </row>
    <row r="496" spans="1:11" s="5" customFormat="1" ht="18" customHeight="1">
      <c r="A496" s="138"/>
      <c r="B496" s="139"/>
      <c r="C496" s="139"/>
      <c r="D496" s="139"/>
      <c r="E496" s="88"/>
      <c r="F496" s="89"/>
      <c r="G496" s="140"/>
      <c r="H496" s="29" t="s">
        <v>128</v>
      </c>
      <c r="I496" s="32" cm="1">
        <f t="array" ref="I496:J496">IFERROR(IF(ISBLANK(INDEX(_xlfn._xlws.FILTER([1]加工記録２!$O$3:$P$999991, [1]加工記録２!$T$3:$T$999991=B461), 2)), "", INDEX(_xlfn._xlws.FILTER([1]加工記録２!$O$3:$P$999991, [1]加工記録２!$T$3:$T$999991=B461), 2)),"")</f>
        <v>2000</v>
      </c>
      <c r="J496" s="33" t="str">
        <v/>
      </c>
      <c r="K496" s="34"/>
    </row>
    <row r="497" spans="1:14" s="7" customFormat="1" ht="18" customHeight="1">
      <c r="A497" s="118" t="s">
        <v>129</v>
      </c>
      <c r="B497" s="114" t="str">
        <f>_xlfn.XLOOKUP(B459,[1]VFDB2!A:A,[1]VFDB2!J:J)</f>
        <v>〇</v>
      </c>
      <c r="C497" s="116" t="s">
        <v>130</v>
      </c>
      <c r="D497" s="97">
        <f>_xlfn.XLOOKUP(B459,[1]VFDB2!A:A,[1]VFDB2!P:P)</f>
        <v>2</v>
      </c>
      <c r="E497" s="88" t="str">
        <f>_xlfn.XLOOKUP(B459,[1]VFDB2!A:A,[1]VFDB2!V:V)</f>
        <v>1箱目の梱包数 目視確認　以降、重量測定</v>
      </c>
      <c r="F497" s="89"/>
      <c r="G497" s="90"/>
      <c r="H497" s="35" t="s">
        <v>131</v>
      </c>
      <c r="I497" s="32" cm="1">
        <f t="array" ref="I497:J497">IFERROR(IF(ISBLANK(INDEX(_xlfn._xlws.FILTER([1]加工記録２!$O$3:$P$999991, [1]加工記録２!$T$3:$T$999991=B461), 3)), "", INDEX(_xlfn._xlws.FILTER([1]加工記録２!$O$3:$P$999991, [1]加工記録２!$T$3:$T$999991=B461), 3)),"")</f>
        <v>1005</v>
      </c>
      <c r="J497" s="36" t="str">
        <v/>
      </c>
      <c r="K497" s="37"/>
    </row>
    <row r="498" spans="1:14" s="5" customFormat="1" ht="18" customHeight="1">
      <c r="A498" s="128"/>
      <c r="B498" s="115"/>
      <c r="C498" s="117"/>
      <c r="D498" s="98"/>
      <c r="E498" s="88"/>
      <c r="F498" s="89"/>
      <c r="G498" s="90"/>
      <c r="H498" s="35" t="s">
        <v>132</v>
      </c>
      <c r="I498" s="32" cm="1">
        <f t="array" ref="I498:J498">IFERROR(IF(ISBLANK(INDEX(_xlfn._xlws.FILTER([1]加工記録２!$O$3:$P$999991, [1]加工記録２!$T$3:$T$999991=B461), 4)), "", INDEX(_xlfn._xlws.FILTER([1]加工記録２!$O$3:$P$999991, [1]加工記録２!$T$3:$T$999991=B461), 4)),"")</f>
        <v>5</v>
      </c>
      <c r="J498" s="38" t="str">
        <v/>
      </c>
      <c r="K498" s="34"/>
    </row>
    <row r="499" spans="1:14" s="7" customFormat="1" ht="18" customHeight="1">
      <c r="A499" s="129" t="s">
        <v>133</v>
      </c>
      <c r="B499" s="131">
        <f>D459</f>
        <v>888</v>
      </c>
      <c r="C499" s="133" t="s">
        <v>134</v>
      </c>
      <c r="D499" s="106" t="str">
        <f>_xlfn.XLOOKUP(B459,[1]VFDB2!A:A,[1]VFDB2!L:L)</f>
        <v>+0.5</v>
      </c>
      <c r="E499" s="88" t="str">
        <f>_xlfn.XLOOKUP(B459,[1]VFDB2!A:A,[1]VFDB2!W:W)</f>
        <v>L=888用　クラフト紙</v>
      </c>
      <c r="F499" s="89"/>
      <c r="G499" s="90"/>
      <c r="H499" s="35" t="s">
        <v>135</v>
      </c>
      <c r="I499" s="32" cm="1">
        <f t="array" ref="I499:J499">IFERROR(IF(ISBLANK(INDEX(_xlfn._xlws.FILTER([1]加工記録２!$O$3:$P$999991, [1]加工記録２!$T$3:$T$999991=B461), 5)), "", INDEX(_xlfn._xlws.FILTER([1]加工記録２!$O$3:$P$999991, [1]加工記録２!$T$3:$T$999991=B461), 5)),"")</f>
        <v>10</v>
      </c>
      <c r="J499" s="39" t="str">
        <v/>
      </c>
      <c r="K499" s="37"/>
    </row>
    <row r="500" spans="1:14" s="5" customFormat="1" ht="18" customHeight="1">
      <c r="A500" s="130"/>
      <c r="B500" s="132"/>
      <c r="C500" s="134"/>
      <c r="D500" s="135"/>
      <c r="E500" s="88"/>
      <c r="F500" s="89"/>
      <c r="G500" s="90"/>
      <c r="H500" s="35" t="s">
        <v>136</v>
      </c>
      <c r="I500" s="32" cm="1">
        <f t="array" ref="I500:J500">IFERROR(IF(ISBLANK(INDEX(_xlfn._xlws.FILTER([1]加工記録２!$O$3:$P$999991, [1]加工記録２!$T$3:$T$999991=B461), 6)), "", INDEX(_xlfn._xlws.FILTER([1]加工記録２!$O$3:$P$999991, [1]加工記録２!$T$3:$T$999991=B461), 6)),"")</f>
        <v>0</v>
      </c>
      <c r="J500" s="40" t="str">
        <v/>
      </c>
      <c r="K500" s="34"/>
    </row>
    <row r="501" spans="1:14" s="7" customFormat="1" ht="18" customHeight="1">
      <c r="A501" s="118" t="s">
        <v>137</v>
      </c>
      <c r="B501" s="120" t="str">
        <f>_xlfn.XLOOKUP(B459,[1]VFDB2!A:A,[1]VFDB2!AC:AC)</f>
        <v>換算表確認</v>
      </c>
      <c r="C501" s="122" t="s">
        <v>138</v>
      </c>
      <c r="D501" s="106" t="str">
        <f>_xlfn.XLOOKUP(B459,[1]VFDB2!A:A,[1]VFDB2!K:K)</f>
        <v>－0.5</v>
      </c>
      <c r="E501" s="88" t="str">
        <f>_xlfn.XLOOKUP(B459,[1]VFDB2!A:A,[1]VFDB2!R:R)</f>
        <v>ラベル１枚　長手無　鉢巻１回</v>
      </c>
      <c r="F501" s="89"/>
      <c r="G501" s="90"/>
      <c r="H501" s="35" t="s">
        <v>139</v>
      </c>
      <c r="I501" s="32" t="str" cm="1">
        <f t="array" ref="I501:J501">IFERROR(IF(ISBLANK(INDEX(_xlfn._xlws.FILTER([1]加工記録２!$O$3:$P$999991, [1]加工記録２!$T$3:$T$999991=B461), 7)), "", INDEX(_xlfn._xlws.FILTER([1]加工記録２!$O$3:$P$999991, [1]加工記録２!$T$3:$T$999991=B461), 7)),"")</f>
        <v>C/M</v>
      </c>
      <c r="J501" s="41">
        <v>1</v>
      </c>
      <c r="K501" s="37"/>
    </row>
    <row r="502" spans="1:14" s="5" customFormat="1" ht="18" customHeight="1" thickBot="1">
      <c r="A502" s="119"/>
      <c r="B502" s="121"/>
      <c r="C502" s="123"/>
      <c r="D502" s="107"/>
      <c r="E502" s="91"/>
      <c r="F502" s="92"/>
      <c r="G502" s="93"/>
      <c r="H502" s="42" t="s">
        <v>140</v>
      </c>
      <c r="I502" s="43" t="str" cm="1">
        <f t="array" ref="I502:J502">IFERROR(IF(ISBLANK(INDEX(_xlfn._xlws.FILTER([1]加工記録２!$O$3:$P$999991, [1]加工記録２!$T$3:$T$999991=B461), 8)), "", INDEX(_xlfn._xlws.FILTER([1]加工記録２!$O$3:$P$999991, [1]加工記録２!$T$3:$T$999991=B461), 8)),"")</f>
        <v>T/U</v>
      </c>
      <c r="J502" s="44">
        <v>10</v>
      </c>
    </row>
    <row r="503" spans="1:14" s="55" customFormat="1" ht="18.95" customHeight="1">
      <c r="A503" s="45" t="s">
        <v>141</v>
      </c>
      <c r="B503" s="46" t="s">
        <v>142</v>
      </c>
      <c r="C503" s="47" t="s">
        <v>143</v>
      </c>
      <c r="D503" s="47" t="s">
        <v>144</v>
      </c>
      <c r="E503" s="48" t="s">
        <v>145</v>
      </c>
      <c r="F503" s="49" t="s">
        <v>146</v>
      </c>
      <c r="G503" s="50" t="s">
        <v>147</v>
      </c>
      <c r="H503" s="51" t="s">
        <v>148</v>
      </c>
      <c r="I503" s="52" t="s">
        <v>149</v>
      </c>
      <c r="J503" s="53" t="s">
        <v>150</v>
      </c>
      <c r="K503" s="54"/>
      <c r="L503" s="54"/>
      <c r="M503" s="54"/>
      <c r="N503" s="54"/>
    </row>
    <row r="504" spans="1:14" s="66" customFormat="1" ht="18.95" customHeight="1">
      <c r="A504" s="56" cm="1">
        <f t="array" ref="A504:J504">IFERROR(IF(ISBLANK(INDEX(_xlfn._xlws.FILTER([1]加工記録２!$D$3:$M$999991, [1]加工記録２!$T$3:$T$999991=B461), 1)), "", INDEX(_xlfn._xlws.FILTER([1]加工記録２!$D$3:$M$999991, [1]加工記録２!$T$3:$T$999991=B461), 1)),"")</f>
        <v>45953</v>
      </c>
      <c r="B504" s="57" t="str">
        <v>25J16-01</v>
      </c>
      <c r="C504" s="58" t="str">
        <v/>
      </c>
      <c r="D504" s="58" t="str">
        <v/>
      </c>
      <c r="E504" s="59" t="str">
        <v/>
      </c>
      <c r="F504" s="60" t="str">
        <v>25J16-01</v>
      </c>
      <c r="G504" s="61">
        <v>2</v>
      </c>
      <c r="H504" s="62">
        <v>1</v>
      </c>
      <c r="I504" s="63">
        <v>45957</v>
      </c>
      <c r="J504" s="64">
        <v>3</v>
      </c>
      <c r="K504" s="65"/>
      <c r="L504" s="65"/>
      <c r="M504" s="65"/>
      <c r="N504" s="65"/>
    </row>
    <row r="505" spans="1:14" s="66" customFormat="1" ht="18.95" customHeight="1">
      <c r="A505" s="67" cm="1">
        <f t="array" ref="A505:J505">IFERROR(IF(ISBLANK(INDEX(_xlfn._xlws.FILTER([1]加工記録２!$D$3:$M$999991, [1]加工記録２!$T$3:$T$999991=B461), 2)), "", INDEX(_xlfn._xlws.FILTER([1]加工記録２!$D$3:$M$999991, [1]加工記録２!$T$3:$T$999991=B461), 2)),"")</f>
        <v>45954</v>
      </c>
      <c r="B505" s="68" t="str">
        <v>25I26-15</v>
      </c>
      <c r="C505" s="68">
        <v>20</v>
      </c>
      <c r="D505" s="68">
        <v>888</v>
      </c>
      <c r="E505" s="69">
        <v>888.26</v>
      </c>
      <c r="F505" s="70" t="str">
        <v>25I26-15</v>
      </c>
      <c r="G505" s="71">
        <v>84</v>
      </c>
      <c r="H505" s="72">
        <v>42</v>
      </c>
      <c r="I505" s="63">
        <v>45958</v>
      </c>
      <c r="J505" s="64">
        <v>14</v>
      </c>
      <c r="K505" s="65"/>
      <c r="L505" s="65"/>
      <c r="M505" s="65"/>
      <c r="N505" s="65"/>
    </row>
    <row r="506" spans="1:14" s="66" customFormat="1" ht="18.95" customHeight="1">
      <c r="A506" s="67" cm="1">
        <f t="array" ref="A506:J506">IFERROR(IF(ISBLANK(INDEX(_xlfn._xlws.FILTER([1]加工記録２!$D$3:$M$999991, [1]加工記録２!$T$3:$T$999991=B461), 3)), "", INDEX(_xlfn._xlws.FILTER([1]加工記録２!$D$3:$M$999991, [1]加工記録２!$T$3:$T$999991=B461), 3)),"")</f>
        <v>45954</v>
      </c>
      <c r="B506" s="68" t="str">
        <v>25J16-02</v>
      </c>
      <c r="C506" s="68">
        <v>20</v>
      </c>
      <c r="D506" s="68">
        <v>888</v>
      </c>
      <c r="E506" s="69">
        <v>888.05</v>
      </c>
      <c r="F506" s="70" t="str">
        <v>25J16-02</v>
      </c>
      <c r="G506" s="71">
        <v>1600</v>
      </c>
      <c r="H506" s="72">
        <v>800</v>
      </c>
      <c r="I506" s="63">
        <v>45959</v>
      </c>
      <c r="J506" s="64">
        <v>3</v>
      </c>
      <c r="K506" s="65"/>
      <c r="L506" s="65"/>
      <c r="M506" s="65"/>
      <c r="N506" s="65"/>
    </row>
    <row r="507" spans="1:14" s="66" customFormat="1" ht="18.95" customHeight="1">
      <c r="A507" s="67" cm="1">
        <f t="array" ref="A507:J507">IFERROR(IF(ISBLANK(INDEX(_xlfn._xlws.FILTER([1]加工記録２!$D$3:$M$999991, [1]加工記録２!$T$3:$T$999991=B461), 4)), "", INDEX(_xlfn._xlws.FILTER([1]加工記録２!$D$3:$M$999991, [1]加工記録２!$T$3:$T$999991=B461), 4)),"")</f>
        <v>45957</v>
      </c>
      <c r="B507" s="68" t="str">
        <v>25J16-02</v>
      </c>
      <c r="C507" s="68">
        <v>20</v>
      </c>
      <c r="D507" s="68">
        <v>888</v>
      </c>
      <c r="E507" s="69">
        <v>888.14</v>
      </c>
      <c r="F507" s="70" t="str">
        <v>25J17-03</v>
      </c>
      <c r="G507" s="71">
        <v>324</v>
      </c>
      <c r="H507" s="72">
        <v>162</v>
      </c>
      <c r="I507" s="63" t="str">
        <v/>
      </c>
      <c r="J507" s="64" t="str">
        <v/>
      </c>
      <c r="K507" s="65"/>
      <c r="L507" s="65"/>
      <c r="M507" s="65"/>
      <c r="N507" s="65"/>
    </row>
    <row r="508" spans="1:14" s="66" customFormat="1" ht="18.95" customHeight="1">
      <c r="A508" s="67" cm="1">
        <f t="array" ref="A508:J508">IFERROR(IF(ISBLANK(INDEX(_xlfn._xlws.FILTER([1]加工記録２!$D$3:$M$999991, [1]加工記録２!$T$3:$T$999991=B461), 5)), "", INDEX(_xlfn._xlws.FILTER([1]加工記録２!$D$3:$M$999991, [1]加工記録２!$T$3:$T$999991=B461), 5)),"")</f>
        <v>45957</v>
      </c>
      <c r="B508" s="68" t="str">
        <v>25J16-02</v>
      </c>
      <c r="C508" s="68">
        <v>20</v>
      </c>
      <c r="D508" s="68">
        <v>888</v>
      </c>
      <c r="E508" s="69">
        <v>888.1</v>
      </c>
      <c r="F508" s="70" t="str">
        <v/>
      </c>
      <c r="G508" s="71" t="str">
        <v/>
      </c>
      <c r="H508" s="72">
        <v>0</v>
      </c>
      <c r="I508" s="73" t="str">
        <v/>
      </c>
      <c r="J508" s="74" t="str">
        <v/>
      </c>
      <c r="K508" s="65"/>
      <c r="L508" s="65"/>
      <c r="M508" s="65"/>
      <c r="N508" s="65"/>
    </row>
    <row r="509" spans="1:14" s="66" customFormat="1" ht="18.95" customHeight="1">
      <c r="A509" s="67" cm="1">
        <f t="array" ref="A509:J509">IFERROR(IF(ISBLANK(INDEX(_xlfn._xlws.FILTER([1]加工記録２!$D$3:$M$999991, [1]加工記録２!$T$3:$T$999991=B461), 6)), "", INDEX(_xlfn._xlws.FILTER([1]加工記録２!$D$3:$M$999991, [1]加工記録２!$T$3:$T$999991=B461), 6)),"")</f>
        <v>45957</v>
      </c>
      <c r="B509" s="68" t="str">
        <v>25J16-02</v>
      </c>
      <c r="C509" s="68">
        <v>20</v>
      </c>
      <c r="D509" s="68">
        <v>888</v>
      </c>
      <c r="E509" s="69">
        <v>888.17</v>
      </c>
      <c r="F509" s="70" t="str">
        <v/>
      </c>
      <c r="G509" s="71" t="str">
        <v/>
      </c>
      <c r="H509" s="75">
        <v>0</v>
      </c>
      <c r="I509" s="76" t="str">
        <v>旧品加工</v>
      </c>
      <c r="J509" s="77">
        <v>2</v>
      </c>
      <c r="K509" s="65"/>
      <c r="L509" s="65"/>
      <c r="M509" s="65"/>
      <c r="N509" s="65"/>
    </row>
    <row r="510" spans="1:14" s="66" customFormat="1" ht="18.95" customHeight="1">
      <c r="A510" s="67" cm="1">
        <f t="array" ref="A510:J510">IFERROR(IF(ISBLANK(INDEX(_xlfn._xlws.FILTER([1]加工記録２!$D$3:$M$999991, [1]加工記録２!$T$3:$T$999991=B461), 7)), "", INDEX(_xlfn._xlws.FILTER([1]加工記録２!$D$3:$M$999991, [1]加工記録２!$T$3:$T$999991=B461), 7)),"")</f>
        <v>45957</v>
      </c>
      <c r="B510" s="68" t="str">
        <v>25J16-02</v>
      </c>
      <c r="C510" s="68">
        <v>22</v>
      </c>
      <c r="D510" s="68">
        <v>888.12</v>
      </c>
      <c r="E510" s="69">
        <v>888.2</v>
      </c>
      <c r="F510" s="70" t="str">
        <v/>
      </c>
      <c r="G510" s="71" t="str">
        <v/>
      </c>
      <c r="H510" s="75">
        <v>0</v>
      </c>
      <c r="I510" s="78" t="str">
        <v>持出端材</v>
      </c>
      <c r="J510" s="79" t="str">
        <v/>
      </c>
      <c r="K510" s="65"/>
      <c r="L510" s="65"/>
      <c r="M510" s="65"/>
      <c r="N510" s="65"/>
    </row>
    <row r="511" spans="1:14" s="66" customFormat="1" ht="18.95" customHeight="1" thickBot="1">
      <c r="A511" s="80" cm="1">
        <f t="array" ref="A511:J511">IFERROR(IF(ISBLANK(INDEX(_xlfn._xlws.FILTER([1]加工記録２!$D$3:$M$999991, [1]加工記録２!$T$3:$T$999991=B461), 8)), "", INDEX(_xlfn._xlws.FILTER([1]加工記録２!$D$3:$M$999991, [1]加工記録２!$T$3:$T$999991=B461), 8)),"")</f>
        <v>45958</v>
      </c>
      <c r="B511" s="81" t="str">
        <v>25J17-03</v>
      </c>
      <c r="C511" s="81">
        <v>22</v>
      </c>
      <c r="D511" s="81">
        <v>888.12</v>
      </c>
      <c r="E511" s="82">
        <v>888.19</v>
      </c>
      <c r="F511" s="83" t="str">
        <v/>
      </c>
      <c r="G511" s="84" t="str">
        <v/>
      </c>
      <c r="H511" s="85">
        <v>0</v>
      </c>
      <c r="I511" s="86" t="str">
        <v>α端材</v>
      </c>
      <c r="J511" s="87">
        <v>0</v>
      </c>
      <c r="K511" s="65"/>
      <c r="L511" s="65"/>
      <c r="M511" s="65"/>
      <c r="N511" s="65"/>
    </row>
    <row r="512" spans="1:14" ht="6" customHeight="1" thickBot="1"/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1"/>
      <c r="B514" s="163" t="s">
        <v>0</v>
      </c>
      <c r="C514" s="95"/>
      <c r="D514" s="95"/>
      <c r="E514" s="11"/>
      <c r="F514" s="11"/>
      <c r="G514" s="11"/>
      <c r="H514" s="11"/>
      <c r="I514" s="11"/>
      <c r="J514" s="11"/>
    </row>
    <row r="515" spans="1:10" ht="14.25" customHeight="1">
      <c r="A515" s="12"/>
      <c r="B515" s="95"/>
      <c r="C515" s="95"/>
      <c r="D515" s="95"/>
      <c r="E515" s="12"/>
      <c r="F515" s="12"/>
      <c r="G515" s="12"/>
      <c r="H515" s="12"/>
      <c r="I515" s="12"/>
      <c r="J515" s="12"/>
    </row>
    <row r="516" spans="1:10" ht="14.25" customHeight="1">
      <c r="A516" s="109" t="s">
        <v>1</v>
      </c>
      <c r="B516" s="109" t="s">
        <v>109</v>
      </c>
      <c r="C516" s="109" t="s">
        <v>3</v>
      </c>
      <c r="D516" s="94">
        <v>1478</v>
      </c>
      <c r="E516" s="109" t="s">
        <v>4</v>
      </c>
      <c r="F516" s="151" t="s">
        <v>110</v>
      </c>
      <c r="G516" s="95"/>
      <c r="H516" s="148"/>
      <c r="I516" s="13" t="s">
        <v>6</v>
      </c>
      <c r="J516" s="13" t="s">
        <v>7</v>
      </c>
    </row>
    <row r="517" spans="1:10" ht="14.25" customHeight="1">
      <c r="A517" s="95"/>
      <c r="B517" s="95"/>
      <c r="C517" s="95"/>
      <c r="D517" s="95"/>
      <c r="E517" s="95"/>
      <c r="F517" s="95"/>
      <c r="G517" s="95"/>
      <c r="H517" s="148"/>
      <c r="I517" s="143"/>
      <c r="J517" s="143"/>
    </row>
    <row r="518" spans="1:10" ht="17.45" customHeight="1">
      <c r="A518" s="103" t="s">
        <v>8</v>
      </c>
      <c r="B518" s="103" t="s">
        <v>111</v>
      </c>
      <c r="E518" s="103" t="s">
        <v>10</v>
      </c>
      <c r="F518" s="153" t="s">
        <v>112</v>
      </c>
      <c r="G518" s="95"/>
      <c r="H518" s="148"/>
      <c r="I518" s="144"/>
      <c r="J518" s="144"/>
    </row>
    <row r="519" spans="1:10" ht="17.45" customHeight="1">
      <c r="A519" s="95"/>
      <c r="B519" s="95"/>
      <c r="E519" s="95"/>
      <c r="F519" s="95"/>
      <c r="G519" s="95"/>
      <c r="H519" s="148"/>
      <c r="I519" s="14"/>
      <c r="J519" s="14"/>
    </row>
    <row r="520" spans="1:10" ht="17.45" customHeight="1">
      <c r="A520" s="103" t="s">
        <v>12</v>
      </c>
      <c r="B520" s="103" t="s">
        <v>113</v>
      </c>
      <c r="E520" s="2" t="s">
        <v>14</v>
      </c>
      <c r="F520" s="101" t="s">
        <v>15</v>
      </c>
      <c r="G520" s="95"/>
      <c r="H520" s="21"/>
    </row>
    <row r="521" spans="1:10" ht="17.45" customHeight="1">
      <c r="A521" s="95"/>
      <c r="B521" s="95"/>
      <c r="E521" s="2" t="s">
        <v>16</v>
      </c>
      <c r="F521" s="21" t="s">
        <v>17</v>
      </c>
      <c r="G521" s="21"/>
      <c r="H521" s="21"/>
    </row>
    <row r="522" spans="1:10" ht="17.45" customHeight="1">
      <c r="A522" s="2" t="s">
        <v>18</v>
      </c>
      <c r="B522" s="4">
        <v>45940</v>
      </c>
      <c r="E522" s="2" t="s">
        <v>19</v>
      </c>
      <c r="F522" s="150">
        <v>100</v>
      </c>
      <c r="G522" s="95"/>
      <c r="H522" s="21"/>
    </row>
    <row r="523" spans="1:10" ht="17.45" customHeight="1">
      <c r="A523" s="2" t="s">
        <v>20</v>
      </c>
      <c r="B523" s="4">
        <v>45940</v>
      </c>
      <c r="E523" s="2" t="s">
        <v>21</v>
      </c>
      <c r="F523" s="21">
        <v>13</v>
      </c>
      <c r="G523" s="162" t="s">
        <v>22</v>
      </c>
      <c r="H523" s="155">
        <v>1300</v>
      </c>
      <c r="I523" s="156"/>
      <c r="J523" s="157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24</v>
      </c>
      <c r="G524" s="158"/>
      <c r="H524" s="158"/>
      <c r="I524" s="146"/>
      <c r="J524" s="149"/>
    </row>
    <row r="525" spans="1:10" ht="13.5" customHeight="1">
      <c r="A525" s="108" t="s">
        <v>114</v>
      </c>
      <c r="B525" s="95"/>
      <c r="C525" s="95"/>
      <c r="D525" s="20"/>
      <c r="F525" s="3"/>
      <c r="G525" s="112" t="s">
        <v>26</v>
      </c>
      <c r="H525" s="152" t="s">
        <v>27</v>
      </c>
      <c r="I525" s="147" t="s">
        <v>28</v>
      </c>
      <c r="J525" s="148"/>
    </row>
    <row r="526" spans="1:10" ht="13.5" customHeight="1">
      <c r="A526" s="95"/>
      <c r="B526" s="95"/>
      <c r="C526" s="95"/>
      <c r="D526" s="20"/>
      <c r="F526" s="3"/>
      <c r="G526" s="113"/>
      <c r="H526" s="113"/>
      <c r="I526" s="146"/>
      <c r="J526" s="149"/>
    </row>
    <row r="527" spans="1:10" ht="13.5" customHeight="1">
      <c r="A527" s="1" t="s">
        <v>29</v>
      </c>
    </row>
    <row r="528" spans="1:10" ht="63" customHeight="1">
      <c r="A528" s="164"/>
      <c r="B528" s="165"/>
      <c r="C528" s="165"/>
      <c r="D528" s="165"/>
      <c r="E528" s="165"/>
      <c r="F528" s="165"/>
      <c r="G528" s="165"/>
      <c r="H528" s="165"/>
      <c r="I528" s="165"/>
      <c r="J528" s="165"/>
    </row>
    <row r="529" spans="1:10" ht="18.75">
      <c r="A529" s="23" t="s">
        <v>30</v>
      </c>
      <c r="B529" s="16" t="s">
        <v>31</v>
      </c>
      <c r="C529" s="141" t="s">
        <v>32</v>
      </c>
      <c r="D529" s="142"/>
      <c r="E529" s="16" t="s">
        <v>33</v>
      </c>
      <c r="F529" s="141" t="s">
        <v>34</v>
      </c>
      <c r="G529" s="142"/>
      <c r="H529" s="142"/>
      <c r="I529" s="159" t="s">
        <v>35</v>
      </c>
      <c r="J529" s="142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4" t="s">
        <v>36</v>
      </c>
      <c r="C531" s="100" t="s">
        <v>37</v>
      </c>
      <c r="D531" s="95"/>
      <c r="E531" s="24" t="s">
        <v>38</v>
      </c>
      <c r="F531" s="100" t="s">
        <v>39</v>
      </c>
      <c r="G531" s="95"/>
      <c r="H531" s="95"/>
      <c r="I531" s="96"/>
      <c r="J531" s="95"/>
    </row>
    <row r="532" spans="1:10" ht="16.5" customHeight="1">
      <c r="A532" s="22">
        <v>1</v>
      </c>
      <c r="B532" s="25" t="s">
        <v>36</v>
      </c>
      <c r="C532" s="100" t="s">
        <v>37</v>
      </c>
      <c r="D532" s="95"/>
      <c r="E532" s="24" t="s">
        <v>40</v>
      </c>
      <c r="F532" s="100" t="s">
        <v>41</v>
      </c>
      <c r="G532" s="95"/>
      <c r="H532" s="95"/>
      <c r="I532" s="96"/>
      <c r="J532" s="95"/>
    </row>
    <row r="533" spans="1:10" ht="16.5" customHeight="1">
      <c r="A533" s="22"/>
      <c r="B533" s="25"/>
      <c r="C533" s="100"/>
      <c r="D533" s="95"/>
      <c r="E533" s="24"/>
      <c r="F533" s="100"/>
      <c r="G533" s="95"/>
      <c r="H533" s="95"/>
      <c r="I533" s="96"/>
      <c r="J533" s="95"/>
    </row>
    <row r="534" spans="1:10" ht="16.5" customHeight="1">
      <c r="A534" s="22"/>
      <c r="B534" s="25"/>
      <c r="C534" s="100"/>
      <c r="D534" s="95"/>
      <c r="E534" s="24"/>
      <c r="F534" s="100"/>
      <c r="G534" s="95"/>
      <c r="H534" s="95"/>
      <c r="I534" s="96"/>
      <c r="J534" s="95"/>
    </row>
    <row r="535" spans="1:10" ht="16.5" customHeight="1">
      <c r="A535" s="22"/>
      <c r="B535" s="25"/>
      <c r="C535" s="100"/>
      <c r="D535" s="95"/>
      <c r="E535" s="24"/>
      <c r="F535" s="100"/>
      <c r="G535" s="95"/>
      <c r="H535" s="95"/>
      <c r="I535" s="96"/>
      <c r="J535" s="95"/>
    </row>
    <row r="536" spans="1:10" ht="16.5" customHeight="1">
      <c r="A536" s="22"/>
      <c r="B536" s="25"/>
      <c r="C536" s="100"/>
      <c r="D536" s="95"/>
      <c r="E536" s="24"/>
      <c r="F536" s="100"/>
      <c r="G536" s="95"/>
      <c r="H536" s="95"/>
      <c r="I536" s="96"/>
      <c r="J536" s="95"/>
    </row>
    <row r="537" spans="1:10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10" t="s">
        <v>42</v>
      </c>
      <c r="B538" s="111"/>
      <c r="C538" s="110" t="s">
        <v>43</v>
      </c>
      <c r="D538" s="111"/>
      <c r="E538" s="111"/>
      <c r="F538" s="17" t="s">
        <v>44</v>
      </c>
      <c r="G538" s="110" t="s">
        <v>45</v>
      </c>
      <c r="H538" s="111"/>
      <c r="I538" s="110" t="s">
        <v>46</v>
      </c>
      <c r="J538" s="111"/>
    </row>
    <row r="539" spans="1:10" ht="14.25" customHeight="1">
      <c r="A539" s="8"/>
      <c r="B539" s="18"/>
      <c r="C539" s="145" t="s">
        <v>47</v>
      </c>
      <c r="D539" s="146"/>
      <c r="E539" s="18"/>
      <c r="F539" s="145" t="s">
        <v>29</v>
      </c>
      <c r="G539" s="146"/>
      <c r="H539" s="146"/>
      <c r="I539" s="146"/>
      <c r="J539" s="146"/>
    </row>
    <row r="540" spans="1:10">
      <c r="A540" s="9"/>
      <c r="C540" s="7"/>
      <c r="D540" s="7"/>
      <c r="E540" s="7"/>
    </row>
    <row r="541" spans="1:10" ht="14.25" customHeight="1">
      <c r="A541" s="100" t="s">
        <v>48</v>
      </c>
      <c r="B541" s="95"/>
      <c r="C541" s="100" t="s">
        <v>49</v>
      </c>
      <c r="D541" s="95"/>
      <c r="E541" s="95"/>
      <c r="F541" s="26" t="s">
        <v>27</v>
      </c>
      <c r="G541" s="99">
        <v>1300</v>
      </c>
      <c r="H541" s="95"/>
      <c r="I541" s="99">
        <v>13</v>
      </c>
      <c r="J541" s="95"/>
    </row>
    <row r="542" spans="1:10" ht="24.95" customHeight="1">
      <c r="A542" s="102" t="s">
        <v>50</v>
      </c>
      <c r="B542" s="95"/>
      <c r="C542" s="100"/>
      <c r="D542" s="95"/>
      <c r="E542" s="95"/>
      <c r="F542" s="100"/>
      <c r="G542" s="95"/>
      <c r="H542" s="95"/>
      <c r="I542" s="95"/>
      <c r="J542" s="95"/>
    </row>
    <row r="543" spans="1:10" ht="14.25" customHeight="1">
      <c r="A543" s="154" t="s">
        <v>121</v>
      </c>
      <c r="B543" s="95"/>
      <c r="C543" s="100" t="s">
        <v>115</v>
      </c>
      <c r="D543" s="95"/>
      <c r="E543" s="95"/>
      <c r="F543" s="26" t="s">
        <v>53</v>
      </c>
      <c r="G543" s="99">
        <v>13</v>
      </c>
      <c r="H543" s="95"/>
      <c r="I543" s="99">
        <v>0.13</v>
      </c>
      <c r="J543" s="95"/>
    </row>
    <row r="544" spans="1:10" ht="24.95" customHeight="1">
      <c r="A544" s="102" t="s">
        <v>116</v>
      </c>
      <c r="B544" s="95"/>
      <c r="C544" s="100" t="s">
        <v>117</v>
      </c>
      <c r="D544" s="95"/>
      <c r="E544" s="95"/>
      <c r="F544" s="100"/>
      <c r="G544" s="95"/>
      <c r="H544" s="95"/>
      <c r="I544" s="95"/>
      <c r="J544" s="95"/>
    </row>
    <row r="545" spans="1:14" ht="14.25" customHeight="1">
      <c r="A545" s="100" t="s">
        <v>56</v>
      </c>
      <c r="B545" s="95"/>
      <c r="C545" s="100" t="s">
        <v>57</v>
      </c>
      <c r="D545" s="95"/>
      <c r="E545" s="95"/>
      <c r="F545" s="26"/>
      <c r="G545" s="99">
        <v>2.6</v>
      </c>
      <c r="H545" s="95"/>
      <c r="I545" s="99">
        <v>2.5999999999999999E-2</v>
      </c>
      <c r="J545" s="95"/>
    </row>
    <row r="546" spans="1:14" ht="24.95" customHeight="1">
      <c r="A546" s="102" t="s">
        <v>58</v>
      </c>
      <c r="B546" s="95"/>
      <c r="C546" s="100" t="s">
        <v>59</v>
      </c>
      <c r="D546" s="95"/>
      <c r="E546" s="95"/>
      <c r="F546" s="100"/>
      <c r="G546" s="95"/>
      <c r="H546" s="95"/>
      <c r="I546" s="95"/>
      <c r="J546" s="95"/>
    </row>
    <row r="547" spans="1:14" ht="14.25" customHeight="1">
      <c r="A547" s="100" t="s">
        <v>60</v>
      </c>
      <c r="B547" s="95"/>
      <c r="C547" s="100" t="s">
        <v>61</v>
      </c>
      <c r="D547" s="95"/>
      <c r="E547" s="95"/>
      <c r="F547" s="26"/>
      <c r="G547" s="99">
        <v>1.3</v>
      </c>
      <c r="H547" s="95"/>
      <c r="I547" s="99">
        <v>1.2999999999999999E-2</v>
      </c>
      <c r="J547" s="95"/>
    </row>
    <row r="548" spans="1:14" ht="24.95" customHeight="1">
      <c r="A548" s="102" t="s">
        <v>62</v>
      </c>
      <c r="B548" s="95"/>
      <c r="C548" s="100" t="s">
        <v>63</v>
      </c>
      <c r="D548" s="95"/>
      <c r="E548" s="95"/>
      <c r="F548" s="100"/>
      <c r="G548" s="95"/>
      <c r="H548" s="95"/>
      <c r="I548" s="95"/>
      <c r="J548" s="95"/>
    </row>
    <row r="549" spans="1:14" ht="14.25" customHeight="1">
      <c r="A549" s="100"/>
      <c r="B549" s="95"/>
      <c r="C549" s="100"/>
      <c r="D549" s="95"/>
      <c r="E549" s="95"/>
      <c r="F549" s="26"/>
      <c r="G549" s="99"/>
      <c r="H549" s="95"/>
      <c r="I549" s="99"/>
      <c r="J549" s="95"/>
    </row>
    <row r="550" spans="1:14" ht="24.95" customHeight="1" thickBot="1">
      <c r="A550" s="102"/>
      <c r="B550" s="95"/>
      <c r="C550" s="100"/>
      <c r="D550" s="95"/>
      <c r="E550" s="95"/>
      <c r="F550" s="100"/>
      <c r="G550" s="95"/>
      <c r="H550" s="95"/>
      <c r="I550" s="95"/>
      <c r="J550" s="95"/>
    </row>
    <row r="551" spans="1:14" s="5" customFormat="1" ht="18" customHeight="1">
      <c r="A551" s="124" t="s">
        <v>122</v>
      </c>
      <c r="B551" s="125"/>
      <c r="C551" s="125"/>
      <c r="D551" s="125"/>
      <c r="E551" s="126" t="s">
        <v>123</v>
      </c>
      <c r="F551" s="127"/>
      <c r="G551" s="27" t="s">
        <v>124</v>
      </c>
      <c r="H551" s="104" t="s">
        <v>125</v>
      </c>
      <c r="I551" s="105"/>
      <c r="J551" s="28" t="s">
        <v>126</v>
      </c>
    </row>
    <row r="552" spans="1:14" s="7" customFormat="1" ht="18" customHeight="1">
      <c r="A552" s="136" t="str">
        <f>_xlfn.XLOOKUP(B516,[1]VFDB2!A:A,[1]VFDB2!B:B)</f>
        <v>8FL281304 6110　L=1478</v>
      </c>
      <c r="B552" s="137"/>
      <c r="C552" s="137"/>
      <c r="D552" s="137"/>
      <c r="E552" s="88" t="str" cm="1">
        <f t="array" ref="E552">IFERROR(IF(ISBLANK(INDEX(_xlfn._xlws.FILTER([1]加工記録２!$C$3:$C$999991, [1]加工記録２!$T$3:$T$999991=B518), 6)), "", INDEX(_xlfn._xlws.FILTER([1]加工記録２!$C$3:$C$999991, [1]加工記録２!$T$3:$T$999991=B518), 6)),"")</f>
        <v>LED-A1478</v>
      </c>
      <c r="F552" s="89"/>
      <c r="G552" s="140" cm="1">
        <f t="array" ref="G552">IFERROR(IF(ISBLANK(INDEX(_xlfn._xlws.FILTER([1]加工記録２!$C$3:$C$999991, [1]加工記録２!$T$3:$T$999991=B518), 7)), " ", INDEX(_xlfn._xlws.FILTER([1]加工記録２!$C$3:$C$999991, [1]加工記録２!$T$3:$T$999991=B518), 7))," ")</f>
        <v>13</v>
      </c>
      <c r="H552" s="29" t="s">
        <v>127</v>
      </c>
      <c r="I552" s="30" cm="1">
        <f t="array" ref="I552:J552">IFERROR(IF(ISBLANK(INDEX(_xlfn._xlws.FILTER([1]加工記録２!$O$3:$P$999991, [1]加工記録２!$T$3:$T$999991=B518), 1)), "", INDEX(_xlfn._xlws.FILTER([1]加工記録２!$O$3:$P$999991, [1]加工記録２!$T$3:$T$999991=B518), 1)),"")</f>
        <v>45951</v>
      </c>
      <c r="J552" s="31">
        <v>8</v>
      </c>
    </row>
    <row r="553" spans="1:14" s="5" customFormat="1" ht="18" customHeight="1">
      <c r="A553" s="138"/>
      <c r="B553" s="139"/>
      <c r="C553" s="139"/>
      <c r="D553" s="139"/>
      <c r="E553" s="88"/>
      <c r="F553" s="89"/>
      <c r="G553" s="140"/>
      <c r="H553" s="29" t="s">
        <v>128</v>
      </c>
      <c r="I553" s="32" cm="1">
        <f t="array" ref="I553:J553">IFERROR(IF(ISBLANK(INDEX(_xlfn._xlws.FILTER([1]加工記録２!$O$3:$P$999991, [1]加工記録２!$T$3:$T$999991=B518), 2)), "", INDEX(_xlfn._xlws.FILTER([1]加工記録２!$O$3:$P$999991, [1]加工記録２!$T$3:$T$999991=B518), 2)),"")</f>
        <v>1300</v>
      </c>
      <c r="J553" s="33" t="str">
        <v/>
      </c>
      <c r="K553" s="34"/>
    </row>
    <row r="554" spans="1:14" s="7" customFormat="1" ht="18" customHeight="1">
      <c r="A554" s="118" t="s">
        <v>129</v>
      </c>
      <c r="B554" s="114" t="str">
        <f>_xlfn.XLOOKUP(B516,[1]VFDB2!A:A,[1]VFDB2!J:J)</f>
        <v>〇</v>
      </c>
      <c r="C554" s="116" t="s">
        <v>130</v>
      </c>
      <c r="D554" s="97">
        <f>_xlfn.XLOOKUP(B516,[1]VFDB2!A:A,[1]VFDB2!P:P)</f>
        <v>1</v>
      </c>
      <c r="E554" s="88" t="str">
        <f>_xlfn.XLOOKUP(B516,[1]VFDB2!A:A,[1]VFDB2!V:V)</f>
        <v>1箱目の梱包数 目視確認　以降、重量測定</v>
      </c>
      <c r="F554" s="89"/>
      <c r="G554" s="90"/>
      <c r="H554" s="35" t="s">
        <v>131</v>
      </c>
      <c r="I554" s="32" cm="1">
        <f t="array" ref="I554:J554">IFERROR(IF(ISBLANK(INDEX(_xlfn._xlws.FILTER([1]加工記録２!$O$3:$P$999991, [1]加工記録２!$T$3:$T$999991=B518), 3)), "", INDEX(_xlfn._xlws.FILTER([1]加工記録２!$O$3:$P$999991, [1]加工記録２!$T$3:$T$999991=B518), 3)),"")</f>
        <v>1309</v>
      </c>
      <c r="J554" s="36">
        <v>1</v>
      </c>
      <c r="K554" s="37"/>
    </row>
    <row r="555" spans="1:14" s="5" customFormat="1" ht="18" customHeight="1">
      <c r="A555" s="128"/>
      <c r="B555" s="115"/>
      <c r="C555" s="117"/>
      <c r="D555" s="98"/>
      <c r="E555" s="88"/>
      <c r="F555" s="89"/>
      <c r="G555" s="90"/>
      <c r="H555" s="35" t="s">
        <v>132</v>
      </c>
      <c r="I555" s="32" cm="1">
        <f t="array" ref="I555:J555">IFERROR(IF(ISBLANK(INDEX(_xlfn._xlws.FILTER([1]加工記録２!$O$3:$P$999991, [1]加工記録２!$T$3:$T$999991=B518), 4)), "", INDEX(_xlfn._xlws.FILTER([1]加工記録２!$O$3:$P$999991, [1]加工記録２!$T$3:$T$999991=B518), 4)),"")</f>
        <v>9</v>
      </c>
      <c r="J555" s="38" t="str">
        <v/>
      </c>
      <c r="K555" s="34"/>
    </row>
    <row r="556" spans="1:14" s="7" customFormat="1" ht="18" customHeight="1">
      <c r="A556" s="129" t="s">
        <v>133</v>
      </c>
      <c r="B556" s="131">
        <f>D516</f>
        <v>1478</v>
      </c>
      <c r="C556" s="133" t="s">
        <v>134</v>
      </c>
      <c r="D556" s="106" t="str">
        <f>_xlfn.XLOOKUP(B516,[1]VFDB2!A:A,[1]VFDB2!L:L)</f>
        <v>+0.5</v>
      </c>
      <c r="E556" s="88" t="str">
        <f>_xlfn.XLOOKUP(B516,[1]VFDB2!A:A,[1]VFDB2!W:W)</f>
        <v>クラフト紙：1478型</v>
      </c>
      <c r="F556" s="89"/>
      <c r="G556" s="90"/>
      <c r="H556" s="35" t="s">
        <v>135</v>
      </c>
      <c r="I556" s="32" cm="1">
        <f t="array" ref="I556:J556">IFERROR(IF(ISBLANK(INDEX(_xlfn._xlws.FILTER([1]加工記録２!$O$3:$P$999991, [1]加工記録２!$T$3:$T$999991=B518), 5)), "", INDEX(_xlfn._xlws.FILTER([1]加工記録２!$O$3:$P$999991, [1]加工記録２!$T$3:$T$999991=B518), 5)),"")</f>
        <v>9</v>
      </c>
      <c r="J556" s="39" t="str">
        <v/>
      </c>
      <c r="K556" s="37"/>
    </row>
    <row r="557" spans="1:14" s="5" customFormat="1" ht="18" customHeight="1">
      <c r="A557" s="130"/>
      <c r="B557" s="132"/>
      <c r="C557" s="134"/>
      <c r="D557" s="135"/>
      <c r="E557" s="88"/>
      <c r="F557" s="89"/>
      <c r="G557" s="90"/>
      <c r="H557" s="35" t="s">
        <v>136</v>
      </c>
      <c r="I557" s="32" cm="1">
        <f t="array" ref="I557:J557">IFERROR(IF(ISBLANK(INDEX(_xlfn._xlws.FILTER([1]加工記録２!$O$3:$P$999991, [1]加工記録２!$T$3:$T$999991=B518), 6)), "", INDEX(_xlfn._xlws.FILTER([1]加工記録２!$O$3:$P$999991, [1]加工記録２!$T$3:$T$999991=B518), 6)),"")</f>
        <v>0</v>
      </c>
      <c r="J557" s="40" t="str">
        <v/>
      </c>
      <c r="K557" s="34"/>
    </row>
    <row r="558" spans="1:14" s="7" customFormat="1" ht="18" customHeight="1">
      <c r="A558" s="118" t="s">
        <v>137</v>
      </c>
      <c r="B558" s="120" t="str">
        <f>_xlfn.XLOOKUP(B516,[1]VFDB2!A:A,[1]VFDB2!AC:AC)</f>
        <v>換算表確認</v>
      </c>
      <c r="C558" s="122" t="s">
        <v>138</v>
      </c>
      <c r="D558" s="106" t="str">
        <f>_xlfn.XLOOKUP(B516,[1]VFDB2!A:A,[1]VFDB2!K:K)</f>
        <v>－0.5</v>
      </c>
      <c r="E558" s="88" t="str">
        <f>_xlfn.XLOOKUP(B516,[1]VFDB2!A:A,[1]VFDB2!R:R)</f>
        <v>ラベル１枚　長手無　鉢巻１回</v>
      </c>
      <c r="F558" s="89"/>
      <c r="G558" s="90"/>
      <c r="H558" s="35" t="s">
        <v>139</v>
      </c>
      <c r="I558" s="32" t="str" cm="1">
        <f t="array" ref="I558:J558">IFERROR(IF(ISBLANK(INDEX(_xlfn._xlws.FILTER([1]加工記録２!$O$3:$P$999991, [1]加工記録２!$T$3:$T$999991=B518), 7)), "", INDEX(_xlfn._xlws.FILTER([1]加工記録２!$O$3:$P$999991, [1]加工記録２!$T$3:$T$999991=B518), 7)),"")</f>
        <v>M/C</v>
      </c>
      <c r="J558" s="41" t="str">
        <v/>
      </c>
      <c r="K558" s="37"/>
    </row>
    <row r="559" spans="1:14" s="5" customFormat="1" ht="18" customHeight="1" thickBot="1">
      <c r="A559" s="119"/>
      <c r="B559" s="121"/>
      <c r="C559" s="123"/>
      <c r="D559" s="107"/>
      <c r="E559" s="91"/>
      <c r="F559" s="92"/>
      <c r="G559" s="93"/>
      <c r="H559" s="42" t="s">
        <v>140</v>
      </c>
      <c r="I559" s="43" t="str" cm="1">
        <f t="array" ref="I559:J559">IFERROR(IF(ISBLANK(INDEX(_xlfn._xlws.FILTER([1]加工記録２!$O$3:$P$999991, [1]加工記録２!$T$3:$T$999991=B518), 8)), "", INDEX(_xlfn._xlws.FILTER([1]加工記録２!$O$3:$P$999991, [1]加工記録２!$T$3:$T$999991=B518), 8)),"")</f>
        <v>T/U</v>
      </c>
      <c r="J559" s="44">
        <v>9</v>
      </c>
    </row>
    <row r="560" spans="1:14" s="55" customFormat="1" ht="18.95" customHeight="1">
      <c r="A560" s="45" t="s">
        <v>141</v>
      </c>
      <c r="B560" s="46" t="s">
        <v>142</v>
      </c>
      <c r="C560" s="47" t="s">
        <v>143</v>
      </c>
      <c r="D560" s="47" t="s">
        <v>144</v>
      </c>
      <c r="E560" s="48" t="s">
        <v>145</v>
      </c>
      <c r="F560" s="49" t="s">
        <v>146</v>
      </c>
      <c r="G560" s="50" t="s">
        <v>147</v>
      </c>
      <c r="H560" s="51" t="s">
        <v>148</v>
      </c>
      <c r="I560" s="52" t="s">
        <v>149</v>
      </c>
      <c r="J560" s="53" t="s">
        <v>150</v>
      </c>
      <c r="K560" s="54"/>
      <c r="L560" s="54"/>
      <c r="M560" s="54"/>
      <c r="N560" s="54"/>
    </row>
    <row r="561" spans="1:14" s="66" customFormat="1" ht="18.95" customHeight="1">
      <c r="A561" s="56" cm="1">
        <f t="array" ref="A561:J561">IFERROR(IF(ISBLANK(INDEX(_xlfn._xlws.FILTER([1]加工記録２!$D$3:$M$999991, [1]加工記録２!$T$3:$T$999991=B518), 1)), "", INDEX(_xlfn._xlws.FILTER([1]加工記録２!$D$3:$M$999991, [1]加工記録２!$T$3:$T$999991=B518), 1)),"")</f>
        <v>45933</v>
      </c>
      <c r="B561" s="57" t="str">
        <v>25I23-11</v>
      </c>
      <c r="C561" s="58" t="str">
        <v/>
      </c>
      <c r="D561" s="58" t="str">
        <v/>
      </c>
      <c r="E561" s="59" t="str">
        <v/>
      </c>
      <c r="F561" s="60" t="str">
        <v>25I23-11</v>
      </c>
      <c r="G561" s="61">
        <v>6</v>
      </c>
      <c r="H561" s="62">
        <v>6</v>
      </c>
      <c r="I561" s="63">
        <v>45950</v>
      </c>
      <c r="J561" s="64">
        <v>9</v>
      </c>
      <c r="K561" s="65"/>
      <c r="L561" s="65"/>
      <c r="M561" s="65"/>
      <c r="N561" s="65"/>
    </row>
    <row r="562" spans="1:14" s="66" customFormat="1" ht="18.95" customHeight="1">
      <c r="A562" s="56" cm="1">
        <f t="array" ref="A562:J562">IFERROR(IF(ISBLANK(INDEX(_xlfn._xlws.FILTER([1]加工記録２!$D$3:$M$999991, [1]加工記録２!$T$3:$T$999991=B518), 2)), "", INDEX(_xlfn._xlws.FILTER([1]加工記録２!$D$3:$M$999991, [1]加工記録２!$T$3:$T$999991=B518), 2)),"")</f>
        <v>45937</v>
      </c>
      <c r="B562" s="57" t="str">
        <v>25I24-12</v>
      </c>
      <c r="C562" s="58" t="str">
        <v>-</v>
      </c>
      <c r="D562" s="58" t="str">
        <v/>
      </c>
      <c r="E562" s="59" t="str">
        <v>-</v>
      </c>
      <c r="F562" s="60" t="str">
        <v>25I24-12</v>
      </c>
      <c r="G562" s="61">
        <v>16</v>
      </c>
      <c r="H562" s="62">
        <v>16</v>
      </c>
      <c r="I562" s="63">
        <v>45951</v>
      </c>
      <c r="J562" s="64">
        <v>4</v>
      </c>
      <c r="K562" s="65"/>
      <c r="L562" s="65"/>
      <c r="M562" s="65"/>
      <c r="N562" s="65"/>
    </row>
    <row r="563" spans="1:14" s="66" customFormat="1" ht="18.95" customHeight="1">
      <c r="A563" s="67" cm="1">
        <f t="array" ref="A563:J563">IFERROR(IF(ISBLANK(INDEX(_xlfn._xlws.FILTER([1]加工記録２!$D$3:$M$999991, [1]加工記録２!$T$3:$T$999991=B518), 3)), "", INDEX(_xlfn._xlws.FILTER([1]加工記録２!$D$3:$M$999991, [1]加工記録２!$T$3:$T$999991=B518), 3)),"")</f>
        <v>45947</v>
      </c>
      <c r="B563" s="68" t="str">
        <v>25I25-13</v>
      </c>
      <c r="C563" s="68">
        <v>26</v>
      </c>
      <c r="D563" s="68">
        <v>1478.58</v>
      </c>
      <c r="E563" s="69">
        <v>1478.58</v>
      </c>
      <c r="F563" s="70" t="str">
        <v>25I25-13</v>
      </c>
      <c r="G563" s="71">
        <v>800</v>
      </c>
      <c r="H563" s="72">
        <v>800</v>
      </c>
      <c r="I563" s="63" t="str">
        <v/>
      </c>
      <c r="J563" s="64" t="str">
        <v/>
      </c>
      <c r="K563" s="65"/>
      <c r="L563" s="65"/>
      <c r="M563" s="65"/>
      <c r="N563" s="65"/>
    </row>
    <row r="564" spans="1:14" s="66" customFormat="1" ht="18.95" customHeight="1">
      <c r="A564" s="67" cm="1">
        <f t="array" ref="A564:J564">IFERROR(IF(ISBLANK(INDEX(_xlfn._xlws.FILTER([1]加工記録２!$D$3:$M$999991, [1]加工記録２!$T$3:$T$999991=B518), 4)), "", INDEX(_xlfn._xlws.FILTER([1]加工記録２!$D$3:$M$999991, [1]加工記録２!$T$3:$T$999991=B518), 4)),"")</f>
        <v>45950</v>
      </c>
      <c r="B564" s="68" t="str">
        <v>25I25-13</v>
      </c>
      <c r="C564" s="68">
        <v>22</v>
      </c>
      <c r="D564" s="68">
        <v>1478.19</v>
      </c>
      <c r="E564" s="69">
        <v>1478.38</v>
      </c>
      <c r="F564" s="70" t="str">
        <v>25I26-14</v>
      </c>
      <c r="G564" s="71">
        <v>487</v>
      </c>
      <c r="H564" s="72">
        <v>487</v>
      </c>
      <c r="I564" s="63" t="str">
        <v/>
      </c>
      <c r="J564" s="64" t="str">
        <v/>
      </c>
      <c r="K564" s="65"/>
      <c r="L564" s="65"/>
      <c r="M564" s="65"/>
      <c r="N564" s="65"/>
    </row>
    <row r="565" spans="1:14" s="66" customFormat="1" ht="18.95" customHeight="1">
      <c r="A565" s="67" cm="1">
        <f t="array" ref="A565:J565">IFERROR(IF(ISBLANK(INDEX(_xlfn._xlws.FILTER([1]加工記録２!$D$3:$M$999991, [1]加工記録２!$T$3:$T$999991=B518), 5)), "", INDEX(_xlfn._xlws.FILTER([1]加工記録２!$D$3:$M$999991, [1]加工記録２!$T$3:$T$999991=B518), 5)),"")</f>
        <v>45950</v>
      </c>
      <c r="B565" s="68" t="str">
        <v>25I25-13</v>
      </c>
      <c r="C565" s="68">
        <v>22</v>
      </c>
      <c r="D565" s="68">
        <v>1478.19</v>
      </c>
      <c r="E565" s="69">
        <v>1478.39</v>
      </c>
      <c r="F565" s="70" t="str">
        <v/>
      </c>
      <c r="G565" s="71" t="str">
        <v/>
      </c>
      <c r="H565" s="72">
        <v>0</v>
      </c>
      <c r="I565" s="73" t="str">
        <v/>
      </c>
      <c r="J565" s="74" t="str">
        <v/>
      </c>
      <c r="K565" s="65"/>
      <c r="L565" s="65"/>
      <c r="M565" s="65"/>
      <c r="N565" s="65"/>
    </row>
    <row r="566" spans="1:14" s="66" customFormat="1" ht="18.95" customHeight="1">
      <c r="A566" s="67" cm="1">
        <f t="array" ref="A566:J566">IFERROR(IF(ISBLANK(INDEX(_xlfn._xlws.FILTER([1]加工記録２!$D$3:$M$999991, [1]加工記録２!$T$3:$T$999991=B518), 6)), "", INDEX(_xlfn._xlws.FILTER([1]加工記録２!$D$3:$M$999991, [1]加工記録２!$T$3:$T$999991=B518), 6)),"")</f>
        <v>45950</v>
      </c>
      <c r="B566" s="68" t="str">
        <v>25I26-14</v>
      </c>
      <c r="C566" s="68">
        <v>22</v>
      </c>
      <c r="D566" s="68">
        <v>1478.19</v>
      </c>
      <c r="E566" s="69">
        <v>1478.27</v>
      </c>
      <c r="F566" s="70" t="str">
        <v/>
      </c>
      <c r="G566" s="71" t="str">
        <v/>
      </c>
      <c r="H566" s="75">
        <v>0</v>
      </c>
      <c r="I566" s="76" t="str">
        <v>旧品加工</v>
      </c>
      <c r="J566" s="77">
        <v>6</v>
      </c>
      <c r="K566" s="65"/>
      <c r="L566" s="65"/>
      <c r="M566" s="65"/>
      <c r="N566" s="65"/>
    </row>
    <row r="567" spans="1:14" s="66" customFormat="1" ht="18.95" customHeight="1">
      <c r="A567" s="67" cm="1">
        <f t="array" ref="A567:J567">IFERROR(IF(ISBLANK(INDEX(_xlfn._xlws.FILTER([1]加工記録２!$D$3:$M$999991, [1]加工記録２!$T$3:$T$999991=B518), 7)), "", INDEX(_xlfn._xlws.FILTER([1]加工記録２!$D$3:$M$999991, [1]加工記録２!$T$3:$T$999991=B518), 7)),"")</f>
        <v>45950</v>
      </c>
      <c r="B567" s="68" t="str">
        <v>25I26-14</v>
      </c>
      <c r="C567" s="68">
        <v>20</v>
      </c>
      <c r="D567" s="68">
        <v>1478</v>
      </c>
      <c r="E567" s="69">
        <v>1478.16</v>
      </c>
      <c r="F567" s="70" t="str">
        <v/>
      </c>
      <c r="G567" s="71" t="str">
        <v/>
      </c>
      <c r="H567" s="75">
        <v>0</v>
      </c>
      <c r="I567" s="78" t="str">
        <v>持出端材</v>
      </c>
      <c r="J567" s="79" t="str">
        <v/>
      </c>
      <c r="K567" s="65"/>
      <c r="L567" s="65"/>
      <c r="M567" s="65"/>
      <c r="N567" s="65"/>
    </row>
    <row r="568" spans="1:14" s="66" customFormat="1" ht="18.95" customHeight="1" thickBot="1">
      <c r="A568" s="80" t="str" cm="1">
        <f t="array" ref="A568:J568">IFERROR(IF(ISBLANK(INDEX(_xlfn._xlws.FILTER([1]加工記録２!$D$3:$M$999991, [1]加工記録２!$T$3:$T$999991=B518), 8)), "", INDEX(_xlfn._xlws.FILTER([1]加工記録２!$D$3:$M$999991, [1]加工記録２!$T$3:$T$999991=B518), 8)),"")</f>
        <v/>
      </c>
      <c r="B568" s="81" t="str">
        <v/>
      </c>
      <c r="C568" s="81" t="str">
        <v/>
      </c>
      <c r="D568" s="81" t="str">
        <v/>
      </c>
      <c r="E568" s="82" t="str">
        <v/>
      </c>
      <c r="F568" s="83" t="str">
        <v/>
      </c>
      <c r="G568" s="84" t="str">
        <v/>
      </c>
      <c r="H568" s="85">
        <v>0</v>
      </c>
      <c r="I568" s="86" t="str">
        <v>α端材</v>
      </c>
      <c r="J568" s="87">
        <v>0</v>
      </c>
      <c r="K568" s="65"/>
      <c r="L568" s="65"/>
      <c r="M568" s="65"/>
      <c r="N568" s="65"/>
    </row>
    <row r="569" spans="1:14" ht="6" customHeight="1" thickBot="1"/>
    <row r="570" spans="1:14" ht="6" customHeight="1" thickTop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</sheetData>
  <mergeCells count="1070">
    <mergeCell ref="C547:E547"/>
    <mergeCell ref="C538:E538"/>
    <mergeCell ref="C532:D532"/>
    <mergeCell ref="I247:J247"/>
    <mergeCell ref="A253:B253"/>
    <mergeCell ref="A538:B538"/>
    <mergeCell ref="E330:G331"/>
    <mergeCell ref="C475:D475"/>
    <mergeCell ref="I367:J367"/>
    <mergeCell ref="A376:B376"/>
    <mergeCell ref="H468:H469"/>
    <mergeCell ref="B514:D515"/>
    <mergeCell ref="F406:G406"/>
    <mergeCell ref="I488:J488"/>
    <mergeCell ref="I490:J490"/>
    <mergeCell ref="D271:D272"/>
    <mergeCell ref="E271:G272"/>
    <mergeCell ref="A273:A274"/>
    <mergeCell ref="B273:B274"/>
    <mergeCell ref="C533:D533"/>
    <mergeCell ref="I363:J363"/>
    <mergeCell ref="A431:B431"/>
    <mergeCell ref="I525:J526"/>
    <mergeCell ref="E494:F494"/>
    <mergeCell ref="F516:H517"/>
    <mergeCell ref="A459:A460"/>
    <mergeCell ref="G468:G469"/>
    <mergeCell ref="I486:J486"/>
    <mergeCell ref="I481:J481"/>
    <mergeCell ref="I478:J478"/>
    <mergeCell ref="F482:J482"/>
    <mergeCell ref="C488:E488"/>
    <mergeCell ref="A34:B34"/>
    <mergeCell ref="A36:B36"/>
    <mergeCell ref="E214:G215"/>
    <mergeCell ref="C133:D133"/>
    <mergeCell ref="A547:B547"/>
    <mergeCell ref="A406:A407"/>
    <mergeCell ref="A434:B434"/>
    <mergeCell ref="I248:J248"/>
    <mergeCell ref="G495:G496"/>
    <mergeCell ref="A497:A498"/>
    <mergeCell ref="B497:B498"/>
    <mergeCell ref="C497:C498"/>
    <mergeCell ref="D497:D498"/>
    <mergeCell ref="E497:G498"/>
    <mergeCell ref="A499:A500"/>
    <mergeCell ref="B499:B500"/>
    <mergeCell ref="C499:C500"/>
    <mergeCell ref="D499:D500"/>
    <mergeCell ref="E499:G500"/>
    <mergeCell ref="A501:A502"/>
    <mergeCell ref="B501:B502"/>
    <mergeCell ref="C501:C502"/>
    <mergeCell ref="D501:D502"/>
    <mergeCell ref="I361:J361"/>
    <mergeCell ref="A437:D437"/>
    <mergeCell ref="E437:F437"/>
    <mergeCell ref="H437:I437"/>
    <mergeCell ref="A438:D439"/>
    <mergeCell ref="E438:F439"/>
    <mergeCell ref="G438:G439"/>
    <mergeCell ref="A440:A441"/>
    <mergeCell ref="B440:B441"/>
    <mergeCell ref="A549:B549"/>
    <mergeCell ref="H494:I494"/>
    <mergeCell ref="A262:B262"/>
    <mergeCell ref="F520:G520"/>
    <mergeCell ref="A45:A46"/>
    <mergeCell ref="B45:B46"/>
    <mergeCell ref="C45:C46"/>
    <mergeCell ref="G490:H490"/>
    <mergeCell ref="F474:H474"/>
    <mergeCell ref="I536:J536"/>
    <mergeCell ref="C261:E261"/>
    <mergeCell ref="I207:J207"/>
    <mergeCell ref="F136:H136"/>
    <mergeCell ref="C427:E427"/>
    <mergeCell ref="G256:H256"/>
    <mergeCell ref="C425:D425"/>
    <mergeCell ref="F206:J206"/>
    <mergeCell ref="C77:D77"/>
    <mergeCell ref="F79:H79"/>
    <mergeCell ref="C214:C215"/>
    <mergeCell ref="D214:D215"/>
    <mergeCell ref="C535:D535"/>
    <mergeCell ref="C82:E82"/>
    <mergeCell ref="C367:E367"/>
    <mergeCell ref="C203:E203"/>
    <mergeCell ref="G146:H146"/>
    <mergeCell ref="A257:B257"/>
    <mergeCell ref="G297:G298"/>
    <mergeCell ref="C321:E321"/>
    <mergeCell ref="C191:D191"/>
    <mergeCell ref="A321:B321"/>
    <mergeCell ref="C259:E259"/>
    <mergeCell ref="D402:D403"/>
    <mergeCell ref="C258:E258"/>
    <mergeCell ref="G238:G239"/>
    <mergeCell ref="C256:E256"/>
    <mergeCell ref="C254:D254"/>
    <mergeCell ref="A269:A270"/>
    <mergeCell ref="I313:J313"/>
    <mergeCell ref="A290:A291"/>
    <mergeCell ref="I20:J20"/>
    <mergeCell ref="C60:C61"/>
    <mergeCell ref="F88:J88"/>
    <mergeCell ref="F37:J37"/>
    <mergeCell ref="C73:D73"/>
    <mergeCell ref="I148:J148"/>
    <mergeCell ref="B117:B118"/>
    <mergeCell ref="B115:D116"/>
    <mergeCell ref="B119:B120"/>
    <mergeCell ref="A178:A179"/>
    <mergeCell ref="I76:J76"/>
    <mergeCell ref="C26:D26"/>
    <mergeCell ref="A32:B32"/>
    <mergeCell ref="C25:E25"/>
    <mergeCell ref="C145:E145"/>
    <mergeCell ref="A322:B322"/>
    <mergeCell ref="A38:D38"/>
    <mergeCell ref="E38:F38"/>
    <mergeCell ref="H38:I38"/>
    <mergeCell ref="A72:J72"/>
    <mergeCell ref="G89:H89"/>
    <mergeCell ref="I89:J89"/>
    <mergeCell ref="A256:B256"/>
    <mergeCell ref="I194:J194"/>
    <mergeCell ref="F534:H534"/>
    <mergeCell ref="F536:H536"/>
    <mergeCell ref="F133:H133"/>
    <mergeCell ref="F192:H192"/>
    <mergeCell ref="C539:D539"/>
    <mergeCell ref="F461:H462"/>
    <mergeCell ref="I244:J244"/>
    <mergeCell ref="F347:H348"/>
    <mergeCell ref="G148:H148"/>
    <mergeCell ref="G488:H488"/>
    <mergeCell ref="A318:B318"/>
    <mergeCell ref="E459:E460"/>
    <mergeCell ref="I435:J435"/>
    <mergeCell ref="E461:E462"/>
    <mergeCell ref="A216:A217"/>
    <mergeCell ref="A258:B258"/>
    <mergeCell ref="F197:J197"/>
    <mergeCell ref="H411:H412"/>
    <mergeCell ref="E347:E348"/>
    <mergeCell ref="I192:J192"/>
    <mergeCell ref="A260:B260"/>
    <mergeCell ref="F145:J145"/>
    <mergeCell ref="C247:D247"/>
    <mergeCell ref="I308:J308"/>
    <mergeCell ref="C307:D307"/>
    <mergeCell ref="E216:G217"/>
    <mergeCell ref="A370:B370"/>
    <mergeCell ref="B459:B460"/>
    <mergeCell ref="A205:B205"/>
    <mergeCell ref="A404:A405"/>
    <mergeCell ref="E233:E234"/>
    <mergeCell ref="A411:C412"/>
    <mergeCell ref="G547:H547"/>
    <mergeCell ref="F419:H419"/>
    <mergeCell ref="G203:H203"/>
    <mergeCell ref="C370:E370"/>
    <mergeCell ref="A243:J243"/>
    <mergeCell ref="F425:J425"/>
    <mergeCell ref="C358:D358"/>
    <mergeCell ref="F246:H246"/>
    <mergeCell ref="A145:B145"/>
    <mergeCell ref="A543:B543"/>
    <mergeCell ref="A545:B545"/>
    <mergeCell ref="G150:H150"/>
    <mergeCell ref="C200:E200"/>
    <mergeCell ref="A240:C241"/>
    <mergeCell ref="F493:J493"/>
    <mergeCell ref="C546:E546"/>
    <mergeCell ref="F308:H308"/>
    <mergeCell ref="A259:B259"/>
    <mergeCell ref="C257:E257"/>
    <mergeCell ref="B286:D287"/>
    <mergeCell ref="B172:D173"/>
    <mergeCell ref="F244:H244"/>
    <mergeCell ref="A212:A213"/>
    <mergeCell ref="B212:B213"/>
    <mergeCell ref="E209:F209"/>
    <mergeCell ref="H209:I209"/>
    <mergeCell ref="A210:D211"/>
    <mergeCell ref="F318:J318"/>
    <mergeCell ref="C310:E310"/>
    <mergeCell ref="C248:D248"/>
    <mergeCell ref="C303:D303"/>
    <mergeCell ref="G545:H545"/>
    <mergeCell ref="A233:A234"/>
    <mergeCell ref="B64:B65"/>
    <mergeCell ref="A139:B139"/>
    <mergeCell ref="E43:G44"/>
    <mergeCell ref="C34:E34"/>
    <mergeCell ref="G36:H36"/>
    <mergeCell ref="C442:C443"/>
    <mergeCell ref="D442:D443"/>
    <mergeCell ref="C536:D536"/>
    <mergeCell ref="B516:B517"/>
    <mergeCell ref="A494:D494"/>
    <mergeCell ref="F432:J432"/>
    <mergeCell ref="F311:J311"/>
    <mergeCell ref="F191:H191"/>
    <mergeCell ref="A424:B424"/>
    <mergeCell ref="C190:D190"/>
    <mergeCell ref="F349:G349"/>
    <mergeCell ref="C534:D534"/>
    <mergeCell ref="A209:D209"/>
    <mergeCell ref="B229:D230"/>
    <mergeCell ref="C428:E428"/>
    <mergeCell ref="C478:D478"/>
    <mergeCell ref="I354:J355"/>
    <mergeCell ref="C479:D479"/>
    <mergeCell ref="I372:J372"/>
    <mergeCell ref="I374:J374"/>
    <mergeCell ref="F459:H460"/>
    <mergeCell ref="F290:H291"/>
    <mergeCell ref="C306:D306"/>
    <mergeCell ref="C529:D529"/>
    <mergeCell ref="C271:C272"/>
    <mergeCell ref="I240:J241"/>
    <mergeCell ref="F3:H4"/>
    <mergeCell ref="C76:D76"/>
    <mergeCell ref="F78:H78"/>
    <mergeCell ref="A126:C127"/>
    <mergeCell ref="C21:D21"/>
    <mergeCell ref="F180:G180"/>
    <mergeCell ref="F90:J90"/>
    <mergeCell ref="C23:D23"/>
    <mergeCell ref="D174:D175"/>
    <mergeCell ref="G196:H196"/>
    <mergeCell ref="A15:J15"/>
    <mergeCell ref="B174:B175"/>
    <mergeCell ref="F73:H73"/>
    <mergeCell ref="G91:H91"/>
    <mergeCell ref="A29:B29"/>
    <mergeCell ref="I22:J22"/>
    <mergeCell ref="B7:B8"/>
    <mergeCell ref="A93:B93"/>
    <mergeCell ref="C149:E149"/>
    <mergeCell ref="I190:J190"/>
    <mergeCell ref="F18:H18"/>
    <mergeCell ref="A39:D40"/>
    <mergeCell ref="G10:G11"/>
    <mergeCell ref="F22:H22"/>
    <mergeCell ref="B3:B4"/>
    <mergeCell ref="H69:H70"/>
    <mergeCell ref="B58:D59"/>
    <mergeCell ref="F94:J94"/>
    <mergeCell ref="A33:B33"/>
    <mergeCell ref="A35:B35"/>
    <mergeCell ref="I126:J127"/>
    <mergeCell ref="A28:B28"/>
    <mergeCell ref="C3:C4"/>
    <mergeCell ref="B5:B6"/>
    <mergeCell ref="C476:D476"/>
    <mergeCell ref="I69:J70"/>
    <mergeCell ref="I411:J412"/>
    <mergeCell ref="F5:H6"/>
    <mergeCell ref="I476:J476"/>
    <mergeCell ref="E3:E4"/>
    <mergeCell ref="G87:H87"/>
    <mergeCell ref="I130:J130"/>
    <mergeCell ref="I415:J415"/>
    <mergeCell ref="F434:J434"/>
    <mergeCell ref="C22:D22"/>
    <mergeCell ref="H124:J125"/>
    <mergeCell ref="I358:J358"/>
    <mergeCell ref="F80:H80"/>
    <mergeCell ref="E5:E6"/>
    <mergeCell ref="G67:G68"/>
    <mergeCell ref="G69:G70"/>
    <mergeCell ref="C18:D18"/>
    <mergeCell ref="A143:B143"/>
    <mergeCell ref="F23:H23"/>
    <mergeCell ref="C86:E86"/>
    <mergeCell ref="E442:G443"/>
    <mergeCell ref="A444:A445"/>
    <mergeCell ref="I21:J21"/>
    <mergeCell ref="I23:J23"/>
    <mergeCell ref="J61:J62"/>
    <mergeCell ref="C260:E260"/>
    <mergeCell ref="B233:B234"/>
    <mergeCell ref="B347:B348"/>
    <mergeCell ref="B235:B236"/>
    <mergeCell ref="A5:A6"/>
    <mergeCell ref="A86:B86"/>
    <mergeCell ref="F26:J26"/>
    <mergeCell ref="A25:B25"/>
    <mergeCell ref="A267:D268"/>
    <mergeCell ref="E267:F268"/>
    <mergeCell ref="G267:G268"/>
    <mergeCell ref="A31:B31"/>
    <mergeCell ref="F301:H301"/>
    <mergeCell ref="C94:E94"/>
    <mergeCell ref="C143:E143"/>
    <mergeCell ref="F147:J147"/>
    <mergeCell ref="A89:B89"/>
    <mergeCell ref="F29:J29"/>
    <mergeCell ref="E176:E177"/>
    <mergeCell ref="C288:C289"/>
    <mergeCell ref="F86:J86"/>
    <mergeCell ref="I132:J132"/>
    <mergeCell ref="A199:B199"/>
    <mergeCell ref="F31:J31"/>
    <mergeCell ref="H183:H184"/>
    <mergeCell ref="E117:E118"/>
    <mergeCell ref="F117:H118"/>
    <mergeCell ref="D155:D156"/>
    <mergeCell ref="E155:G156"/>
    <mergeCell ref="F135:H135"/>
    <mergeCell ref="I251:J251"/>
    <mergeCell ref="C148:E148"/>
    <mergeCell ref="I193:J193"/>
    <mergeCell ref="F35:J35"/>
    <mergeCell ref="J4:J5"/>
    <mergeCell ref="H12:H13"/>
    <mergeCell ref="F539:J539"/>
    <mergeCell ref="F491:J491"/>
    <mergeCell ref="F522:G522"/>
    <mergeCell ref="C433:E433"/>
    <mergeCell ref="A315:B315"/>
    <mergeCell ref="I422:J422"/>
    <mergeCell ref="A367:B367"/>
    <mergeCell ref="I418:J418"/>
    <mergeCell ref="I289:I290"/>
    <mergeCell ref="D345:D346"/>
    <mergeCell ref="A150:B150"/>
    <mergeCell ref="A144:B144"/>
    <mergeCell ref="I150:J150"/>
    <mergeCell ref="C419:D419"/>
    <mergeCell ref="A265:B265"/>
    <mergeCell ref="C314:E314"/>
    <mergeCell ref="I310:J310"/>
    <mergeCell ref="C375:E375"/>
    <mergeCell ref="I205:J205"/>
    <mergeCell ref="C212:C213"/>
    <mergeCell ref="A263:B263"/>
    <mergeCell ref="B176:B177"/>
    <mergeCell ref="D440:D441"/>
    <mergeCell ref="I419:J419"/>
    <mergeCell ref="A486:B486"/>
    <mergeCell ref="H295:J296"/>
    <mergeCell ref="A300:J300"/>
    <mergeCell ref="G310:H310"/>
    <mergeCell ref="A349:A350"/>
    <mergeCell ref="F248:H248"/>
    <mergeCell ref="F257:J257"/>
    <mergeCell ref="D269:D270"/>
    <mergeCell ref="E269:G270"/>
    <mergeCell ref="A271:A272"/>
    <mergeCell ref="B271:B272"/>
    <mergeCell ref="F489:J489"/>
    <mergeCell ref="F546:J546"/>
    <mergeCell ref="I362:J362"/>
    <mergeCell ref="A436:B436"/>
    <mergeCell ref="I80:J80"/>
    <mergeCell ref="G431:H431"/>
    <mergeCell ref="I25:J25"/>
    <mergeCell ref="C134:D134"/>
    <mergeCell ref="C378:E378"/>
    <mergeCell ref="A402:A403"/>
    <mergeCell ref="F176:H177"/>
    <mergeCell ref="F292:G292"/>
    <mergeCell ref="F202:J202"/>
    <mergeCell ref="I175:I176"/>
    <mergeCell ref="F77:H77"/>
    <mergeCell ref="I258:J258"/>
    <mergeCell ref="A30:B30"/>
    <mergeCell ref="A495:D496"/>
    <mergeCell ref="C372:E372"/>
    <mergeCell ref="G183:G184"/>
    <mergeCell ref="F75:H75"/>
    <mergeCell ref="C197:D197"/>
    <mergeCell ref="C304:D304"/>
    <mergeCell ref="F151:J151"/>
    <mergeCell ref="B216:B217"/>
    <mergeCell ref="B214:B215"/>
    <mergeCell ref="A231:A232"/>
    <mergeCell ref="C205:E205"/>
    <mergeCell ref="G317:H317"/>
    <mergeCell ref="I75:J75"/>
    <mergeCell ref="A149:B149"/>
    <mergeCell ref="G319:H319"/>
    <mergeCell ref="C32:E32"/>
    <mergeCell ref="F544:J544"/>
    <mergeCell ref="C550:E550"/>
    <mergeCell ref="A146:B146"/>
    <mergeCell ref="C87:E87"/>
    <mergeCell ref="B345:B346"/>
    <mergeCell ref="B402:B403"/>
    <mergeCell ref="C516:C517"/>
    <mergeCell ref="C150:E150"/>
    <mergeCell ref="C144:E144"/>
    <mergeCell ref="A516:A517"/>
    <mergeCell ref="G541:H541"/>
    <mergeCell ref="A541:B541"/>
    <mergeCell ref="D516:D517"/>
    <mergeCell ref="F249:H249"/>
    <mergeCell ref="G367:H367"/>
    <mergeCell ref="C365:D365"/>
    <mergeCell ref="F418:H418"/>
    <mergeCell ref="E152:F152"/>
    <mergeCell ref="A488:B488"/>
    <mergeCell ref="I133:J133"/>
    <mergeCell ref="F314:J314"/>
    <mergeCell ref="F134:H134"/>
    <mergeCell ref="C402:C403"/>
    <mergeCell ref="F436:J436"/>
    <mergeCell ref="A196:B196"/>
    <mergeCell ref="B269:B270"/>
    <mergeCell ref="C269:C270"/>
    <mergeCell ref="G207:H207"/>
    <mergeCell ref="A310:B310"/>
    <mergeCell ref="F20:H20"/>
    <mergeCell ref="G240:G241"/>
    <mergeCell ref="I246:J246"/>
    <mergeCell ref="A208:B208"/>
    <mergeCell ref="F465:G465"/>
    <mergeCell ref="C422:D422"/>
    <mergeCell ref="H354:H355"/>
    <mergeCell ref="A203:B203"/>
    <mergeCell ref="I492:J492"/>
    <mergeCell ref="G429:H429"/>
    <mergeCell ref="I187:J187"/>
    <mergeCell ref="A261:B261"/>
    <mergeCell ref="I135:J135"/>
    <mergeCell ref="G354:G355"/>
    <mergeCell ref="I424:J424"/>
    <mergeCell ref="C20:D20"/>
    <mergeCell ref="G126:G127"/>
    <mergeCell ref="F123:G123"/>
    <mergeCell ref="C315:E315"/>
    <mergeCell ref="A314:B314"/>
    <mergeCell ref="F189:H189"/>
    <mergeCell ref="F33:J33"/>
    <mergeCell ref="G199:H199"/>
    <mergeCell ref="E404:E405"/>
    <mergeCell ref="C431:E431"/>
    <mergeCell ref="A481:B481"/>
    <mergeCell ref="G374:H374"/>
    <mergeCell ref="C363:D363"/>
    <mergeCell ref="F251:H251"/>
    <mergeCell ref="A200:B200"/>
    <mergeCell ref="E444:G445"/>
    <mergeCell ref="C489:E489"/>
    <mergeCell ref="C377:E377"/>
    <mergeCell ref="I475:J475"/>
    <mergeCell ref="C322:E322"/>
    <mergeCell ref="I317:J317"/>
    <mergeCell ref="C492:E492"/>
    <mergeCell ref="F428:J428"/>
    <mergeCell ref="J403:J404"/>
    <mergeCell ref="E440:G441"/>
    <mergeCell ref="A151:B151"/>
    <mergeCell ref="B1:D2"/>
    <mergeCell ref="G85:H85"/>
    <mergeCell ref="F9:G9"/>
    <mergeCell ref="I30:J30"/>
    <mergeCell ref="I34:J34"/>
    <mergeCell ref="I36:J36"/>
    <mergeCell ref="I307:J307"/>
    <mergeCell ref="B288:B289"/>
    <mergeCell ref="H240:H241"/>
    <mergeCell ref="J232:J233"/>
    <mergeCell ref="C263:E263"/>
    <mergeCell ref="I315:J315"/>
    <mergeCell ref="A60:A61"/>
    <mergeCell ref="I79:J79"/>
    <mergeCell ref="C83:D83"/>
    <mergeCell ref="A62:A63"/>
    <mergeCell ref="A91:B91"/>
    <mergeCell ref="A3:A4"/>
    <mergeCell ref="D3:D4"/>
    <mergeCell ref="C36:E36"/>
    <mergeCell ref="C80:D80"/>
    <mergeCell ref="G321:H321"/>
    <mergeCell ref="I427:J427"/>
    <mergeCell ref="F190:H190"/>
    <mergeCell ref="A186:J186"/>
    <mergeCell ref="I306:J306"/>
    <mergeCell ref="C541:E541"/>
    <mergeCell ref="A207:B207"/>
    <mergeCell ref="A432:B432"/>
    <mergeCell ref="A492:B492"/>
    <mergeCell ref="C250:D250"/>
    <mergeCell ref="I297:J298"/>
    <mergeCell ref="I28:J28"/>
    <mergeCell ref="I533:J533"/>
    <mergeCell ref="F365:H365"/>
    <mergeCell ref="A345:A346"/>
    <mergeCell ref="A525:C526"/>
    <mergeCell ref="E495:F496"/>
    <mergeCell ref="A433:B433"/>
    <mergeCell ref="I535:J535"/>
    <mergeCell ref="I541:J541"/>
    <mergeCell ref="G523:G524"/>
    <mergeCell ref="C311:D311"/>
    <mergeCell ref="G433:H433"/>
    <mergeCell ref="A378:B378"/>
    <mergeCell ref="D459:D460"/>
    <mergeCell ref="C424:E424"/>
    <mergeCell ref="I433:J433"/>
    <mergeCell ref="A428:B428"/>
    <mergeCell ref="B343:D344"/>
    <mergeCell ref="B444:B445"/>
    <mergeCell ref="A435:B435"/>
    <mergeCell ref="F360:H360"/>
    <mergeCell ref="C440:C441"/>
    <mergeCell ref="F371:J371"/>
    <mergeCell ref="A371:B371"/>
    <mergeCell ref="G435:H435"/>
    <mergeCell ref="B406:B407"/>
    <mergeCell ref="C273:C274"/>
    <mergeCell ref="D273:D274"/>
    <mergeCell ref="E273:G274"/>
    <mergeCell ref="C313:E313"/>
    <mergeCell ref="F322:J322"/>
    <mergeCell ref="A442:A443"/>
    <mergeCell ref="I547:J547"/>
    <mergeCell ref="G484:H484"/>
    <mergeCell ref="I549:J549"/>
    <mergeCell ref="A487:B487"/>
    <mergeCell ref="G370:H370"/>
    <mergeCell ref="F143:J143"/>
    <mergeCell ref="A372:B372"/>
    <mergeCell ref="C320:E320"/>
    <mergeCell ref="F479:H479"/>
    <mergeCell ref="F208:J208"/>
    <mergeCell ref="A429:B429"/>
    <mergeCell ref="C548:E548"/>
    <mergeCell ref="C194:D194"/>
    <mergeCell ref="I201:J201"/>
    <mergeCell ref="C493:E493"/>
    <mergeCell ref="C485:E485"/>
    <mergeCell ref="C189:D189"/>
    <mergeCell ref="I196:J196"/>
    <mergeCell ref="I264:J264"/>
    <mergeCell ref="C531:D531"/>
    <mergeCell ref="F535:H535"/>
    <mergeCell ref="I403:I404"/>
    <mergeCell ref="G481:H481"/>
    <mergeCell ref="I420:J420"/>
    <mergeCell ref="D444:D445"/>
    <mergeCell ref="A323:D323"/>
    <mergeCell ref="C490:E490"/>
    <mergeCell ref="G486:H486"/>
    <mergeCell ref="A463:A464"/>
    <mergeCell ref="E516:E517"/>
    <mergeCell ref="F362:H362"/>
    <mergeCell ref="C318:E318"/>
    <mergeCell ref="A313:B313"/>
    <mergeCell ref="F377:J377"/>
    <mergeCell ref="F303:H303"/>
    <mergeCell ref="F261:J261"/>
    <mergeCell ref="J517:J518"/>
    <mergeCell ref="A292:A293"/>
    <mergeCell ref="C477:D477"/>
    <mergeCell ref="I517:I518"/>
    <mergeCell ref="G262:H262"/>
    <mergeCell ref="C316:E316"/>
    <mergeCell ref="B442:B443"/>
    <mergeCell ref="C415:D415"/>
    <mergeCell ref="F417:H417"/>
    <mergeCell ref="C420:D420"/>
    <mergeCell ref="F422:H422"/>
    <mergeCell ref="G378:H378"/>
    <mergeCell ref="C434:E434"/>
    <mergeCell ref="A326:A327"/>
    <mergeCell ref="B326:B327"/>
    <mergeCell ref="C326:C327"/>
    <mergeCell ref="D326:D327"/>
    <mergeCell ref="C330:C331"/>
    <mergeCell ref="A319:B319"/>
    <mergeCell ref="E383:G384"/>
    <mergeCell ref="H466:J467"/>
    <mergeCell ref="A374:B374"/>
    <mergeCell ref="B404:B405"/>
    <mergeCell ref="A490:B490"/>
    <mergeCell ref="C487:E487"/>
    <mergeCell ref="I484:J484"/>
    <mergeCell ref="C482:D482"/>
    <mergeCell ref="I429:J429"/>
    <mergeCell ref="G372:H372"/>
    <mergeCell ref="A330:A331"/>
    <mergeCell ref="A414:J414"/>
    <mergeCell ref="E387:G388"/>
    <mergeCell ref="E381:F382"/>
    <mergeCell ref="G381:G382"/>
    <mergeCell ref="A383:A384"/>
    <mergeCell ref="B383:B384"/>
    <mergeCell ref="C459:C460"/>
    <mergeCell ref="A430:B430"/>
    <mergeCell ref="F408:G408"/>
    <mergeCell ref="F368:J368"/>
    <mergeCell ref="I370:J370"/>
    <mergeCell ref="F320:J320"/>
    <mergeCell ref="F358:H358"/>
    <mergeCell ref="A489:B489"/>
    <mergeCell ref="F485:J485"/>
    <mergeCell ref="F375:J375"/>
    <mergeCell ref="F477:H477"/>
    <mergeCell ref="G427:H427"/>
    <mergeCell ref="F415:H415"/>
    <mergeCell ref="I305:J305"/>
    <mergeCell ref="E323:F323"/>
    <mergeCell ref="H323:I323"/>
    <mergeCell ref="A320:B320"/>
    <mergeCell ref="B328:B329"/>
    <mergeCell ref="C328:C329"/>
    <mergeCell ref="D328:D329"/>
    <mergeCell ref="C430:E430"/>
    <mergeCell ref="A347:A348"/>
    <mergeCell ref="B461:B462"/>
    <mergeCell ref="G253:H253"/>
    <mergeCell ref="F305:H305"/>
    <mergeCell ref="C444:C445"/>
    <mergeCell ref="G352:G353"/>
    <mergeCell ref="F420:H420"/>
    <mergeCell ref="A471:J471"/>
    <mergeCell ref="I365:J365"/>
    <mergeCell ref="B330:B331"/>
    <mergeCell ref="E328:G329"/>
    <mergeCell ref="A373:B373"/>
    <mergeCell ref="C379:E379"/>
    <mergeCell ref="C317:E317"/>
    <mergeCell ref="A357:J357"/>
    <mergeCell ref="E326:G327"/>
    <mergeCell ref="A328:A329"/>
    <mergeCell ref="C371:E371"/>
    <mergeCell ref="G376:H376"/>
    <mergeCell ref="C435:E435"/>
    <mergeCell ref="C429:E429"/>
    <mergeCell ref="A375:B375"/>
    <mergeCell ref="C417:D417"/>
    <mergeCell ref="F402:H403"/>
    <mergeCell ref="J346:J347"/>
    <mergeCell ref="G30:H30"/>
    <mergeCell ref="G313:H313"/>
    <mergeCell ref="E95:F95"/>
    <mergeCell ref="H95:I95"/>
    <mergeCell ref="A544:B544"/>
    <mergeCell ref="H409:J410"/>
    <mergeCell ref="E231:E232"/>
    <mergeCell ref="C207:E207"/>
    <mergeCell ref="F130:H130"/>
    <mergeCell ref="C244:D244"/>
    <mergeCell ref="F140:J140"/>
    <mergeCell ref="D231:D232"/>
    <mergeCell ref="F307:H307"/>
    <mergeCell ref="C421:D421"/>
    <mergeCell ref="F463:G463"/>
    <mergeCell ref="G466:G467"/>
    <mergeCell ref="C142:E142"/>
    <mergeCell ref="C130:D130"/>
    <mergeCell ref="F235:G235"/>
    <mergeCell ref="F487:J487"/>
    <mergeCell ref="G315:H315"/>
    <mergeCell ref="A316:B316"/>
    <mergeCell ref="I191:J191"/>
    <mergeCell ref="F404:H405"/>
    <mergeCell ref="I301:J301"/>
    <mergeCell ref="I262:J262"/>
    <mergeCell ref="C264:E264"/>
    <mergeCell ref="J289:J290"/>
    <mergeCell ref="H67:J68"/>
    <mergeCell ref="A235:A236"/>
    <mergeCell ref="C251:D251"/>
    <mergeCell ref="I321:J321"/>
    <mergeCell ref="C132:D132"/>
    <mergeCell ref="C231:C232"/>
    <mergeCell ref="F66:G66"/>
    <mergeCell ref="C85:E85"/>
    <mergeCell ref="E288:E289"/>
    <mergeCell ref="G258:H258"/>
    <mergeCell ref="C208:E208"/>
    <mergeCell ref="H181:J182"/>
    <mergeCell ref="I134:J134"/>
    <mergeCell ref="C102:C103"/>
    <mergeCell ref="C75:D75"/>
    <mergeCell ref="I189:J189"/>
    <mergeCell ref="E39:F40"/>
    <mergeCell ref="G39:G40"/>
    <mergeCell ref="C41:C42"/>
    <mergeCell ref="C202:E202"/>
    <mergeCell ref="F83:J83"/>
    <mergeCell ref="F304:H304"/>
    <mergeCell ref="C192:D192"/>
    <mergeCell ref="F132:H132"/>
    <mergeCell ref="I303:J303"/>
    <mergeCell ref="I319:J319"/>
    <mergeCell ref="F204:J204"/>
    <mergeCell ref="G295:G296"/>
    <mergeCell ref="C319:E319"/>
    <mergeCell ref="C301:D301"/>
    <mergeCell ref="F316:J316"/>
    <mergeCell ref="I203:J203"/>
    <mergeCell ref="F233:H234"/>
    <mergeCell ref="C201:E201"/>
    <mergeCell ref="I232:I233"/>
    <mergeCell ref="E345:E346"/>
    <mergeCell ref="A317:B317"/>
    <mergeCell ref="C484:E484"/>
    <mergeCell ref="B385:B386"/>
    <mergeCell ref="C385:C386"/>
    <mergeCell ref="D385:D386"/>
    <mergeCell ref="E385:G386"/>
    <mergeCell ref="A379:B379"/>
    <mergeCell ref="I19:J19"/>
    <mergeCell ref="E402:E403"/>
    <mergeCell ref="I136:J136"/>
    <mergeCell ref="C174:C175"/>
    <mergeCell ref="C253:E253"/>
    <mergeCell ref="A69:C70"/>
    <mergeCell ref="A324:D325"/>
    <mergeCell ref="E324:F325"/>
    <mergeCell ref="G324:G325"/>
    <mergeCell ref="G142:H142"/>
    <mergeCell ref="G144:H144"/>
    <mergeCell ref="I142:J142"/>
    <mergeCell ref="C92:E92"/>
    <mergeCell ref="I137:J137"/>
    <mergeCell ref="D45:D46"/>
    <mergeCell ref="E45:G46"/>
    <mergeCell ref="F60:H61"/>
    <mergeCell ref="G139:H139"/>
    <mergeCell ref="C29:E29"/>
    <mergeCell ref="F76:H76"/>
    <mergeCell ref="C31:E31"/>
    <mergeCell ref="C139:E139"/>
    <mergeCell ref="I146:J146"/>
    <mergeCell ref="C136:D136"/>
    <mergeCell ref="G549:H549"/>
    <mergeCell ref="I479:J479"/>
    <mergeCell ref="A520:A521"/>
    <mergeCell ref="G538:H538"/>
    <mergeCell ref="E518:E519"/>
    <mergeCell ref="A485:B485"/>
    <mergeCell ref="F478:H478"/>
    <mergeCell ref="C543:E543"/>
    <mergeCell ref="C545:E545"/>
    <mergeCell ref="I472:J472"/>
    <mergeCell ref="C374:E374"/>
    <mergeCell ref="F351:G351"/>
    <mergeCell ref="C373:E373"/>
    <mergeCell ref="F364:H364"/>
    <mergeCell ref="A377:B377"/>
    <mergeCell ref="C486:E486"/>
    <mergeCell ref="C481:E481"/>
    <mergeCell ref="A518:A519"/>
    <mergeCell ref="I378:J378"/>
    <mergeCell ref="I477:J477"/>
    <mergeCell ref="F476:H476"/>
    <mergeCell ref="A493:B493"/>
    <mergeCell ref="C491:E491"/>
    <mergeCell ref="E501:G502"/>
    <mergeCell ref="F531:H531"/>
    <mergeCell ref="A528:J528"/>
    <mergeCell ref="B520:B521"/>
    <mergeCell ref="H523:J524"/>
    <mergeCell ref="A491:B491"/>
    <mergeCell ref="G492:H492"/>
    <mergeCell ref="F518:H519"/>
    <mergeCell ref="I531:J531"/>
    <mergeCell ref="F548:J548"/>
    <mergeCell ref="F475:H475"/>
    <mergeCell ref="C472:D472"/>
    <mergeCell ref="C474:D474"/>
    <mergeCell ref="I532:J532"/>
    <mergeCell ref="F247:H247"/>
    <mergeCell ref="C436:E436"/>
    <mergeCell ref="I468:J469"/>
    <mergeCell ref="A546:B546"/>
    <mergeCell ref="A385:A386"/>
    <mergeCell ref="B400:D401"/>
    <mergeCell ref="I250:J250"/>
    <mergeCell ref="C364:D364"/>
    <mergeCell ref="G409:G410"/>
    <mergeCell ref="H352:J353"/>
    <mergeCell ref="C265:E265"/>
    <mergeCell ref="B457:D458"/>
    <mergeCell ref="C262:E262"/>
    <mergeCell ref="F421:H421"/>
    <mergeCell ref="C418:D418"/>
    <mergeCell ref="F259:J259"/>
    <mergeCell ref="F542:J542"/>
    <mergeCell ref="A542:B542"/>
    <mergeCell ref="I529:J529"/>
    <mergeCell ref="C308:D308"/>
    <mergeCell ref="F345:H346"/>
    <mergeCell ref="F533:H533"/>
    <mergeCell ref="C345:C346"/>
    <mergeCell ref="A484:B484"/>
    <mergeCell ref="C305:D305"/>
    <mergeCell ref="C361:D361"/>
    <mergeCell ref="F363:H363"/>
    <mergeCell ref="G543:H543"/>
    <mergeCell ref="I304:J304"/>
    <mergeCell ref="B292:B293"/>
    <mergeCell ref="A148:B148"/>
    <mergeCell ref="C137:D137"/>
    <mergeCell ref="A152:D152"/>
    <mergeCell ref="F174:H175"/>
    <mergeCell ref="C204:E204"/>
    <mergeCell ref="A119:A120"/>
    <mergeCell ref="A87:B87"/>
    <mergeCell ref="I144:J144"/>
    <mergeCell ref="B290:B291"/>
    <mergeCell ref="C78:D78"/>
    <mergeCell ref="C88:E88"/>
    <mergeCell ref="C90:E90"/>
    <mergeCell ref="G181:G182"/>
    <mergeCell ref="A121:A122"/>
    <mergeCell ref="J118:J119"/>
    <mergeCell ref="C387:C388"/>
    <mergeCell ref="D387:D388"/>
    <mergeCell ref="A387:A388"/>
    <mergeCell ref="B387:B388"/>
    <mergeCell ref="I431:J431"/>
    <mergeCell ref="J460:J461"/>
    <mergeCell ref="C196:E196"/>
    <mergeCell ref="A266:D266"/>
    <mergeCell ref="E266:F266"/>
    <mergeCell ref="F254:J254"/>
    <mergeCell ref="F430:J430"/>
    <mergeCell ref="F373:J373"/>
    <mergeCell ref="F187:H187"/>
    <mergeCell ref="I249:J249"/>
    <mergeCell ref="A7:A8"/>
    <mergeCell ref="A88:B88"/>
    <mergeCell ref="I16:J16"/>
    <mergeCell ref="A90:B90"/>
    <mergeCell ref="I18:J18"/>
    <mergeCell ref="A85:B85"/>
    <mergeCell ref="C151:E151"/>
    <mergeCell ref="C117:C118"/>
    <mergeCell ref="G93:H93"/>
    <mergeCell ref="E98:G99"/>
    <mergeCell ref="A100:A101"/>
    <mergeCell ref="B100:B101"/>
    <mergeCell ref="C100:C101"/>
    <mergeCell ref="D100:D101"/>
    <mergeCell ref="E100:G101"/>
    <mergeCell ref="C30:E30"/>
    <mergeCell ref="C16:D16"/>
    <mergeCell ref="F21:H21"/>
    <mergeCell ref="C35:E35"/>
    <mergeCell ref="F7:G7"/>
    <mergeCell ref="G32:H32"/>
    <mergeCell ref="A12:C13"/>
    <mergeCell ref="F19:H19"/>
    <mergeCell ref="H10:J11"/>
    <mergeCell ref="I32:J32"/>
    <mergeCell ref="A37:B37"/>
    <mergeCell ref="C33:E33"/>
    <mergeCell ref="F149:J149"/>
    <mergeCell ref="C19:D19"/>
    <mergeCell ref="G28:H28"/>
    <mergeCell ref="I87:J87"/>
    <mergeCell ref="C37:E37"/>
    <mergeCell ref="F193:H193"/>
    <mergeCell ref="C187:D187"/>
    <mergeCell ref="J175:J176"/>
    <mergeCell ref="I82:J82"/>
    <mergeCell ref="I61:I62"/>
    <mergeCell ref="A183:C184"/>
    <mergeCell ref="G25:H25"/>
    <mergeCell ref="A102:A103"/>
    <mergeCell ref="B102:B103"/>
    <mergeCell ref="A64:A65"/>
    <mergeCell ref="C98:C99"/>
    <mergeCell ref="C91:E91"/>
    <mergeCell ref="C28:E28"/>
    <mergeCell ref="B231:B232"/>
    <mergeCell ref="H297:H298"/>
    <mergeCell ref="F250:H250"/>
    <mergeCell ref="I253:J253"/>
    <mergeCell ref="A176:A177"/>
    <mergeCell ref="H266:I266"/>
    <mergeCell ref="I199:J199"/>
    <mergeCell ref="F194:H194"/>
    <mergeCell ref="G205:H205"/>
    <mergeCell ref="C199:E199"/>
    <mergeCell ref="C216:C217"/>
    <mergeCell ref="A264:B264"/>
    <mergeCell ref="D216:D217"/>
    <mergeCell ref="A288:A289"/>
    <mergeCell ref="A202:B202"/>
    <mergeCell ref="A297:C298"/>
    <mergeCell ref="F263:J263"/>
    <mergeCell ref="E290:E291"/>
    <mergeCell ref="B178:B179"/>
    <mergeCell ref="I77:J77"/>
    <mergeCell ref="C159:C160"/>
    <mergeCell ref="A92:B92"/>
    <mergeCell ref="I73:J73"/>
    <mergeCell ref="A147:B147"/>
    <mergeCell ref="A96:D97"/>
    <mergeCell ref="E96:F97"/>
    <mergeCell ref="G96:G97"/>
    <mergeCell ref="A98:A99"/>
    <mergeCell ref="B98:B99"/>
    <mergeCell ref="I118:I119"/>
    <mergeCell ref="G34:H34"/>
    <mergeCell ref="G82:H82"/>
    <mergeCell ref="E60:E61"/>
    <mergeCell ref="D60:D61"/>
    <mergeCell ref="C43:C44"/>
    <mergeCell ref="D43:D44"/>
    <mergeCell ref="E62:E63"/>
    <mergeCell ref="A142:B142"/>
    <mergeCell ref="A82:B82"/>
    <mergeCell ref="A129:J129"/>
    <mergeCell ref="G124:G125"/>
    <mergeCell ref="D41:D42"/>
    <mergeCell ref="E41:G42"/>
    <mergeCell ref="A43:A44"/>
    <mergeCell ref="B43:B44"/>
    <mergeCell ref="H126:H127"/>
    <mergeCell ref="F16:H16"/>
    <mergeCell ref="G12:G13"/>
    <mergeCell ref="I12:J13"/>
    <mergeCell ref="A41:A42"/>
    <mergeCell ref="B41:B42"/>
    <mergeCell ref="C89:E89"/>
    <mergeCell ref="A95:D95"/>
    <mergeCell ref="I91:J91"/>
    <mergeCell ref="I85:J85"/>
    <mergeCell ref="I93:J93"/>
    <mergeCell ref="F137:H137"/>
    <mergeCell ref="A159:A160"/>
    <mergeCell ref="B159:B160"/>
    <mergeCell ref="F92:J92"/>
    <mergeCell ref="C206:E206"/>
    <mergeCell ref="I256:J256"/>
    <mergeCell ref="F119:H120"/>
    <mergeCell ref="B62:B63"/>
    <mergeCell ref="F121:G121"/>
    <mergeCell ref="A201:B201"/>
    <mergeCell ref="A206:B206"/>
    <mergeCell ref="C246:D246"/>
    <mergeCell ref="H238:J239"/>
    <mergeCell ref="C93:E93"/>
    <mergeCell ref="E210:F211"/>
    <mergeCell ref="G210:G211"/>
    <mergeCell ref="B60:B61"/>
    <mergeCell ref="D102:D103"/>
    <mergeCell ref="C79:D79"/>
    <mergeCell ref="G201:H201"/>
    <mergeCell ref="E174:E175"/>
    <mergeCell ref="F62:H63"/>
    <mergeCell ref="E159:G160"/>
    <mergeCell ref="H152:I152"/>
    <mergeCell ref="A153:D154"/>
    <mergeCell ref="C135:D135"/>
    <mergeCell ref="G153:G154"/>
    <mergeCell ref="A155:A156"/>
    <mergeCell ref="E119:E120"/>
    <mergeCell ref="C249:D249"/>
    <mergeCell ref="B121:B122"/>
    <mergeCell ref="H525:H526"/>
    <mergeCell ref="A157:A158"/>
    <mergeCell ref="B157:B158"/>
    <mergeCell ref="C157:C158"/>
    <mergeCell ref="D157:D158"/>
    <mergeCell ref="E157:G158"/>
    <mergeCell ref="F472:H472"/>
    <mergeCell ref="G411:G412"/>
    <mergeCell ref="F231:H232"/>
    <mergeCell ref="F237:G237"/>
    <mergeCell ref="I364:J364"/>
    <mergeCell ref="A461:A462"/>
    <mergeCell ref="C432:E432"/>
    <mergeCell ref="I421:J421"/>
    <mergeCell ref="A468:C469"/>
    <mergeCell ref="F265:J265"/>
    <mergeCell ref="I460:I461"/>
    <mergeCell ref="G260:H260"/>
    <mergeCell ref="F361:H361"/>
    <mergeCell ref="A204:B204"/>
    <mergeCell ref="D212:D213"/>
    <mergeCell ref="A174:A175"/>
    <mergeCell ref="F178:G178"/>
    <mergeCell ref="I534:J534"/>
    <mergeCell ref="F550:J550"/>
    <mergeCell ref="I346:I347"/>
    <mergeCell ref="E212:G213"/>
    <mergeCell ref="A214:A215"/>
    <mergeCell ref="F379:J379"/>
    <mergeCell ref="I260:J260"/>
    <mergeCell ref="C368:D368"/>
    <mergeCell ref="I183:J184"/>
    <mergeCell ref="C140:D140"/>
    <mergeCell ref="C147:E147"/>
    <mergeCell ref="I4:I5"/>
    <mergeCell ref="G424:H424"/>
    <mergeCell ref="F294:G294"/>
    <mergeCell ref="I417:J417"/>
    <mergeCell ref="I360:J360"/>
    <mergeCell ref="A94:B94"/>
    <mergeCell ref="F288:H289"/>
    <mergeCell ref="I474:J474"/>
    <mergeCell ref="A548:B548"/>
    <mergeCell ref="A427:B427"/>
    <mergeCell ref="B349:B350"/>
    <mergeCell ref="C193:D193"/>
    <mergeCell ref="B463:B464"/>
    <mergeCell ref="I376:J376"/>
    <mergeCell ref="A380:D380"/>
    <mergeCell ref="E380:F380"/>
    <mergeCell ref="H380:I380"/>
    <mergeCell ref="A381:D382"/>
    <mergeCell ref="C383:C384"/>
    <mergeCell ref="D383:D384"/>
    <mergeCell ref="D159:D160"/>
    <mergeCell ref="A558:A559"/>
    <mergeCell ref="B558:B559"/>
    <mergeCell ref="C558:C559"/>
    <mergeCell ref="D558:D559"/>
    <mergeCell ref="E558:G559"/>
    <mergeCell ref="A551:D551"/>
    <mergeCell ref="E551:F551"/>
    <mergeCell ref="A554:A555"/>
    <mergeCell ref="B554:B555"/>
    <mergeCell ref="C554:C555"/>
    <mergeCell ref="D554:D555"/>
    <mergeCell ref="E554:G555"/>
    <mergeCell ref="A556:A557"/>
    <mergeCell ref="B556:B557"/>
    <mergeCell ref="C556:C557"/>
    <mergeCell ref="D556:D557"/>
    <mergeCell ref="E556:G557"/>
    <mergeCell ref="A552:D553"/>
    <mergeCell ref="E552:F553"/>
    <mergeCell ref="G552:G553"/>
    <mergeCell ref="E102:G103"/>
    <mergeCell ref="E153:F154"/>
    <mergeCell ref="D288:D289"/>
    <mergeCell ref="I78:J78"/>
    <mergeCell ref="D98:D99"/>
    <mergeCell ref="G264:H264"/>
    <mergeCell ref="F200:J200"/>
    <mergeCell ref="F64:G64"/>
    <mergeCell ref="I543:J543"/>
    <mergeCell ref="D117:D118"/>
    <mergeCell ref="F306:H306"/>
    <mergeCell ref="A550:B550"/>
    <mergeCell ref="B518:B519"/>
    <mergeCell ref="C542:E542"/>
    <mergeCell ref="C544:E544"/>
    <mergeCell ref="F532:H532"/>
    <mergeCell ref="H551:I551"/>
    <mergeCell ref="I545:J545"/>
    <mergeCell ref="D330:D331"/>
    <mergeCell ref="C360:D360"/>
    <mergeCell ref="C362:D362"/>
    <mergeCell ref="A354:C355"/>
    <mergeCell ref="C376:E376"/>
    <mergeCell ref="A117:A118"/>
    <mergeCell ref="C146:E146"/>
    <mergeCell ref="I139:J139"/>
    <mergeCell ref="G525:G526"/>
    <mergeCell ref="B155:B156"/>
    <mergeCell ref="C155:C156"/>
    <mergeCell ref="C549:E549"/>
    <mergeCell ref="F529:H529"/>
    <mergeCell ref="I538:J538"/>
  </mergeCells>
  <phoneticPr fontId="2"/>
  <conditionalFormatting sqref="D50:D55">
    <cfRule type="cellIs" dxfId="29" priority="21" operator="equal">
      <formula>$D49</formula>
    </cfRule>
  </conditionalFormatting>
  <conditionalFormatting sqref="D107:D112">
    <cfRule type="cellIs" dxfId="28" priority="24" operator="equal">
      <formula>$D106</formula>
    </cfRule>
  </conditionalFormatting>
  <conditionalFormatting sqref="D164:D169">
    <cfRule type="cellIs" dxfId="27" priority="18" operator="equal">
      <formula>$D163</formula>
    </cfRule>
  </conditionalFormatting>
  <conditionalFormatting sqref="D221:D226">
    <cfRule type="cellIs" dxfId="26" priority="15" operator="equal">
      <formula>$D220</formula>
    </cfRule>
  </conditionalFormatting>
  <conditionalFormatting sqref="D278:D283">
    <cfRule type="cellIs" dxfId="25" priority="3" operator="equal">
      <formula>$D277</formula>
    </cfRule>
  </conditionalFormatting>
  <conditionalFormatting sqref="D335:D340">
    <cfRule type="cellIs" dxfId="24" priority="6" operator="equal">
      <formula>$D334</formula>
    </cfRule>
  </conditionalFormatting>
  <conditionalFormatting sqref="D392:D397">
    <cfRule type="cellIs" dxfId="23" priority="12" operator="equal">
      <formula>$D391</formula>
    </cfRule>
  </conditionalFormatting>
  <conditionalFormatting sqref="D449:D454">
    <cfRule type="cellIs" dxfId="22" priority="9" operator="equal">
      <formula>$D448</formula>
    </cfRule>
  </conditionalFormatting>
  <conditionalFormatting sqref="D506:D511">
    <cfRule type="cellIs" dxfId="21" priority="30" operator="equal">
      <formula>$D505</formula>
    </cfRule>
  </conditionalFormatting>
  <conditionalFormatting sqref="D563:D568">
    <cfRule type="cellIs" dxfId="20" priority="27" operator="equal">
      <formula>$D562</formula>
    </cfRule>
  </conditionalFormatting>
  <conditionalFormatting sqref="I39">
    <cfRule type="cellIs" dxfId="19" priority="19" operator="lessThan">
      <formula>45658</formula>
    </cfRule>
  </conditionalFormatting>
  <conditionalFormatting sqref="I96">
    <cfRule type="cellIs" dxfId="18" priority="22" operator="lessThan">
      <formula>45658</formula>
    </cfRule>
  </conditionalFormatting>
  <conditionalFormatting sqref="I153">
    <cfRule type="cellIs" dxfId="17" priority="16" operator="lessThan">
      <formula>45658</formula>
    </cfRule>
  </conditionalFormatting>
  <conditionalFormatting sqref="I210">
    <cfRule type="cellIs" dxfId="16" priority="13" operator="lessThan">
      <formula>45658</formula>
    </cfRule>
  </conditionalFormatting>
  <conditionalFormatting sqref="I267">
    <cfRule type="cellIs" dxfId="15" priority="1" operator="lessThan">
      <formula>45658</formula>
    </cfRule>
  </conditionalFormatting>
  <conditionalFormatting sqref="I324">
    <cfRule type="cellIs" dxfId="14" priority="4" operator="lessThan">
      <formula>45658</formula>
    </cfRule>
  </conditionalFormatting>
  <conditionalFormatting sqref="I381">
    <cfRule type="cellIs" dxfId="13" priority="10" operator="lessThan">
      <formula>45658</formula>
    </cfRule>
  </conditionalFormatting>
  <conditionalFormatting sqref="I438">
    <cfRule type="cellIs" dxfId="12" priority="7" operator="lessThan">
      <formula>45658</formula>
    </cfRule>
  </conditionalFormatting>
  <conditionalFormatting sqref="I495">
    <cfRule type="cellIs" dxfId="11" priority="28" operator="lessThan">
      <formula>45658</formula>
    </cfRule>
  </conditionalFormatting>
  <conditionalFormatting sqref="I552">
    <cfRule type="cellIs" dxfId="10" priority="25" operator="lessThan">
      <formula>45658</formula>
    </cfRule>
  </conditionalFormatting>
  <conditionalFormatting sqref="J46">
    <cfRule type="cellIs" dxfId="9" priority="20" operator="equal">
      <formula>0</formula>
    </cfRule>
  </conditionalFormatting>
  <conditionalFormatting sqref="J103">
    <cfRule type="cellIs" dxfId="8" priority="23" operator="equal">
      <formula>0</formula>
    </cfRule>
  </conditionalFormatting>
  <conditionalFormatting sqref="J160">
    <cfRule type="cellIs" dxfId="7" priority="17" operator="equal">
      <formula>0</formula>
    </cfRule>
  </conditionalFormatting>
  <conditionalFormatting sqref="J217">
    <cfRule type="cellIs" dxfId="6" priority="14" operator="equal">
      <formula>0</formula>
    </cfRule>
  </conditionalFormatting>
  <conditionalFormatting sqref="J274">
    <cfRule type="cellIs" dxfId="5" priority="2" operator="equal">
      <formula>0</formula>
    </cfRule>
  </conditionalFormatting>
  <conditionalFormatting sqref="J331">
    <cfRule type="cellIs" dxfId="4" priority="5" operator="equal">
      <formula>0</formula>
    </cfRule>
  </conditionalFormatting>
  <conditionalFormatting sqref="J388">
    <cfRule type="cellIs" dxfId="3" priority="11" operator="equal">
      <formula>0</formula>
    </cfRule>
  </conditionalFormatting>
  <conditionalFormatting sqref="J445">
    <cfRule type="cellIs" dxfId="2" priority="8" operator="equal">
      <formula>0</formula>
    </cfRule>
  </conditionalFormatting>
  <conditionalFormatting sqref="J502">
    <cfRule type="cellIs" dxfId="1" priority="29" operator="equal">
      <formula>0</formula>
    </cfRule>
  </conditionalFormatting>
  <conditionalFormatting sqref="J559">
    <cfRule type="cellIs" dxfId="0" priority="26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9" manualBreakCount="9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user</cp:lastModifiedBy>
  <cp:lastPrinted>2025-09-19T22:40:27Z</cp:lastPrinted>
  <dcterms:created xsi:type="dcterms:W3CDTF">2024-07-11T02:08:33Z</dcterms:created>
  <dcterms:modified xsi:type="dcterms:W3CDTF">2025-10-30T00:13:41Z</dcterms:modified>
</cp:coreProperties>
</file>