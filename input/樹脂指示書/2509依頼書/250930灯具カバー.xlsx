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2915F4C1-7896-4DF4-8E1F-386B575C4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9" i="1" l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/>
  <c r="I159" i="1" a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/>
  <c r="I155" i="1" a="1"/>
  <c r="E155" i="1"/>
  <c r="D155" i="1"/>
  <c r="B155" i="1"/>
  <c r="I154" i="1" a="1"/>
  <c r="I154" i="1" s="1"/>
  <c r="I153" i="1" a="1"/>
  <c r="G153" i="1" a="1"/>
  <c r="G153" i="1" s="1"/>
  <c r="E153" i="1" a="1"/>
  <c r="E153" i="1" s="1"/>
  <c r="A153" i="1"/>
  <c r="A49" i="1" a="1"/>
  <c r="A49" i="1" s="1"/>
  <c r="A107" i="1" a="1"/>
  <c r="A107" i="1" s="1"/>
  <c r="A105" i="1" a="1"/>
  <c r="A105" i="1" s="1"/>
  <c r="A106" i="1" a="1"/>
  <c r="A106" i="1" s="1"/>
  <c r="I100" i="1" a="1"/>
  <c r="I100" i="1" s="1"/>
  <c r="A110" i="1" a="1"/>
  <c r="A110" i="1" s="1"/>
  <c r="G96" i="1" a="1"/>
  <c r="G96" i="1" s="1"/>
  <c r="E96" i="1" a="1"/>
  <c r="E96" i="1" s="1"/>
  <c r="I96" i="1" a="1"/>
  <c r="I96" i="1" s="1"/>
  <c r="A53" i="1" a="1"/>
  <c r="A53" i="1" s="1"/>
  <c r="A108" i="1" a="1"/>
  <c r="A108" i="1" s="1"/>
  <c r="I97" i="1" a="1"/>
  <c r="I97" i="1" s="1"/>
  <c r="I99" i="1" a="1"/>
  <c r="I99" i="1" s="1"/>
  <c r="I98" i="1" a="1"/>
  <c r="I98" i="1" s="1"/>
  <c r="A112" i="1" a="1"/>
  <c r="A112" i="1" s="1"/>
  <c r="A54" i="1" a="1"/>
  <c r="A54" i="1" s="1"/>
  <c r="A109" i="1" a="1"/>
  <c r="A109" i="1" s="1"/>
  <c r="I102" i="1" a="1"/>
  <c r="I102" i="1" s="1"/>
  <c r="I103" i="1" a="1"/>
  <c r="I103" i="1" s="1"/>
  <c r="A51" i="1" a="1"/>
  <c r="A51" i="1" s="1"/>
  <c r="I101" i="1" a="1"/>
  <c r="I101" i="1" s="1"/>
  <c r="A111" i="1" a="1"/>
  <c r="A111" i="1" s="1"/>
  <c r="A55" i="1" a="1"/>
  <c r="A55" i="1" s="1"/>
  <c r="A52" i="1" a="1"/>
  <c r="A52" i="1" s="1"/>
  <c r="A50" i="1" a="1"/>
  <c r="A50" i="1" s="1"/>
  <c r="A48" i="1" a="1"/>
  <c r="A48" i="1" s="1"/>
  <c r="I46" i="1" a="1"/>
  <c r="I46" i="1" s="1"/>
  <c r="I45" i="1" a="1"/>
  <c r="I45" i="1" s="1"/>
  <c r="I41" i="1" a="1"/>
  <c r="I41" i="1" s="1"/>
  <c r="I39" i="1" a="1"/>
  <c r="I39" i="1" s="1"/>
  <c r="G39" i="1" a="1"/>
  <c r="G39" i="1" s="1"/>
  <c r="I44" i="1" a="1"/>
  <c r="I44" i="1" s="1"/>
  <c r="I43" i="1" a="1"/>
  <c r="I43" i="1" s="1"/>
  <c r="I42" i="1" a="1"/>
  <c r="I42" i="1" s="1"/>
  <c r="I40" i="1" a="1"/>
  <c r="I40" i="1" s="1"/>
  <c r="E39" i="1" a="1"/>
  <c r="E39" i="1" s="1"/>
  <c r="E102" i="1"/>
  <c r="D102" i="1"/>
  <c r="B102" i="1"/>
  <c r="E100" i="1"/>
  <c r="D100" i="1"/>
  <c r="E98" i="1"/>
  <c r="D98" i="1"/>
  <c r="B98" i="1"/>
  <c r="A96" i="1"/>
  <c r="E45" i="1"/>
  <c r="D45" i="1"/>
  <c r="B45" i="1"/>
  <c r="E43" i="1"/>
  <c r="D43" i="1"/>
  <c r="E41" i="1"/>
  <c r="D41" i="1"/>
  <c r="B41" i="1"/>
  <c r="A39" i="1"/>
  <c r="B43" i="1"/>
  <c r="B100" i="1"/>
  <c r="J160" i="1" l="1"/>
  <c r="I15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<sst xmlns="http://schemas.openxmlformats.org/spreadsheetml/2006/main" count="280" uniqueCount="92">
  <si>
    <t>検査梱包指示書</t>
  </si>
  <si>
    <t>品目番号</t>
  </si>
  <si>
    <t>J1ZAFJB00219660</t>
  </si>
  <si>
    <t>Ｌ寸</t>
  </si>
  <si>
    <t>名称</t>
  </si>
  <si>
    <t>463301-2070灯具ｶﾊﾞｰPC IN</t>
  </si>
  <si>
    <t>上長</t>
  </si>
  <si>
    <t>係員</t>
  </si>
  <si>
    <t>製造指図№</t>
  </si>
  <si>
    <t>000000000007925</t>
  </si>
  <si>
    <t>原料名</t>
  </si>
  <si>
    <t>J6VZ041</t>
  </si>
  <si>
    <t>発注明細№</t>
  </si>
  <si>
    <t>000000000794614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</si>
  <si>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</si>
  <si>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</si>
  <si>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</si>
  <si>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</si>
  <si>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</si>
  <si>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</si>
  <si>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</si>
  <si>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</si>
  <si>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</si>
  <si>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</si>
  <si>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</si>
  <si>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*J1ZAFJB00219660*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</si>
  <si>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</si>
  <si>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</si>
  <si>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</si>
  <si>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</si>
  <si>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</si>
  <si>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</si>
  <si>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</si>
  <si>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</si>
  <si>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</si>
  <si>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</si>
  <si>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</si>
  <si>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</si>
  <si>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</si>
  <si>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</si>
  <si>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</si>
  <si>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</si>
  <si>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</si>
  <si>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</si>
  <si>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</si>
  <si>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</si>
  <si>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</si>
  <si>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</si>
  <si>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J1ZAFJA00219660</t>
  </si>
  <si>
    <t>@463301-2070灯具ｶﾊﾞｰPCIN</t>
  </si>
  <si>
    <t>V3J04</t>
  </si>
  <si>
    <t>*J1ZAFJA00219660*</t>
  </si>
  <si>
    <t>J6DW0044</t>
  </si>
  <si>
    <t>灯具-2</t>
  </si>
  <si>
    <t>*J6DW0044*</t>
  </si>
  <si>
    <t>J6XX0050</t>
  </si>
  <si>
    <t>(管理外)筋入ｸﾗﾌﾄ紙</t>
  </si>
  <si>
    <t>*J6XX0050*</t>
  </si>
  <si>
    <t>300＊100</t>
  </si>
  <si>
    <t>000000000794615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</si>
  <si>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</si>
  <si>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</si>
  <si>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</si>
  <si>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</si>
  <si>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</si>
  <si>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</si>
  <si>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</si>
  <si>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</si>
  <si>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</si>
  <si>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</si>
  <si>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</si>
  <si>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</si>
  <si>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</si>
  <si>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</si>
  <si>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</si>
  <si>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</si>
  <si>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</si>
  <si>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</si>
  <si>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</si>
  <si>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</si>
  <si>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</si>
  <si>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</si>
  <si>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</si>
  <si>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</si>
  <si>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</si>
  <si>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</si>
  <si>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</si>
  <si>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</si>
  <si>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</si>
  <si>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000000000007926-1</t>
    <phoneticPr fontId="2"/>
  </si>
  <si>
    <t>000000000007926-2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</si>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</sst>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  <numFmt numFmtId="196" formatCode="#&quot;本&quot;"/>
  </numFmts>
  <fonts count="35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2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194" fontId="32" fillId="0" borderId="2" xfId="1" applyNumberFormat="1" applyFont="1" applyBorder="1" applyAlignment="1">
      <alignment horizontal="center" vertical="center" shrinkToFit="1"/>
    </xf>
    <xf numFmtId="182" fontId="33" fillId="5" borderId="22" xfId="0" applyNumberFormat="1" applyFont="1" applyFill="1" applyBorder="1" applyAlignment="1">
      <alignment horizontal="left" vertical="center" shrinkToFit="1"/>
    </xf>
    <xf numFmtId="0" fontId="32" fillId="0" borderId="2" xfId="1" applyFont="1" applyBorder="1" applyAlignment="1">
      <alignment horizontal="center" vertical="center" shrinkToFit="1"/>
    </xf>
    <xf numFmtId="183" fontId="33" fillId="5" borderId="22" xfId="0" applyNumberFormat="1" applyFont="1" applyFill="1" applyBorder="1" applyAlignment="1">
      <alignment horizontal="left" vertical="center" shrinkToFit="1"/>
    </xf>
    <xf numFmtId="184" fontId="33" fillId="5" borderId="22" xfId="0" applyNumberFormat="1" applyFont="1" applyFill="1" applyBorder="1" applyAlignment="1">
      <alignment horizontal="left" vertical="center" shrinkToFit="1"/>
    </xf>
    <xf numFmtId="185" fontId="33" fillId="5" borderId="22" xfId="0" applyNumberFormat="1" applyFont="1" applyFill="1" applyBorder="1" applyAlignment="1">
      <alignment horizontal="left" vertical="center" shrinkToFit="1"/>
    </xf>
    <xf numFmtId="187" fontId="33" fillId="5" borderId="22" xfId="0" applyNumberFormat="1" applyFont="1" applyFill="1" applyBorder="1" applyAlignment="1">
      <alignment horizontal="left" vertical="center" shrinkToFit="1"/>
    </xf>
    <xf numFmtId="188" fontId="33" fillId="5" borderId="22" xfId="0" applyNumberFormat="1" applyFont="1" applyFill="1" applyBorder="1" applyAlignment="1">
      <alignment horizontal="left" vertical="center" shrinkToFit="1"/>
    </xf>
    <xf numFmtId="190" fontId="33" fillId="5" borderId="22" xfId="0" applyNumberFormat="1" applyFont="1" applyFill="1" applyBorder="1" applyAlignment="1">
      <alignment horizontal="left" vertical="center" shrinkToFit="1"/>
    </xf>
    <xf numFmtId="191" fontId="33" fillId="5" borderId="32" xfId="0" applyNumberFormat="1" applyFont="1" applyFill="1" applyBorder="1" applyAlignment="1">
      <alignment horizontal="left" vertical="center"/>
    </xf>
    <xf numFmtId="181" fontId="34" fillId="4" borderId="21" xfId="0" applyNumberFormat="1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35" xfId="0" applyFont="1" applyFill="1" applyBorder="1" applyAlignment="1">
      <alignment horizontal="center" vertical="center"/>
    </xf>
    <xf numFmtId="189" fontId="34" fillId="4" borderId="36" xfId="0" applyNumberFormat="1" applyFont="1" applyFill="1" applyBorder="1" applyAlignment="1">
      <alignment horizontal="center" vertical="center"/>
    </xf>
    <xf numFmtId="179" fontId="34" fillId="4" borderId="21" xfId="0" applyNumberFormat="1" applyFont="1" applyFill="1" applyBorder="1" applyAlignment="1">
      <alignment horizontal="center" vertical="center"/>
    </xf>
    <xf numFmtId="179" fontId="34" fillId="4" borderId="2" xfId="0" applyNumberFormat="1" applyFont="1" applyFill="1" applyBorder="1" applyAlignment="1">
      <alignment horizontal="center" vertical="center"/>
    </xf>
    <xf numFmtId="179" fontId="34" fillId="4" borderId="22" xfId="0" applyNumberFormat="1" applyFont="1" applyFill="1" applyBorder="1" applyAlignment="1">
      <alignment horizontal="center" vertical="center"/>
    </xf>
    <xf numFmtId="192" fontId="34" fillId="0" borderId="21" xfId="0" applyNumberFormat="1" applyFont="1" applyBorder="1" applyAlignment="1">
      <alignment horizontal="center" vertical="center"/>
    </xf>
    <xf numFmtId="193" fontId="34" fillId="0" borderId="2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95" fontId="34" fillId="0" borderId="2" xfId="0" applyNumberFormat="1" applyFont="1" applyBorder="1" applyAlignment="1">
      <alignment horizontal="center" vertical="center"/>
    </xf>
    <xf numFmtId="195" fontId="34" fillId="0" borderId="22" xfId="0" applyNumberFormat="1" applyFont="1" applyBorder="1" applyAlignment="1">
      <alignment horizontal="center" vertical="center"/>
    </xf>
    <xf numFmtId="179" fontId="34" fillId="0" borderId="21" xfId="0" applyNumberFormat="1" applyFont="1" applyBorder="1" applyAlignment="1">
      <alignment horizontal="center" vertical="center"/>
    </xf>
    <xf numFmtId="179" fontId="34" fillId="0" borderId="2" xfId="0" applyNumberFormat="1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192" fontId="34" fillId="0" borderId="24" xfId="0" applyNumberFormat="1" applyFont="1" applyBorder="1" applyAlignment="1">
      <alignment horizontal="center" vertical="center"/>
    </xf>
    <xf numFmtId="193" fontId="34" fillId="0" borderId="37" xfId="0" applyNumberFormat="1" applyFont="1" applyBorder="1" applyAlignment="1">
      <alignment horizontal="center" vertical="center"/>
    </xf>
    <xf numFmtId="181" fontId="34" fillId="4" borderId="30" xfId="0" applyNumberFormat="1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195" fontId="34" fillId="0" borderId="31" xfId="0" applyNumberFormat="1" applyFont="1" applyBorder="1" applyAlignment="1">
      <alignment horizontal="center" vertical="center"/>
    </xf>
    <xf numFmtId="195" fontId="34" fillId="0" borderId="32" xfId="0" applyNumberFormat="1" applyFont="1" applyBorder="1" applyAlignment="1">
      <alignment horizontal="center" vertical="center"/>
    </xf>
    <xf numFmtId="179" fontId="34" fillId="0" borderId="30" xfId="0" applyNumberFormat="1" applyFont="1" applyBorder="1" applyAlignment="1">
      <alignment horizontal="center" vertical="center"/>
    </xf>
    <xf numFmtId="179" fontId="34" fillId="0" borderId="31" xfId="0" applyNumberFormat="1" applyFont="1" applyBorder="1" applyAlignment="1">
      <alignment horizontal="center" vertical="center"/>
    </xf>
    <xf numFmtId="179" fontId="34" fillId="0" borderId="32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2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3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92" fontId="19" fillId="4" borderId="39" xfId="0" applyNumberFormat="1" applyFont="1" applyFill="1" applyBorder="1" applyAlignment="1">
      <alignment horizontal="center" vertical="center"/>
    </xf>
    <xf numFmtId="196" fontId="34" fillId="0" borderId="40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3</xdr:row>
      <xdr:rowOff>85725</xdr:rowOff>
    </xdr:from>
    <xdr:to>
      <xdr:col>9</xdr:col>
      <xdr:colOff>619125</xdr:colOff>
      <xdr:row>5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7990F0E-208A-EA3E-291F-BE90D93A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62865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60</xdr:row>
      <xdr:rowOff>152400</xdr:rowOff>
    </xdr:from>
    <xdr:to>
      <xdr:col>9</xdr:col>
      <xdr:colOff>590550</xdr:colOff>
      <xdr:row>62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3AF0E0-F6D5-4A4D-BCF3-970ADCB43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392555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60</xdr:row>
      <xdr:rowOff>95251</xdr:rowOff>
    </xdr:from>
    <xdr:to>
      <xdr:col>8</xdr:col>
      <xdr:colOff>590551</xdr:colOff>
      <xdr:row>62</xdr:row>
      <xdr:rowOff>133351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A4EE21E-5052-C1BE-1922-DBB9DCB31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1" y="13868401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228601</xdr:colOff>
      <xdr:row>3</xdr:row>
      <xdr:rowOff>85726</xdr:rowOff>
    </xdr:from>
    <xdr:to>
      <xdr:col>8</xdr:col>
      <xdr:colOff>685801</xdr:colOff>
      <xdr:row>5</xdr:row>
      <xdr:rowOff>142876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B398D37-860C-9347-8E3A-7C906AB3B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628651"/>
          <a:ext cx="457200" cy="457200"/>
        </a:xfrm>
        <a:prstGeom prst="rect">
          <a:avLst/>
        </a:prstGeom>
      </xdr:spPr>
    </xdr:pic>
    <xdr:clientData/>
  </xdr:twoCellAnchor>
  <xdr:oneCellAnchor>
    <xdr:from>
      <xdr:col>9</xdr:col>
      <xdr:colOff>180975</xdr:colOff>
      <xdr:row>117</xdr:row>
      <xdr:rowOff>152400</xdr:rowOff>
    </xdr:from>
    <xdr:ext cx="409575" cy="409575"/>
    <xdr:pic>
      <xdr:nvPicPr>
        <xdr:cNvPr id="2" name="図 1">
          <a:extLst>
            <a:ext uri="{FF2B5EF4-FFF2-40B4-BE49-F238E27FC236}">
              <a16:creationId xmlns:a16="http://schemas.microsoft.com/office/drawing/2014/main" id="{E46BF7AD-DA2D-45CB-8193-3A6D126F5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3573125"/>
          <a:ext cx="409575" cy="409575"/>
        </a:xfrm>
        <a:prstGeom prst="rect">
          <a:avLst/>
        </a:prstGeom>
      </xdr:spPr>
    </xdr:pic>
    <xdr:clientData/>
  </xdr:oneCellAnchor>
  <xdr:oneCellAnchor>
    <xdr:from>
      <xdr:col>8</xdr:col>
      <xdr:colOff>152401</xdr:colOff>
      <xdr:row>117</xdr:row>
      <xdr:rowOff>95251</xdr:rowOff>
    </xdr:from>
    <xdr:ext cx="438150" cy="438150"/>
    <xdr:pic>
      <xdr:nvPicPr>
        <xdr:cNvPr id="7" name="図 6">
          <a:extLst>
            <a:ext uri="{FF2B5EF4-FFF2-40B4-BE49-F238E27FC236}">
              <a16:creationId xmlns:a16="http://schemas.microsoft.com/office/drawing/2014/main" id="{133EB6EE-55A4-437E-902E-AF545F7FE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1" y="13515976"/>
          <a:ext cx="438150" cy="4381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L3" t="str">
            <v>25.10.29</v>
          </cell>
          <cell r="M3" t="str">
            <v>11箱</v>
          </cell>
          <cell r="O3">
            <v>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 t="str">
            <v>25.10.30</v>
          </cell>
          <cell r="M4" t="str">
            <v>9箱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L10" t="str">
            <v>α端材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L11" t="str">
            <v>25.10.30</v>
          </cell>
          <cell r="M11" t="str">
            <v>4箱</v>
          </cell>
          <cell r="O11">
            <v>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O13">
            <v>201</v>
          </cell>
          <cell r="T13" t="str">
            <v>000000000008361</v>
          </cell>
        </row>
        <row r="14">
          <cell r="O14">
            <v>1</v>
          </cell>
          <cell r="T14" t="str">
            <v>000000000008361</v>
          </cell>
        </row>
        <row r="15">
          <cell r="C15">
            <v>2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L18" t="str">
            <v>α端材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 t="str">
            <v>25.10.31</v>
          </cell>
          <cell r="M19" t="str">
            <v>2箱</v>
          </cell>
          <cell r="O19">
            <v>0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O22">
            <v>1</v>
          </cell>
          <cell r="T22" t="str">
            <v>000000000008360</v>
          </cell>
        </row>
        <row r="23">
          <cell r="C23">
            <v>2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L26" t="str">
            <v>α端材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I27" t="str">
            <v>25I16-15</v>
          </cell>
          <cell r="J27">
            <v>7</v>
          </cell>
          <cell r="K27">
            <v>2</v>
          </cell>
          <cell r="L27" t="str">
            <v>25.10.31</v>
          </cell>
          <cell r="M27" t="str">
            <v>2箱</v>
          </cell>
          <cell r="O27">
            <v>0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O29">
            <v>67</v>
          </cell>
          <cell r="T29" t="str">
            <v>000000000008357</v>
          </cell>
        </row>
        <row r="30">
          <cell r="O30">
            <v>0</v>
          </cell>
          <cell r="T30" t="str">
            <v>000000000008357</v>
          </cell>
        </row>
        <row r="31">
          <cell r="C31">
            <v>3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I35" t="str">
            <v>25I16-15</v>
          </cell>
          <cell r="J35">
            <v>7</v>
          </cell>
          <cell r="K35">
            <v>1</v>
          </cell>
          <cell r="L35" t="str">
            <v>25.10.31</v>
          </cell>
          <cell r="M35" t="str">
            <v>3箱</v>
          </cell>
          <cell r="O35">
            <v>0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O37">
            <v>40</v>
          </cell>
          <cell r="T37" t="str">
            <v>000000000008354</v>
          </cell>
        </row>
        <row r="38">
          <cell r="O38">
            <v>1</v>
          </cell>
          <cell r="T38" t="str">
            <v>000000000008354</v>
          </cell>
        </row>
        <row r="39">
          <cell r="C39">
            <v>6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L40" t="str">
            <v>切断</v>
          </cell>
          <cell r="M40" t="str">
            <v>C</v>
          </cell>
          <cell r="O40">
            <v>67</v>
          </cell>
          <cell r="T40" t="str">
            <v>000000000008354</v>
          </cell>
        </row>
        <row r="41">
          <cell r="C41">
            <v>3</v>
          </cell>
          <cell r="L41" t="str">
            <v>検査</v>
          </cell>
          <cell r="M41" t="str">
            <v>U</v>
          </cell>
          <cell r="O41">
            <v>66</v>
          </cell>
          <cell r="T41" t="str">
            <v>000000000008354</v>
          </cell>
        </row>
        <row r="42"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K43" t="e">
            <v>#VALUE!</v>
          </cell>
          <cell r="L43" t="str">
            <v>25.10.31</v>
          </cell>
          <cell r="M43" t="str">
            <v>1箱</v>
          </cell>
          <cell r="O43">
            <v>0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 t="e">
            <v>#VALUE!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 t="str">
            <v>25.10.31</v>
          </cell>
          <cell r="M51" t="str">
            <v>4箱</v>
          </cell>
          <cell r="O51">
            <v>0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O53">
            <v>95</v>
          </cell>
          <cell r="T53" t="str">
            <v>000000000008709</v>
          </cell>
        </row>
        <row r="54">
          <cell r="O54">
            <v>31</v>
          </cell>
          <cell r="T54" t="str">
            <v>000000000008709</v>
          </cell>
        </row>
        <row r="55">
          <cell r="C55">
            <v>1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L58" t="str">
            <v>α端材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L59" t="str">
            <v>25.11.04</v>
          </cell>
          <cell r="M59" t="str">
            <v>5箱</v>
          </cell>
          <cell r="O59">
            <v>0</v>
          </cell>
          <cell r="P59">
            <v>5</v>
          </cell>
          <cell r="T59" t="str">
            <v>000000000007926-2</v>
          </cell>
        </row>
        <row r="60">
          <cell r="D60">
            <v>45965</v>
          </cell>
          <cell r="E60" t="str">
            <v>25J02-02</v>
          </cell>
          <cell r="I60" t="str">
            <v>25J02-02</v>
          </cell>
          <cell r="J60">
            <v>121</v>
          </cell>
          <cell r="K60">
            <v>121</v>
          </cell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I61" t="str">
            <v>次回納品11/14</v>
          </cell>
          <cell r="O61">
            <v>121</v>
          </cell>
          <cell r="T61" t="str">
            <v>000000000007926-2</v>
          </cell>
        </row>
        <row r="62">
          <cell r="O62">
            <v>41</v>
          </cell>
          <cell r="T62" t="str">
            <v>000000000007926-2</v>
          </cell>
        </row>
        <row r="63">
          <cell r="C63">
            <v>1</v>
          </cell>
          <cell r="O63">
            <v>41</v>
          </cell>
          <cell r="T63" t="str">
            <v>000000000007926-2</v>
          </cell>
        </row>
        <row r="64">
          <cell r="C64" t="str">
            <v>灯具-2　L＝1996</v>
          </cell>
          <cell r="L64" t="str">
            <v>切断</v>
          </cell>
          <cell r="M64" t="str">
            <v>-</v>
          </cell>
          <cell r="O64">
            <v>0</v>
          </cell>
          <cell r="T64" t="str">
            <v>000000000007926-2</v>
          </cell>
        </row>
        <row r="65">
          <cell r="C65">
            <v>5</v>
          </cell>
          <cell r="L65" t="str">
            <v>検査</v>
          </cell>
          <cell r="M65" t="str">
            <v>T</v>
          </cell>
          <cell r="T65" t="str">
            <v>000000000007926-2</v>
          </cell>
        </row>
        <row r="66">
          <cell r="L66" t="str">
            <v>α端材</v>
          </cell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I67" t="str">
            <v>25J23-01</v>
          </cell>
          <cell r="J67">
            <v>13</v>
          </cell>
          <cell r="K67">
            <v>13</v>
          </cell>
          <cell r="L67" t="str">
            <v>25.11.04</v>
          </cell>
          <cell r="M67" t="str">
            <v>10箱</v>
          </cell>
          <cell r="O67">
            <v>0</v>
          </cell>
          <cell r="P67">
            <v>19</v>
          </cell>
          <cell r="T67" t="str">
            <v>000000000008710</v>
          </cell>
        </row>
        <row r="68">
          <cell r="D68">
            <v>45965</v>
          </cell>
          <cell r="E68" t="str">
            <v>25J23-02</v>
          </cell>
          <cell r="I68" t="str">
            <v>25J23-02</v>
          </cell>
          <cell r="J68">
            <v>196</v>
          </cell>
          <cell r="K68">
            <v>196</v>
          </cell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I69" t="str">
            <v>次回納品11/25</v>
          </cell>
          <cell r="O69">
            <v>209</v>
          </cell>
          <cell r="P69">
            <v>1</v>
          </cell>
          <cell r="T69" t="str">
            <v>000000000008710</v>
          </cell>
        </row>
        <row r="70">
          <cell r="O70">
            <v>49</v>
          </cell>
          <cell r="T70" t="str">
            <v>000000000008710</v>
          </cell>
        </row>
        <row r="71">
          <cell r="C71">
            <v>1</v>
          </cell>
          <cell r="O71">
            <v>49</v>
          </cell>
          <cell r="T71" t="str">
            <v>000000000008710</v>
          </cell>
        </row>
        <row r="72">
          <cell r="C72" t="str">
            <v>灯具-2　L＝1996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000000000008710</v>
          </cell>
        </row>
        <row r="73">
          <cell r="C73">
            <v>10</v>
          </cell>
          <cell r="L73" t="str">
            <v>検査</v>
          </cell>
          <cell r="M73" t="str">
            <v>T/C</v>
          </cell>
          <cell r="T73" t="str">
            <v>000000000008710</v>
          </cell>
        </row>
        <row r="74">
          <cell r="L74" t="str">
            <v>α端材</v>
          </cell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I75" t="str">
            <v>25I07-09</v>
          </cell>
          <cell r="J75">
            <v>14</v>
          </cell>
          <cell r="K75">
            <v>14</v>
          </cell>
          <cell r="L75" t="str">
            <v>25.11.05</v>
          </cell>
          <cell r="M75" t="str">
            <v>6箱</v>
          </cell>
          <cell r="O75">
            <v>0</v>
          </cell>
          <cell r="P75">
            <v>6</v>
          </cell>
          <cell r="T75" t="str">
            <v>000000000008705</v>
          </cell>
        </row>
        <row r="76">
          <cell r="D76">
            <v>45966</v>
          </cell>
          <cell r="E76" t="str">
            <v>25J24-01</v>
          </cell>
          <cell r="I76" t="str">
            <v>25J24-01</v>
          </cell>
          <cell r="J76">
            <v>95</v>
          </cell>
          <cell r="K76">
            <v>95</v>
          </cell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O77">
            <v>109</v>
          </cell>
          <cell r="T77" t="str">
            <v>000000000008705</v>
          </cell>
        </row>
        <row r="78">
          <cell r="O78">
            <v>13</v>
          </cell>
          <cell r="T78" t="str">
            <v>000000000008705</v>
          </cell>
        </row>
        <row r="79">
          <cell r="C79">
            <v>1</v>
          </cell>
          <cell r="O79">
            <v>13</v>
          </cell>
          <cell r="T79" t="str">
            <v>000000000008705</v>
          </cell>
        </row>
        <row r="80">
          <cell r="C80" t="str">
            <v>灯具-3　L=970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000000000008705</v>
          </cell>
        </row>
        <row r="81">
          <cell r="C81">
            <v>6</v>
          </cell>
          <cell r="L81" t="str">
            <v>検査</v>
          </cell>
          <cell r="M81" t="str">
            <v>T</v>
          </cell>
          <cell r="T81" t="str">
            <v>000000000008705</v>
          </cell>
        </row>
        <row r="82">
          <cell r="L82" t="str">
            <v>α端材</v>
          </cell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I83" t="str">
            <v>25J18-04</v>
          </cell>
          <cell r="J83">
            <v>134</v>
          </cell>
          <cell r="K83">
            <v>67</v>
          </cell>
          <cell r="L83" t="str">
            <v>25.10.31</v>
          </cell>
          <cell r="M83" t="str">
            <v>1箱</v>
          </cell>
          <cell r="O83">
            <v>0</v>
          </cell>
          <cell r="P83">
            <v>5</v>
          </cell>
          <cell r="T83" t="str">
            <v>000000000008362</v>
          </cell>
        </row>
        <row r="84"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 t="str">
            <v>25.11.05</v>
          </cell>
          <cell r="M84" t="str">
            <v>7箱</v>
          </cell>
          <cell r="O84">
            <v>800</v>
          </cell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O85">
            <v>403</v>
          </cell>
          <cell r="T85" t="str">
            <v>000000000008362</v>
          </cell>
        </row>
        <row r="86"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O86">
            <v>3</v>
          </cell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O87">
            <v>5</v>
          </cell>
          <cell r="T87" t="str">
            <v>000000000008362</v>
          </cell>
        </row>
        <row r="88">
          <cell r="C88" t="str">
            <v>LED-A888</v>
          </cell>
          <cell r="L88" t="str">
            <v>切断</v>
          </cell>
          <cell r="M88" t="str">
            <v>M/C</v>
          </cell>
          <cell r="O88">
            <v>0</v>
          </cell>
          <cell r="T88" t="str">
            <v>000000000008362</v>
          </cell>
        </row>
        <row r="89">
          <cell r="C89">
            <v>8</v>
          </cell>
          <cell r="L89" t="str">
            <v>検査</v>
          </cell>
          <cell r="M89" t="str">
            <v>T/U</v>
          </cell>
          <cell r="T89" t="str">
            <v>000000000008362</v>
          </cell>
        </row>
        <row r="90">
          <cell r="L90" t="str">
            <v>α端材</v>
          </cell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I91" t="str">
            <v>25J16-01</v>
          </cell>
          <cell r="J91">
            <v>9</v>
          </cell>
          <cell r="K91">
            <v>9</v>
          </cell>
          <cell r="L91" t="str">
            <v>25.11.05</v>
          </cell>
          <cell r="M91" t="str">
            <v>1箱</v>
          </cell>
          <cell r="O91">
            <v>0</v>
          </cell>
          <cell r="P91">
            <v>1</v>
          </cell>
          <cell r="T91" t="str">
            <v>000000000008364</v>
          </cell>
        </row>
        <row r="92"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 t="str">
            <v>25.11.06</v>
          </cell>
          <cell r="M92" t="str">
            <v>3箱</v>
          </cell>
          <cell r="O92">
            <v>400</v>
          </cell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O93">
            <v>401</v>
          </cell>
          <cell r="T93" t="str">
            <v>000000000008364</v>
          </cell>
        </row>
        <row r="94">
          <cell r="O94">
            <v>1</v>
          </cell>
          <cell r="T94" t="str">
            <v>000000000008364</v>
          </cell>
        </row>
        <row r="95">
          <cell r="C95">
            <v>1</v>
          </cell>
          <cell r="O95">
            <v>1</v>
          </cell>
          <cell r="T95" t="str">
            <v>000000000008364</v>
          </cell>
        </row>
        <row r="96">
          <cell r="C96" t="str">
            <v>LED-A1478</v>
          </cell>
          <cell r="L96" t="str">
            <v>切断</v>
          </cell>
          <cell r="M96" t="str">
            <v>M/C</v>
          </cell>
          <cell r="O96">
            <v>0</v>
          </cell>
          <cell r="T96" t="str">
            <v>000000000008364</v>
          </cell>
        </row>
        <row r="97">
          <cell r="C97">
            <v>4</v>
          </cell>
          <cell r="L97" t="str">
            <v>検査</v>
          </cell>
          <cell r="M97" t="str">
            <v>T/U</v>
          </cell>
          <cell r="T97" t="str">
            <v>000000000008364</v>
          </cell>
        </row>
        <row r="98">
          <cell r="L98" t="str">
            <v>α端材</v>
          </cell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I99" t="str">
            <v>25I26-01</v>
          </cell>
          <cell r="J99">
            <v>5</v>
          </cell>
          <cell r="K99">
            <v>2</v>
          </cell>
          <cell r="L99" t="str">
            <v>25.11.06</v>
          </cell>
          <cell r="M99" t="str">
            <v>2箱</v>
          </cell>
          <cell r="O99">
            <v>0</v>
          </cell>
          <cell r="P99">
            <v>1</v>
          </cell>
          <cell r="T99" t="str">
            <v>000000000008941</v>
          </cell>
        </row>
        <row r="100"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O100">
            <v>200</v>
          </cell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O101">
            <v>101</v>
          </cell>
          <cell r="T101" t="str">
            <v>000000000008941</v>
          </cell>
        </row>
        <row r="102">
          <cell r="O102">
            <v>1</v>
          </cell>
          <cell r="T102" t="str">
            <v>000000000008941</v>
          </cell>
        </row>
        <row r="103">
          <cell r="C103">
            <v>2</v>
          </cell>
          <cell r="O103">
            <v>1</v>
          </cell>
          <cell r="T103" t="str">
            <v>000000000008941</v>
          </cell>
        </row>
        <row r="104">
          <cell r="C104" t="str">
            <v>LED-A888</v>
          </cell>
          <cell r="L104" t="str">
            <v>切断</v>
          </cell>
          <cell r="M104" t="str">
            <v>M</v>
          </cell>
          <cell r="O104">
            <v>1</v>
          </cell>
          <cell r="T104" t="str">
            <v>000000000008941</v>
          </cell>
        </row>
        <row r="105">
          <cell r="C105">
            <v>2</v>
          </cell>
          <cell r="L105" t="str">
            <v>検査</v>
          </cell>
          <cell r="M105" t="str">
            <v>T</v>
          </cell>
          <cell r="T105" t="str">
            <v>000000000008941</v>
          </cell>
        </row>
        <row r="106"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I107" t="str">
            <v>25J18-04</v>
          </cell>
          <cell r="J107">
            <v>11</v>
          </cell>
          <cell r="K107">
            <v>3</v>
          </cell>
          <cell r="L107" t="str">
            <v>25.11.06</v>
          </cell>
          <cell r="M107" t="str">
            <v>2箱</v>
          </cell>
          <cell r="O107">
            <v>0</v>
          </cell>
          <cell r="T107" t="str">
            <v>000000000008358</v>
          </cell>
        </row>
        <row r="108"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189</v>
          </cell>
          <cell r="K108">
            <v>64</v>
          </cell>
          <cell r="O108">
            <v>200</v>
          </cell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O109">
            <v>67</v>
          </cell>
          <cell r="T109" t="str">
            <v>000000000008358</v>
          </cell>
        </row>
        <row r="110">
          <cell r="O110">
            <v>0</v>
          </cell>
          <cell r="T110" t="str">
            <v>000000000008358</v>
          </cell>
        </row>
        <row r="111">
          <cell r="C111">
            <v>3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L112" t="str">
            <v>切断</v>
          </cell>
          <cell r="M112" t="str">
            <v>M</v>
          </cell>
          <cell r="O112">
            <v>2</v>
          </cell>
          <cell r="T112" t="str">
            <v>000000000008358</v>
          </cell>
        </row>
        <row r="113">
          <cell r="C113">
            <v>2</v>
          </cell>
          <cell r="L113" t="str">
            <v>検査</v>
          </cell>
          <cell r="M113" t="str">
            <v>T</v>
          </cell>
          <cell r="T113" t="str">
            <v>000000000008358</v>
          </cell>
        </row>
        <row r="114"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L115" t="str">
            <v>25.11.06</v>
          </cell>
          <cell r="M115" t="str">
            <v>2箱</v>
          </cell>
          <cell r="O115">
            <v>0</v>
          </cell>
          <cell r="P115">
            <v>1</v>
          </cell>
          <cell r="T115" t="str">
            <v>000000000008359</v>
          </cell>
        </row>
        <row r="116"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O116">
            <v>200</v>
          </cell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O117">
            <v>67</v>
          </cell>
          <cell r="T117" t="str">
            <v>000000000008359</v>
          </cell>
        </row>
        <row r="118">
          <cell r="O118">
            <v>1</v>
          </cell>
          <cell r="T118" t="str">
            <v>000000000008359</v>
          </cell>
        </row>
        <row r="119">
          <cell r="C119">
            <v>3</v>
          </cell>
          <cell r="O119">
            <v>1</v>
          </cell>
          <cell r="T119" t="str">
            <v>000000000008359</v>
          </cell>
        </row>
        <row r="120">
          <cell r="C120" t="str">
            <v>LED-A592</v>
          </cell>
          <cell r="L120" t="str">
            <v>切断</v>
          </cell>
          <cell r="M120" t="str">
            <v>M</v>
          </cell>
          <cell r="O120">
            <v>0</v>
          </cell>
          <cell r="T120" t="str">
            <v>000000000008359</v>
          </cell>
        </row>
        <row r="121">
          <cell r="C121">
            <v>2</v>
          </cell>
          <cell r="L121" t="str">
            <v>検査</v>
          </cell>
          <cell r="M121" t="str">
            <v>T</v>
          </cell>
          <cell r="T121" t="str">
            <v>000000000008359</v>
          </cell>
        </row>
        <row r="122">
          <cell r="L122" t="str">
            <v>α端材</v>
          </cell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I123" t="str">
            <v>25J18-04</v>
          </cell>
          <cell r="J123">
            <v>5</v>
          </cell>
          <cell r="L123" t="str">
            <v>25.11.06</v>
          </cell>
          <cell r="M123" t="str">
            <v>2箱</v>
          </cell>
          <cell r="O123">
            <v>0</v>
          </cell>
          <cell r="T123" t="str">
            <v>000000000008355</v>
          </cell>
        </row>
        <row r="124"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O124">
            <v>200</v>
          </cell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O125">
            <v>30</v>
          </cell>
          <cell r="T125" t="str">
            <v>000000000008355</v>
          </cell>
        </row>
        <row r="126">
          <cell r="O126">
            <v>0</v>
          </cell>
          <cell r="T126" t="str">
            <v>000000000008355</v>
          </cell>
        </row>
        <row r="127">
          <cell r="C127">
            <v>6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L128" t="str">
            <v>切断</v>
          </cell>
          <cell r="M128" t="str">
            <v>C</v>
          </cell>
          <cell r="O128">
            <v>29</v>
          </cell>
          <cell r="T128" t="str">
            <v>000000000008355</v>
          </cell>
        </row>
        <row r="129">
          <cell r="C129">
            <v>2</v>
          </cell>
          <cell r="L129" t="str">
            <v>検査</v>
          </cell>
          <cell r="M129" t="str">
            <v>U</v>
          </cell>
          <cell r="O129">
            <v>24</v>
          </cell>
          <cell r="T129" t="str">
            <v>000000000008355</v>
          </cell>
        </row>
        <row r="130"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L131" t="str">
            <v>25.11.06</v>
          </cell>
          <cell r="M131" t="str">
            <v>3箱</v>
          </cell>
          <cell r="O131">
            <v>0</v>
          </cell>
          <cell r="T131" t="str">
            <v>000000000008356</v>
          </cell>
        </row>
        <row r="132"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O132">
            <v>300</v>
          </cell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O133">
            <v>50</v>
          </cell>
          <cell r="T133" t="str">
            <v>000000000008356</v>
          </cell>
        </row>
        <row r="134">
          <cell r="O134">
            <v>0</v>
          </cell>
          <cell r="T134" t="str">
            <v>000000000008356</v>
          </cell>
        </row>
        <row r="135">
          <cell r="C135">
            <v>6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L136" t="str">
            <v>切断</v>
          </cell>
          <cell r="M136" t="str">
            <v>C</v>
          </cell>
          <cell r="O136">
            <v>0</v>
          </cell>
          <cell r="T136" t="str">
            <v>000000000008356</v>
          </cell>
        </row>
        <row r="137">
          <cell r="C137">
            <v>3</v>
          </cell>
          <cell r="L137" t="str">
            <v>検査</v>
          </cell>
          <cell r="M137" t="str">
            <v>U/T</v>
          </cell>
          <cell r="T137" t="str">
            <v>000000000008356</v>
          </cell>
        </row>
        <row r="138">
          <cell r="L138" t="str">
            <v>α端材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I139" t="str">
            <v>25J20-06</v>
          </cell>
          <cell r="J139">
            <v>1</v>
          </cell>
          <cell r="L139" t="str">
            <v>25.11.07</v>
          </cell>
          <cell r="M139" t="str">
            <v>16箱</v>
          </cell>
          <cell r="O139">
            <v>0</v>
          </cell>
          <cell r="P139">
            <v>4</v>
          </cell>
          <cell r="T139" t="str">
            <v>000000000008363</v>
          </cell>
        </row>
        <row r="140"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 t="str">
            <v>25.11.10</v>
          </cell>
          <cell r="M140" t="str">
            <v>4箱</v>
          </cell>
          <cell r="O140">
            <v>2000</v>
          </cell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911</v>
          </cell>
          <cell r="K141">
            <v>455</v>
          </cell>
          <cell r="O141">
            <v>1006</v>
          </cell>
          <cell r="P141">
            <v>4</v>
          </cell>
          <cell r="T141" t="str">
            <v>000000000008363</v>
          </cell>
        </row>
        <row r="142"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O142">
            <v>6</v>
          </cell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O143">
            <v>11</v>
          </cell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L144" t="str">
            <v>切断</v>
          </cell>
          <cell r="M144" t="str">
            <v>C/M</v>
          </cell>
          <cell r="O144">
            <v>1</v>
          </cell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L145" t="str">
            <v>検査</v>
          </cell>
          <cell r="M145" t="str">
            <v>T/U</v>
          </cell>
          <cell r="P145">
            <v>3</v>
          </cell>
          <cell r="T145" t="str">
            <v>000000000008363</v>
          </cell>
        </row>
        <row r="146"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L147" t="str">
            <v>25.11.06</v>
          </cell>
          <cell r="M147" t="str">
            <v>11箱</v>
          </cell>
          <cell r="O147">
            <v>0</v>
          </cell>
          <cell r="P147">
            <v>6</v>
          </cell>
          <cell r="T147" t="str">
            <v>000000000008703</v>
          </cell>
        </row>
        <row r="148">
          <cell r="D148">
            <v>45967</v>
          </cell>
          <cell r="E148" t="str">
            <v>25J25-01</v>
          </cell>
          <cell r="I148" t="str">
            <v>25J25-01</v>
          </cell>
          <cell r="J148">
            <v>200</v>
          </cell>
          <cell r="K148">
            <v>200</v>
          </cell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O149">
            <v>200</v>
          </cell>
          <cell r="T149" t="str">
            <v>000000000008703</v>
          </cell>
        </row>
        <row r="150">
          <cell r="O150">
            <v>24</v>
          </cell>
          <cell r="T150" t="str">
            <v>000000000008703</v>
          </cell>
        </row>
        <row r="151">
          <cell r="C151">
            <v>1</v>
          </cell>
          <cell r="O151">
            <v>24</v>
          </cell>
          <cell r="T151" t="str">
            <v>000000000008703</v>
          </cell>
        </row>
        <row r="152">
          <cell r="C152" t="str">
            <v>灯具-3　L=970</v>
          </cell>
          <cell r="L152" t="str">
            <v>切断</v>
          </cell>
          <cell r="M152" t="str">
            <v>-</v>
          </cell>
          <cell r="O152">
            <v>0</v>
          </cell>
          <cell r="T152" t="str">
            <v>000000000008703</v>
          </cell>
        </row>
        <row r="153">
          <cell r="C153">
            <v>0</v>
          </cell>
          <cell r="L153" t="str">
            <v>検査</v>
          </cell>
          <cell r="M153" t="str">
            <v>C</v>
          </cell>
          <cell r="T153" t="str">
            <v>000000000008703</v>
          </cell>
        </row>
        <row r="154">
          <cell r="L154" t="str">
            <v>α端材</v>
          </cell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L155" t="str">
            <v>25.11.07</v>
          </cell>
          <cell r="M155" t="str">
            <v>9箱</v>
          </cell>
          <cell r="O155">
            <v>0</v>
          </cell>
          <cell r="P155">
            <v>24</v>
          </cell>
          <cell r="T155" t="str">
            <v>000000000008704</v>
          </cell>
        </row>
        <row r="156">
          <cell r="D156">
            <v>45968</v>
          </cell>
          <cell r="E156" t="str">
            <v>25J25-02</v>
          </cell>
          <cell r="I156" t="str">
            <v>25J25-02</v>
          </cell>
          <cell r="J156">
            <v>187</v>
          </cell>
          <cell r="K156">
            <v>187</v>
          </cell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O157">
            <v>187</v>
          </cell>
          <cell r="P157">
            <v>2</v>
          </cell>
          <cell r="T157" t="str">
            <v>000000000008704</v>
          </cell>
        </row>
        <row r="158">
          <cell r="O158">
            <v>43</v>
          </cell>
          <cell r="T158" t="str">
            <v>000000000008704</v>
          </cell>
        </row>
        <row r="159">
          <cell r="C159">
            <v>1</v>
          </cell>
          <cell r="O159">
            <v>43</v>
          </cell>
          <cell r="T159" t="str">
            <v>000000000008704</v>
          </cell>
        </row>
        <row r="160">
          <cell r="C160" t="str">
            <v>灯具-3　L=970</v>
          </cell>
          <cell r="L160" t="str">
            <v>切断</v>
          </cell>
          <cell r="M160" t="str">
            <v>-</v>
          </cell>
          <cell r="O160">
            <v>0</v>
          </cell>
          <cell r="T160" t="str">
            <v>000000000008704</v>
          </cell>
        </row>
        <row r="161">
          <cell r="C161">
            <v>0</v>
          </cell>
          <cell r="L161" t="str">
            <v>検査</v>
          </cell>
          <cell r="M161" t="str">
            <v>C</v>
          </cell>
          <cell r="T161" t="str">
            <v>000000000008704</v>
          </cell>
        </row>
        <row r="162">
          <cell r="L162" t="str">
            <v>α端材</v>
          </cell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I163" t="str">
            <v>25I25-01</v>
          </cell>
          <cell r="J163">
            <v>14</v>
          </cell>
          <cell r="K163">
            <v>14</v>
          </cell>
          <cell r="L163" t="str">
            <v>25.11.10</v>
          </cell>
          <cell r="M163" t="str">
            <v>6箱</v>
          </cell>
          <cell r="O163">
            <v>0</v>
          </cell>
          <cell r="P163">
            <v>1</v>
          </cell>
          <cell r="T163" t="str">
            <v>000000000008701</v>
          </cell>
        </row>
        <row r="164">
          <cell r="D164">
            <v>45971</v>
          </cell>
          <cell r="E164" t="str">
            <v>25J24-01</v>
          </cell>
          <cell r="I164" t="str">
            <v>25J24-01</v>
          </cell>
          <cell r="J164">
            <v>85</v>
          </cell>
          <cell r="K164">
            <v>85</v>
          </cell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O165">
            <v>99</v>
          </cell>
          <cell r="T165" t="str">
            <v>000000000008701</v>
          </cell>
        </row>
        <row r="166">
          <cell r="O166">
            <v>3</v>
          </cell>
          <cell r="T166" t="str">
            <v>000000000008701</v>
          </cell>
        </row>
        <row r="167">
          <cell r="C167">
            <v>1</v>
          </cell>
          <cell r="O167">
            <v>3</v>
          </cell>
          <cell r="T167" t="str">
            <v>000000000008701</v>
          </cell>
        </row>
        <row r="168">
          <cell r="C168" t="str">
            <v>灯具-1　L=1370</v>
          </cell>
          <cell r="L168" t="str">
            <v>切断</v>
          </cell>
          <cell r="M168" t="str">
            <v>-</v>
          </cell>
          <cell r="O168">
            <v>0</v>
          </cell>
          <cell r="T168" t="str">
            <v>000000000008701</v>
          </cell>
        </row>
        <row r="169">
          <cell r="C169">
            <v>0</v>
          </cell>
          <cell r="L169" t="str">
            <v>検査</v>
          </cell>
          <cell r="M169" t="str">
            <v>C</v>
          </cell>
          <cell r="T169" t="str">
            <v>000000000008701</v>
          </cell>
        </row>
        <row r="170">
          <cell r="L170" t="str">
            <v>α端材</v>
          </cell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I171" t="str">
            <v>25I05-02</v>
          </cell>
          <cell r="J171">
            <v>19</v>
          </cell>
          <cell r="K171">
            <v>9</v>
          </cell>
          <cell r="L171" t="str">
            <v>25.11.10</v>
          </cell>
          <cell r="M171" t="str">
            <v>15箱</v>
          </cell>
          <cell r="O171">
            <v>0</v>
          </cell>
          <cell r="P171">
            <v>34</v>
          </cell>
          <cell r="T171" t="str">
            <v>000000000008411</v>
          </cell>
        </row>
        <row r="172"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 t="str">
            <v>25.11.11</v>
          </cell>
          <cell r="M172" t="str">
            <v>15箱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723</v>
          </cell>
          <cell r="K173">
            <v>362</v>
          </cell>
          <cell r="O173">
            <v>547</v>
          </cell>
          <cell r="P173">
            <v>10</v>
          </cell>
          <cell r="T173" t="str">
            <v>000000000008411</v>
          </cell>
        </row>
        <row r="174"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O174">
            <v>37</v>
          </cell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O175">
            <v>74</v>
          </cell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L176" t="str">
            <v>切断</v>
          </cell>
          <cell r="M176" t="str">
            <v>C/M</v>
          </cell>
          <cell r="O176">
            <v>1</v>
          </cell>
          <cell r="T176" t="str">
            <v>000000000008411</v>
          </cell>
        </row>
        <row r="177">
          <cell r="C177">
            <v>0</v>
          </cell>
          <cell r="L177" t="str">
            <v>検査</v>
          </cell>
          <cell r="M177" t="str">
            <v>T/U</v>
          </cell>
          <cell r="P177">
            <v>29</v>
          </cell>
          <cell r="T177" t="str">
            <v>000000000008411</v>
          </cell>
        </row>
        <row r="178"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I179" t="str">
            <v>25J14-03</v>
          </cell>
          <cell r="J179">
            <v>4</v>
          </cell>
          <cell r="K179">
            <v>4</v>
          </cell>
          <cell r="L179" t="str">
            <v>25.11.12</v>
          </cell>
          <cell r="M179" t="str">
            <v>6箱</v>
          </cell>
          <cell r="O179">
            <v>0</v>
          </cell>
          <cell r="P179">
            <v>7</v>
          </cell>
          <cell r="T179" t="str">
            <v>000000000008853</v>
          </cell>
        </row>
        <row r="180"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O181">
            <v>296</v>
          </cell>
          <cell r="T181" t="str">
            <v>000000000008853</v>
          </cell>
        </row>
        <row r="182">
          <cell r="O182">
            <v>44</v>
          </cell>
          <cell r="T182" t="str">
            <v>000000000008853</v>
          </cell>
        </row>
        <row r="183">
          <cell r="C183">
            <v>1</v>
          </cell>
          <cell r="O183">
            <v>44</v>
          </cell>
          <cell r="T183" t="str">
            <v>000000000008853</v>
          </cell>
        </row>
        <row r="184">
          <cell r="C184" t="str">
            <v>上-1</v>
          </cell>
          <cell r="L184" t="str">
            <v>切断</v>
          </cell>
          <cell r="M184" t="str">
            <v>M</v>
          </cell>
          <cell r="O184">
            <v>0</v>
          </cell>
          <cell r="T184" t="str">
            <v>000000000008853</v>
          </cell>
        </row>
        <row r="185">
          <cell r="C185">
            <v>0</v>
          </cell>
          <cell r="L185" t="str">
            <v>検査</v>
          </cell>
          <cell r="M185" t="str">
            <v>T</v>
          </cell>
          <cell r="T185" t="str">
            <v>000000000008853</v>
          </cell>
        </row>
        <row r="186">
          <cell r="L186" t="str">
            <v>α端材</v>
          </cell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I187" t="str">
            <v>25K08-01</v>
          </cell>
          <cell r="J187">
            <v>8</v>
          </cell>
          <cell r="K187">
            <v>8</v>
          </cell>
          <cell r="L187" t="str">
            <v>25.11.13</v>
          </cell>
          <cell r="M187" t="str">
            <v>6箱</v>
          </cell>
          <cell r="O187">
            <v>0</v>
          </cell>
          <cell r="P187">
            <v>6</v>
          </cell>
          <cell r="T187" t="str">
            <v>000000000008854</v>
          </cell>
        </row>
        <row r="188"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J188">
            <v>287</v>
          </cell>
          <cell r="K188">
            <v>287</v>
          </cell>
          <cell r="O188">
            <v>252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O189">
            <v>295</v>
          </cell>
          <cell r="P189">
            <v>1</v>
          </cell>
          <cell r="T189" t="str">
            <v>000000000008854</v>
          </cell>
        </row>
        <row r="190">
          <cell r="O190">
            <v>43</v>
          </cell>
          <cell r="T190" t="str">
            <v>000000000008854</v>
          </cell>
        </row>
        <row r="191">
          <cell r="C191">
            <v>1</v>
          </cell>
          <cell r="O191">
            <v>43</v>
          </cell>
          <cell r="T191" t="str">
            <v>000000000008854</v>
          </cell>
        </row>
        <row r="192">
          <cell r="C192" t="str">
            <v>上-1</v>
          </cell>
          <cell r="L192" t="str">
            <v>切断</v>
          </cell>
          <cell r="M192" t="str">
            <v>M</v>
          </cell>
          <cell r="O192">
            <v>0</v>
          </cell>
          <cell r="T192" t="str">
            <v>000000000008854</v>
          </cell>
        </row>
        <row r="193">
          <cell r="C193">
            <v>0</v>
          </cell>
          <cell r="L193" t="str">
            <v>検査</v>
          </cell>
          <cell r="M193" t="str">
            <v>T</v>
          </cell>
          <cell r="T193" t="str">
            <v>000000000008854</v>
          </cell>
        </row>
        <row r="194">
          <cell r="L194" t="str">
            <v>α端材</v>
          </cell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I195" t="str">
            <v>25J02-01</v>
          </cell>
          <cell r="J195">
            <v>9</v>
          </cell>
          <cell r="K195">
            <v>9</v>
          </cell>
          <cell r="L195" t="str">
            <v>25.11.11</v>
          </cell>
          <cell r="M195" t="str">
            <v>11箱</v>
          </cell>
          <cell r="O195">
            <v>0</v>
          </cell>
          <cell r="P195">
            <v>16</v>
          </cell>
          <cell r="T195" t="str">
            <v>000000000008706</v>
          </cell>
        </row>
        <row r="196">
          <cell r="D196">
            <v>45971</v>
          </cell>
          <cell r="E196" t="str">
            <v>25J24-01</v>
          </cell>
          <cell r="I196" t="str">
            <v>25J24-01</v>
          </cell>
          <cell r="J196">
            <v>196</v>
          </cell>
          <cell r="K196">
            <v>196</v>
          </cell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O197">
            <v>205</v>
          </cell>
          <cell r="T197" t="str">
            <v>000000000008706</v>
          </cell>
        </row>
        <row r="198">
          <cell r="O198">
            <v>29</v>
          </cell>
          <cell r="T198" t="str">
            <v>000000000008706</v>
          </cell>
        </row>
        <row r="199">
          <cell r="C199">
            <v>1</v>
          </cell>
          <cell r="O199">
            <v>29</v>
          </cell>
          <cell r="T199" t="str">
            <v>000000000008706</v>
          </cell>
        </row>
        <row r="200">
          <cell r="C200" t="str">
            <v>灯具-1　L=1370</v>
          </cell>
          <cell r="L200" t="str">
            <v>切断</v>
          </cell>
          <cell r="M200" t="str">
            <v>-</v>
          </cell>
          <cell r="O200">
            <v>0</v>
          </cell>
          <cell r="T200" t="str">
            <v>000000000008706</v>
          </cell>
        </row>
        <row r="201">
          <cell r="C201">
            <v>0</v>
          </cell>
          <cell r="L201" t="str">
            <v>検査</v>
          </cell>
          <cell r="M201" t="str">
            <v>C</v>
          </cell>
          <cell r="P201">
            <v>1</v>
          </cell>
          <cell r="T201" t="str">
            <v>000000000008706</v>
          </cell>
        </row>
        <row r="202">
          <cell r="L202" t="str">
            <v>α端材</v>
          </cell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I203" t="str">
            <v>25J02-2</v>
          </cell>
          <cell r="J203">
            <v>10</v>
          </cell>
          <cell r="K203">
            <v>10</v>
          </cell>
          <cell r="L203" t="str">
            <v>25.11.14</v>
          </cell>
          <cell r="M203" t="str">
            <v>9箱</v>
          </cell>
          <cell r="O203">
            <v>0</v>
          </cell>
          <cell r="P203">
            <v>17</v>
          </cell>
          <cell r="T203" t="str">
            <v>000000000008712</v>
          </cell>
        </row>
        <row r="204">
          <cell r="D204">
            <v>45975</v>
          </cell>
          <cell r="E204" t="str">
            <v>25J25-01</v>
          </cell>
          <cell r="I204" t="str">
            <v>25J25-01</v>
          </cell>
          <cell r="J204">
            <v>195</v>
          </cell>
          <cell r="K204">
            <v>195</v>
          </cell>
          <cell r="L204" t="str">
            <v>25.11.17</v>
          </cell>
          <cell r="M204" t="str">
            <v>2箱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O205">
            <v>205</v>
          </cell>
          <cell r="T205" t="str">
            <v>000000000008712</v>
          </cell>
        </row>
        <row r="206">
          <cell r="O206">
            <v>29</v>
          </cell>
          <cell r="T206" t="str">
            <v>000000000008712</v>
          </cell>
        </row>
        <row r="207">
          <cell r="C207">
            <v>1</v>
          </cell>
          <cell r="O207">
            <v>29</v>
          </cell>
          <cell r="T207" t="str">
            <v>000000000008712</v>
          </cell>
        </row>
        <row r="208">
          <cell r="C208" t="str">
            <v>灯具-2　L＝1996</v>
          </cell>
          <cell r="L208" t="str">
            <v>切断</v>
          </cell>
          <cell r="M208" t="str">
            <v>-</v>
          </cell>
          <cell r="O208">
            <v>0</v>
          </cell>
          <cell r="T208" t="str">
            <v>000000000008712</v>
          </cell>
        </row>
        <row r="209">
          <cell r="C209">
            <v>0</v>
          </cell>
          <cell r="L209" t="str">
            <v>検査</v>
          </cell>
          <cell r="M209" t="str">
            <v>T</v>
          </cell>
          <cell r="T209" t="str">
            <v>000000000008712</v>
          </cell>
        </row>
        <row r="210">
          <cell r="L210" t="str">
            <v>α端材</v>
          </cell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I211" t="str">
            <v>25J02-01</v>
          </cell>
          <cell r="J211">
            <v>3</v>
          </cell>
          <cell r="K211">
            <v>3</v>
          </cell>
          <cell r="L211" t="str">
            <v>25.11.13</v>
          </cell>
          <cell r="M211" t="str">
            <v>9箱</v>
          </cell>
          <cell r="O211">
            <v>0</v>
          </cell>
          <cell r="P211">
            <v>16</v>
          </cell>
          <cell r="T211" t="str">
            <v>000000000008702</v>
          </cell>
        </row>
        <row r="212">
          <cell r="D212">
            <v>45974</v>
          </cell>
          <cell r="E212" t="str">
            <v>25J25-01</v>
          </cell>
          <cell r="I212" t="str">
            <v>25J25-01</v>
          </cell>
          <cell r="J212">
            <v>196</v>
          </cell>
          <cell r="K212">
            <v>196</v>
          </cell>
          <cell r="L212" t="str">
            <v>25.11.14</v>
          </cell>
          <cell r="M212" t="str">
            <v>2箱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O213">
            <v>199</v>
          </cell>
          <cell r="T213" t="str">
            <v>000000000008702</v>
          </cell>
        </row>
        <row r="214">
          <cell r="O214">
            <v>23</v>
          </cell>
          <cell r="T214" t="str">
            <v>000000000008702</v>
          </cell>
        </row>
        <row r="215">
          <cell r="C215">
            <v>1</v>
          </cell>
          <cell r="O215">
            <v>23</v>
          </cell>
          <cell r="T215" t="str">
            <v>000000000008702</v>
          </cell>
        </row>
        <row r="216">
          <cell r="C216" t="str">
            <v>灯具-3　L=970</v>
          </cell>
          <cell r="L216" t="str">
            <v>切断</v>
          </cell>
          <cell r="M216" t="str">
            <v>-</v>
          </cell>
          <cell r="O216">
            <v>0</v>
          </cell>
          <cell r="T216" t="str">
            <v>000000000008702</v>
          </cell>
        </row>
        <row r="217">
          <cell r="C217">
            <v>0</v>
          </cell>
          <cell r="L217" t="str">
            <v>検査</v>
          </cell>
          <cell r="M217" t="str">
            <v>T/M</v>
          </cell>
          <cell r="T217" t="str">
            <v>000000000008702</v>
          </cell>
        </row>
        <row r="218">
          <cell r="L218" t="str">
            <v>α端材</v>
          </cell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L219" t="str">
            <v>25.11.12</v>
          </cell>
          <cell r="M219" t="str">
            <v>10箱</v>
          </cell>
          <cell r="O219">
            <v>0</v>
          </cell>
          <cell r="T219" t="str">
            <v>000000000008700</v>
          </cell>
        </row>
        <row r="220"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O220">
            <v>20</v>
          </cell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O221">
            <v>10</v>
          </cell>
          <cell r="T221" t="str">
            <v>000000000008700</v>
          </cell>
        </row>
        <row r="222">
          <cell r="O222">
            <v>0</v>
          </cell>
          <cell r="T222" t="str">
            <v>000000000008700</v>
          </cell>
        </row>
        <row r="223">
          <cell r="C223">
            <v>2</v>
          </cell>
          <cell r="O223">
            <v>0</v>
          </cell>
          <cell r="T223" t="str">
            <v>000000000008700</v>
          </cell>
        </row>
        <row r="224">
          <cell r="C224" t="str">
            <v>H型ジョイナー端材</v>
          </cell>
          <cell r="L224" t="str">
            <v>切断</v>
          </cell>
          <cell r="M224" t="str">
            <v>M</v>
          </cell>
          <cell r="O224">
            <v>0</v>
          </cell>
          <cell r="T224" t="str">
            <v>000000000008700</v>
          </cell>
        </row>
        <row r="225">
          <cell r="C225">
            <v>0</v>
          </cell>
          <cell r="L225" t="str">
            <v>検査</v>
          </cell>
          <cell r="M225" t="str">
            <v>T</v>
          </cell>
          <cell r="T225" t="str">
            <v>000000000008700</v>
          </cell>
        </row>
        <row r="226">
          <cell r="L226" t="str">
            <v>α端材</v>
          </cell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L227" t="str">
            <v>25.11.12</v>
          </cell>
          <cell r="M227" t="str">
            <v>10箱</v>
          </cell>
          <cell r="O227">
            <v>0</v>
          </cell>
          <cell r="T227" t="str">
            <v>000000000008699</v>
          </cell>
        </row>
        <row r="228"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O228">
            <v>20</v>
          </cell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O229">
            <v>10</v>
          </cell>
          <cell r="T229" t="str">
            <v>000000000008699</v>
          </cell>
        </row>
        <row r="230"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O230">
            <v>0</v>
          </cell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O231">
            <v>0</v>
          </cell>
          <cell r="T231" t="str">
            <v>000000000008699</v>
          </cell>
        </row>
        <row r="232">
          <cell r="C232" t="str">
            <v>H型ジョイナー端材</v>
          </cell>
          <cell r="L232" t="str">
            <v>切断</v>
          </cell>
          <cell r="M232" t="str">
            <v>M</v>
          </cell>
          <cell r="O232">
            <v>0</v>
          </cell>
          <cell r="T232" t="str">
            <v>000000000008699</v>
          </cell>
        </row>
        <row r="233">
          <cell r="C233">
            <v>0</v>
          </cell>
          <cell r="L233" t="str">
            <v>検査</v>
          </cell>
          <cell r="M233" t="str">
            <v>T</v>
          </cell>
          <cell r="T233" t="str">
            <v>000000000008699</v>
          </cell>
        </row>
        <row r="234">
          <cell r="L234" t="str">
            <v>α端材</v>
          </cell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I235" t="str">
            <v>25J19-05</v>
          </cell>
          <cell r="J235">
            <v>8</v>
          </cell>
          <cell r="K235">
            <v>8</v>
          </cell>
          <cell r="L235" t="str">
            <v>25.11.17</v>
          </cell>
          <cell r="M235" t="str">
            <v>2箱</v>
          </cell>
          <cell r="O235">
            <v>0</v>
          </cell>
          <cell r="P235">
            <v>1</v>
          </cell>
          <cell r="T235" t="str">
            <v>000000000008803</v>
          </cell>
        </row>
        <row r="236"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O237">
            <v>202</v>
          </cell>
          <cell r="T237" t="str">
            <v>000000000008803</v>
          </cell>
        </row>
        <row r="238">
          <cell r="O238">
            <v>2</v>
          </cell>
          <cell r="T238" t="str">
            <v>000000000008803</v>
          </cell>
        </row>
        <row r="239">
          <cell r="C239">
            <v>1</v>
          </cell>
          <cell r="O239">
            <v>2</v>
          </cell>
          <cell r="T239" t="str">
            <v>000000000008803</v>
          </cell>
        </row>
        <row r="240">
          <cell r="C240" t="str">
            <v>LED-A1478</v>
          </cell>
          <cell r="L240" t="str">
            <v>切断</v>
          </cell>
          <cell r="M240" t="str">
            <v>M</v>
          </cell>
          <cell r="O240">
            <v>0</v>
          </cell>
          <cell r="T240" t="str">
            <v>000000000008803</v>
          </cell>
        </row>
        <row r="241">
          <cell r="C241">
            <v>0</v>
          </cell>
          <cell r="L241" t="str">
            <v>検査</v>
          </cell>
          <cell r="M241" t="str">
            <v>T</v>
          </cell>
          <cell r="T241" t="str">
            <v>000000000008803</v>
          </cell>
        </row>
        <row r="242">
          <cell r="L242" t="str">
            <v>α端材</v>
          </cell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I243" t="str">
            <v>25J20-06</v>
          </cell>
          <cell r="J243">
            <v>10</v>
          </cell>
          <cell r="K243">
            <v>5</v>
          </cell>
          <cell r="L243" t="str">
            <v>25.11.17</v>
          </cell>
          <cell r="M243" t="str">
            <v>1箱</v>
          </cell>
          <cell r="O243">
            <v>0</v>
          </cell>
          <cell r="T243" t="str">
            <v>000000000008802</v>
          </cell>
        </row>
        <row r="244"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O244">
            <v>100</v>
          </cell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O245">
            <v>50</v>
          </cell>
          <cell r="T245" t="str">
            <v>000000000008802</v>
          </cell>
        </row>
        <row r="246">
          <cell r="O246">
            <v>0</v>
          </cell>
          <cell r="T246" t="str">
            <v>000000000008802</v>
          </cell>
        </row>
        <row r="247">
          <cell r="C247">
            <v>2</v>
          </cell>
          <cell r="O247">
            <v>0</v>
          </cell>
          <cell r="T247" t="str">
            <v>000000000008802</v>
          </cell>
        </row>
        <row r="248">
          <cell r="C248" t="str">
            <v>LED-A888</v>
          </cell>
          <cell r="L248" t="str">
            <v>切断</v>
          </cell>
          <cell r="M248" t="str">
            <v>M</v>
          </cell>
          <cell r="O248">
            <v>0</v>
          </cell>
          <cell r="T248" t="str">
            <v>000000000008802</v>
          </cell>
        </row>
        <row r="249">
          <cell r="C249">
            <v>0</v>
          </cell>
          <cell r="L249" t="str">
            <v>検査</v>
          </cell>
          <cell r="M249" t="str">
            <v>T</v>
          </cell>
          <cell r="T249" t="str">
            <v>000000000008802</v>
          </cell>
        </row>
        <row r="250">
          <cell r="L250" t="str">
            <v>α端材</v>
          </cell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I251" t="str">
            <v>25J20-06</v>
          </cell>
          <cell r="J251">
            <v>5</v>
          </cell>
          <cell r="K251">
            <v>2</v>
          </cell>
          <cell r="L251" t="str">
            <v>25.11.17</v>
          </cell>
          <cell r="M251" t="str">
            <v>2箱</v>
          </cell>
          <cell r="O251">
            <v>0</v>
          </cell>
          <cell r="P251">
            <v>2</v>
          </cell>
          <cell r="T251" t="str">
            <v>000000000008801</v>
          </cell>
        </row>
        <row r="252"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O252">
            <v>200</v>
          </cell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13</v>
          </cell>
          <cell r="K253">
            <v>7</v>
          </cell>
          <cell r="O253">
            <v>101</v>
          </cell>
          <cell r="T253" t="str">
            <v>000000000008801</v>
          </cell>
        </row>
        <row r="254">
          <cell r="O254">
            <v>1</v>
          </cell>
          <cell r="T254" t="str">
            <v>000000000008801</v>
          </cell>
        </row>
        <row r="255">
          <cell r="C255">
            <v>2</v>
          </cell>
          <cell r="O255">
            <v>2</v>
          </cell>
          <cell r="T255" t="str">
            <v>000000000008801</v>
          </cell>
        </row>
        <row r="256">
          <cell r="C256" t="str">
            <v>LED-A888</v>
          </cell>
          <cell r="L256" t="str">
            <v>切断</v>
          </cell>
          <cell r="M256" t="str">
            <v>M</v>
          </cell>
          <cell r="O256">
            <v>1</v>
          </cell>
          <cell r="T256" t="str">
            <v>000000000008801</v>
          </cell>
        </row>
        <row r="257">
          <cell r="C257">
            <v>0</v>
          </cell>
          <cell r="L257" t="str">
            <v>検査</v>
          </cell>
          <cell r="M257" t="str">
            <v>T</v>
          </cell>
          <cell r="T257" t="str">
            <v>000000000008801</v>
          </cell>
        </row>
        <row r="258"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D259">
            <v>45936</v>
          </cell>
          <cell r="E259" t="str">
            <v>25I26-01</v>
          </cell>
          <cell r="I259" t="str">
            <v>25I26-01</v>
          </cell>
          <cell r="J259">
            <v>4</v>
          </cell>
          <cell r="K259">
            <v>4</v>
          </cell>
          <cell r="L259" t="str">
            <v>25.11.17</v>
          </cell>
          <cell r="M259" t="str">
            <v>2箱</v>
          </cell>
          <cell r="O259">
            <v>0</v>
          </cell>
          <cell r="P259">
            <v>5</v>
          </cell>
          <cell r="T259" t="str">
            <v>000000000008708</v>
          </cell>
        </row>
        <row r="260">
          <cell r="D260">
            <v>45978</v>
          </cell>
          <cell r="E260" t="str">
            <v>25J24-01</v>
          </cell>
          <cell r="I260" t="str">
            <v>25J24-01</v>
          </cell>
          <cell r="J260">
            <v>89</v>
          </cell>
          <cell r="K260">
            <v>89</v>
          </cell>
          <cell r="L260" t="str">
            <v>25.11.18</v>
          </cell>
          <cell r="M260" t="str">
            <v>3箱</v>
          </cell>
          <cell r="O260">
            <v>80</v>
          </cell>
          <cell r="P260">
            <v>7</v>
          </cell>
          <cell r="T260" t="str">
            <v>000000000008708</v>
          </cell>
        </row>
        <row r="261">
          <cell r="C261">
            <v>80</v>
          </cell>
          <cell r="D261">
            <v>45979</v>
          </cell>
          <cell r="E261" t="str">
            <v>25J24-01</v>
          </cell>
          <cell r="O261">
            <v>93</v>
          </cell>
          <cell r="P261">
            <v>1</v>
          </cell>
          <cell r="T261" t="str">
            <v>000000000008708</v>
          </cell>
        </row>
        <row r="262">
          <cell r="O262">
            <v>13</v>
          </cell>
          <cell r="T262" t="str">
            <v>000000000008708</v>
          </cell>
        </row>
        <row r="263">
          <cell r="C263">
            <v>1</v>
          </cell>
          <cell r="O263">
            <v>13</v>
          </cell>
          <cell r="T263" t="str">
            <v>000000000008708</v>
          </cell>
        </row>
        <row r="264">
          <cell r="C264" t="str">
            <v>灯具-1　L=1370</v>
          </cell>
          <cell r="L264" t="str">
            <v>切断</v>
          </cell>
          <cell r="M264" t="str">
            <v>-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L265" t="str">
            <v>検査</v>
          </cell>
          <cell r="M265" t="str">
            <v>M/C</v>
          </cell>
          <cell r="T265" t="str">
            <v>000000000008708</v>
          </cell>
        </row>
        <row r="266">
          <cell r="L266" t="str">
            <v>α端材</v>
          </cell>
          <cell r="O266">
            <v>0</v>
          </cell>
          <cell r="P266">
            <v>13</v>
          </cell>
          <cell r="T266" t="str">
            <v>000000000008708</v>
          </cell>
        </row>
        <row r="267">
          <cell r="C267" t="str">
            <v>灯具カバーPC IN 2050　L=1183.5</v>
          </cell>
          <cell r="D267">
            <v>45972</v>
          </cell>
          <cell r="E267" t="str">
            <v>25J24-01</v>
          </cell>
          <cell r="I267" t="str">
            <v>25J24-01</v>
          </cell>
          <cell r="J267">
            <v>6</v>
          </cell>
          <cell r="K267">
            <v>6</v>
          </cell>
          <cell r="L267" t="str">
            <v>25.11.18</v>
          </cell>
          <cell r="M267" t="str">
            <v>10箱</v>
          </cell>
          <cell r="O267">
            <v>0</v>
          </cell>
          <cell r="P267">
            <v>4</v>
          </cell>
          <cell r="T267" t="str">
            <v>000000000008707</v>
          </cell>
        </row>
        <row r="268">
          <cell r="D268">
            <v>45979</v>
          </cell>
          <cell r="E268" t="str">
            <v>25J24-02</v>
          </cell>
          <cell r="I268" t="str">
            <v>25J24-02</v>
          </cell>
          <cell r="J268">
            <v>185</v>
          </cell>
          <cell r="K268">
            <v>185</v>
          </cell>
          <cell r="O268">
            <v>160</v>
          </cell>
          <cell r="P268">
            <v>26</v>
          </cell>
          <cell r="T268" t="str">
            <v>000000000008707</v>
          </cell>
        </row>
        <row r="269">
          <cell r="C269">
            <v>160</v>
          </cell>
          <cell r="O269">
            <v>191</v>
          </cell>
          <cell r="T269" t="str">
            <v>000000000008707</v>
          </cell>
        </row>
        <row r="270">
          <cell r="O270">
            <v>31</v>
          </cell>
          <cell r="T270" t="str">
            <v>000000000008707</v>
          </cell>
        </row>
        <row r="271">
          <cell r="C271">
            <v>1</v>
          </cell>
          <cell r="O271">
            <v>31</v>
          </cell>
          <cell r="T271" t="str">
            <v>000000000008707</v>
          </cell>
        </row>
        <row r="272">
          <cell r="C272" t="str">
            <v>灯具-1　L=1370</v>
          </cell>
          <cell r="L272" t="str">
            <v>切断</v>
          </cell>
          <cell r="M272" t="str">
            <v>-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L273" t="str">
            <v>検査</v>
          </cell>
          <cell r="M273" t="str">
            <v>C</v>
          </cell>
          <cell r="P273">
            <v>1</v>
          </cell>
          <cell r="T273" t="str">
            <v>000000000008707</v>
          </cell>
        </row>
        <row r="274">
          <cell r="L274" t="str">
            <v>α端材</v>
          </cell>
          <cell r="O274">
            <v>0</v>
          </cell>
          <cell r="P274">
            <v>31</v>
          </cell>
          <cell r="T274" t="str">
            <v>000000000008707</v>
          </cell>
        </row>
        <row r="275">
          <cell r="C275" t="str">
            <v>灯具カバーPC IN 2110　L=1815</v>
          </cell>
          <cell r="D275">
            <v>45965</v>
          </cell>
          <cell r="E275" t="str">
            <v>25J23-02</v>
          </cell>
          <cell r="I275" t="str">
            <v>25J23-02</v>
          </cell>
          <cell r="J275">
            <v>4</v>
          </cell>
          <cell r="K275">
            <v>4</v>
          </cell>
          <cell r="L275" t="str">
            <v>25.11.19</v>
          </cell>
          <cell r="M275" t="str">
            <v>11箱</v>
          </cell>
          <cell r="O275">
            <v>0</v>
          </cell>
          <cell r="P275">
            <v>6</v>
          </cell>
          <cell r="T275" t="str">
            <v>000000000008711</v>
          </cell>
        </row>
        <row r="276">
          <cell r="D276">
            <v>45980</v>
          </cell>
          <cell r="E276" t="str">
            <v>25I28-02</v>
          </cell>
          <cell r="I276" t="str">
            <v>25I28-02</v>
          </cell>
          <cell r="J276">
            <v>189</v>
          </cell>
          <cell r="K276">
            <v>189</v>
          </cell>
          <cell r="O276">
            <v>176</v>
          </cell>
          <cell r="P276">
            <v>11</v>
          </cell>
          <cell r="T276" t="str">
            <v>000000000008711</v>
          </cell>
        </row>
        <row r="277">
          <cell r="C277">
            <v>176</v>
          </cell>
          <cell r="O277">
            <v>193</v>
          </cell>
          <cell r="T277" t="str">
            <v>000000000008711</v>
          </cell>
        </row>
        <row r="278">
          <cell r="O278">
            <v>17</v>
          </cell>
          <cell r="T278" t="str">
            <v>000000000008711</v>
          </cell>
        </row>
        <row r="279">
          <cell r="C279">
            <v>1</v>
          </cell>
          <cell r="O279">
            <v>17</v>
          </cell>
          <cell r="T279" t="str">
            <v>000000000008711</v>
          </cell>
        </row>
        <row r="280">
          <cell r="C280" t="str">
            <v>灯具-2　L＝1996</v>
          </cell>
          <cell r="L280" t="str">
            <v>切断</v>
          </cell>
          <cell r="M280" t="str">
            <v>-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L281" t="str">
            <v>検査</v>
          </cell>
          <cell r="M281" t="str">
            <v>T</v>
          </cell>
          <cell r="T281" t="str">
            <v>000000000008711</v>
          </cell>
        </row>
        <row r="282">
          <cell r="L282" t="str">
            <v>α端材</v>
          </cell>
          <cell r="O282">
            <v>0</v>
          </cell>
          <cell r="P282">
            <v>17</v>
          </cell>
          <cell r="T282" t="str">
            <v>000000000008711</v>
          </cell>
        </row>
        <row r="283">
          <cell r="C283" t="str">
            <v>採光ルーバーパネルB　L=1996</v>
          </cell>
          <cell r="D283">
            <v>45974</v>
          </cell>
          <cell r="E283" t="str">
            <v>25K08-02</v>
          </cell>
          <cell r="I283" t="str">
            <v>25K08-02</v>
          </cell>
          <cell r="J283">
            <v>11</v>
          </cell>
          <cell r="K283">
            <v>11</v>
          </cell>
          <cell r="L283" t="str">
            <v>25.11.19</v>
          </cell>
          <cell r="M283" t="str">
            <v>3箱</v>
          </cell>
          <cell r="O283">
            <v>0</v>
          </cell>
          <cell r="P283">
            <v>4</v>
          </cell>
          <cell r="T283" t="str">
            <v>000000000008855</v>
          </cell>
        </row>
        <row r="284">
          <cell r="D284">
            <v>45979</v>
          </cell>
          <cell r="E284" t="str">
            <v>25K09-03</v>
          </cell>
          <cell r="F284">
            <v>22</v>
          </cell>
          <cell r="G284">
            <v>1996.26</v>
          </cell>
          <cell r="H284">
            <v>1997.4</v>
          </cell>
          <cell r="I284" t="str">
            <v>25K09-03</v>
          </cell>
          <cell r="J284">
            <v>300</v>
          </cell>
          <cell r="K284">
            <v>300</v>
          </cell>
          <cell r="L284" t="str">
            <v>25.11.20</v>
          </cell>
          <cell r="M284" t="str">
            <v>3箱</v>
          </cell>
          <cell r="O284">
            <v>504</v>
          </cell>
          <cell r="P284">
            <v>99</v>
          </cell>
          <cell r="T284" t="str">
            <v>000000000008855</v>
          </cell>
        </row>
        <row r="285">
          <cell r="C285">
            <v>504</v>
          </cell>
          <cell r="D285">
            <v>45979</v>
          </cell>
          <cell r="E285" t="str">
            <v>25K09-03</v>
          </cell>
          <cell r="F285">
            <v>20</v>
          </cell>
          <cell r="G285">
            <v>1996</v>
          </cell>
          <cell r="H285">
            <v>1997.3</v>
          </cell>
          <cell r="I285" t="str">
            <v>25K09-04</v>
          </cell>
          <cell r="J285">
            <v>300</v>
          </cell>
          <cell r="K285">
            <v>300</v>
          </cell>
          <cell r="L285" t="str">
            <v>25.11.21</v>
          </cell>
          <cell r="M285" t="str">
            <v>6箱</v>
          </cell>
          <cell r="O285">
            <v>607</v>
          </cell>
          <cell r="T285" t="str">
            <v>000000000008855</v>
          </cell>
        </row>
        <row r="286">
          <cell r="D286">
            <v>45981</v>
          </cell>
          <cell r="E286" t="str">
            <v>25K09-04</v>
          </cell>
          <cell r="F286">
            <v>20</v>
          </cell>
          <cell r="G286">
            <v>1996</v>
          </cell>
          <cell r="H286">
            <v>1997.2</v>
          </cell>
          <cell r="O286">
            <v>103</v>
          </cell>
          <cell r="T286" t="str">
            <v>000000000008855</v>
          </cell>
        </row>
        <row r="287">
          <cell r="C287">
            <v>1</v>
          </cell>
          <cell r="D287">
            <v>45981</v>
          </cell>
          <cell r="E287" t="str">
            <v>25K09-04</v>
          </cell>
          <cell r="F287">
            <v>18</v>
          </cell>
          <cell r="G287">
            <v>1995.74</v>
          </cell>
          <cell r="H287">
            <v>1997.1</v>
          </cell>
          <cell r="O287">
            <v>103</v>
          </cell>
          <cell r="T287" t="str">
            <v>000000000008855</v>
          </cell>
        </row>
        <row r="288">
          <cell r="C288" t="str">
            <v>上-1</v>
          </cell>
          <cell r="L288" t="str">
            <v>切断</v>
          </cell>
          <cell r="M288" t="str">
            <v>M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L289" t="str">
            <v>検査</v>
          </cell>
          <cell r="M289" t="str">
            <v>T</v>
          </cell>
          <cell r="T289" t="str">
            <v>000000000008855</v>
          </cell>
        </row>
        <row r="290">
          <cell r="L290" t="str">
            <v>α端材</v>
          </cell>
          <cell r="O290">
            <v>0</v>
          </cell>
          <cell r="P290">
            <v>103</v>
          </cell>
          <cell r="T290" t="str">
            <v>000000000008855</v>
          </cell>
        </row>
        <row r="291">
          <cell r="C291" t="str">
            <v>採光ルーバーパネルA　L=1996</v>
          </cell>
          <cell r="D291">
            <v>45663</v>
          </cell>
          <cell r="E291" t="str">
            <v>24L20-01</v>
          </cell>
          <cell r="I291" t="str">
            <v>24L20-01</v>
          </cell>
          <cell r="J291">
            <v>20</v>
          </cell>
          <cell r="K291">
            <v>20</v>
          </cell>
          <cell r="L291" t="str">
            <v>25.11.20</v>
          </cell>
          <cell r="M291" t="str">
            <v>4箱</v>
          </cell>
          <cell r="O291">
            <v>0</v>
          </cell>
          <cell r="P291">
            <v>8</v>
          </cell>
          <cell r="T291" t="str">
            <v>000000000009310</v>
          </cell>
        </row>
        <row r="292">
          <cell r="D292">
            <v>45980</v>
          </cell>
          <cell r="E292" t="str">
            <v>25K11-01</v>
          </cell>
          <cell r="F292">
            <v>20</v>
          </cell>
          <cell r="G292">
            <v>1996</v>
          </cell>
          <cell r="H292">
            <v>1997.6</v>
          </cell>
          <cell r="I292" t="str">
            <v>25K11-01</v>
          </cell>
          <cell r="J292">
            <v>279</v>
          </cell>
          <cell r="K292">
            <v>279</v>
          </cell>
          <cell r="O292">
            <v>224</v>
          </cell>
          <cell r="P292">
            <v>61</v>
          </cell>
          <cell r="T292" t="str">
            <v>000000000009310</v>
          </cell>
        </row>
        <row r="293">
          <cell r="C293">
            <v>224</v>
          </cell>
          <cell r="D293">
            <v>45980</v>
          </cell>
          <cell r="E293" t="str">
            <v>25K11-01</v>
          </cell>
          <cell r="F293">
            <v>20</v>
          </cell>
          <cell r="G293">
            <v>1996</v>
          </cell>
          <cell r="H293">
            <v>1997.5</v>
          </cell>
          <cell r="O293">
            <v>299</v>
          </cell>
          <cell r="P293">
            <v>6</v>
          </cell>
          <cell r="T293" t="str">
            <v>000000000009310</v>
          </cell>
        </row>
        <row r="294">
          <cell r="D294">
            <v>45981</v>
          </cell>
          <cell r="E294" t="str">
            <v>25K11-01</v>
          </cell>
          <cell r="F294">
            <v>16</v>
          </cell>
          <cell r="G294">
            <v>1995.48</v>
          </cell>
          <cell r="H294">
            <v>1997.1</v>
          </cell>
          <cell r="O294">
            <v>75</v>
          </cell>
          <cell r="T294" t="str">
            <v>000000000009310</v>
          </cell>
        </row>
        <row r="295">
          <cell r="C295">
            <v>1</v>
          </cell>
          <cell r="D295">
            <v>45981</v>
          </cell>
          <cell r="E295" t="str">
            <v>25K11-01</v>
          </cell>
          <cell r="F295">
            <v>20</v>
          </cell>
          <cell r="G295">
            <v>1996</v>
          </cell>
          <cell r="H295">
            <v>1997.2</v>
          </cell>
          <cell r="O295">
            <v>75</v>
          </cell>
          <cell r="T295" t="str">
            <v>000000000009310</v>
          </cell>
        </row>
        <row r="296">
          <cell r="C296" t="str">
            <v>上-1</v>
          </cell>
          <cell r="L296" t="str">
            <v>切断</v>
          </cell>
          <cell r="M296" t="str">
            <v>M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L297" t="str">
            <v>検査</v>
          </cell>
          <cell r="M297" t="str">
            <v>T/U</v>
          </cell>
          <cell r="T297" t="str">
            <v>000000000009310</v>
          </cell>
        </row>
        <row r="298">
          <cell r="L298" t="str">
            <v>α端材</v>
          </cell>
          <cell r="O298">
            <v>0</v>
          </cell>
          <cell r="P298">
            <v>75</v>
          </cell>
          <cell r="T298" t="str">
            <v>000000000009310</v>
          </cell>
        </row>
        <row r="299">
          <cell r="C299" t="str">
            <v>8FL281304 5010　L=888</v>
          </cell>
          <cell r="D299">
            <v>45968</v>
          </cell>
          <cell r="E299" t="str">
            <v>25J21-07</v>
          </cell>
          <cell r="I299" t="str">
            <v>25J21-07</v>
          </cell>
          <cell r="J299">
            <v>6</v>
          </cell>
          <cell r="K299">
            <v>3</v>
          </cell>
          <cell r="L299" t="str">
            <v>25.11.21</v>
          </cell>
          <cell r="M299" t="str">
            <v>7箱</v>
          </cell>
          <cell r="O299">
            <v>0</v>
          </cell>
          <cell r="P299">
            <v>10</v>
          </cell>
          <cell r="T299" t="str">
            <v>000000000009233</v>
          </cell>
        </row>
        <row r="300">
          <cell r="D300">
            <v>45982</v>
          </cell>
          <cell r="E300" t="str">
            <v>25J22-08</v>
          </cell>
          <cell r="F300">
            <v>20</v>
          </cell>
          <cell r="G300">
            <v>888</v>
          </cell>
          <cell r="H300">
            <v>888.03</v>
          </cell>
          <cell r="I300" t="str">
            <v>25J22-08</v>
          </cell>
          <cell r="J300">
            <v>1004</v>
          </cell>
          <cell r="K300">
            <v>502</v>
          </cell>
          <cell r="L300" t="str">
            <v>25.11.25</v>
          </cell>
          <cell r="M300" t="str">
            <v>3箱</v>
          </cell>
          <cell r="O300">
            <v>1000</v>
          </cell>
          <cell r="T300" t="str">
            <v>000000000009233</v>
          </cell>
        </row>
        <row r="301">
          <cell r="C301">
            <v>1000</v>
          </cell>
          <cell r="D301">
            <v>45982</v>
          </cell>
          <cell r="E301" t="str">
            <v>25J22-08</v>
          </cell>
          <cell r="F301">
            <v>20</v>
          </cell>
          <cell r="G301">
            <v>888</v>
          </cell>
          <cell r="H301">
            <v>888.09</v>
          </cell>
          <cell r="O301">
            <v>505</v>
          </cell>
          <cell r="T301" t="str">
            <v>000000000009233</v>
          </cell>
        </row>
        <row r="302">
          <cell r="D302">
            <v>45982</v>
          </cell>
          <cell r="E302" t="str">
            <v>25J22-08</v>
          </cell>
          <cell r="F302">
            <v>20</v>
          </cell>
          <cell r="G302">
            <v>888</v>
          </cell>
          <cell r="H302">
            <v>888.1</v>
          </cell>
          <cell r="O302">
            <v>5</v>
          </cell>
          <cell r="T302" t="str">
            <v>000000000009233</v>
          </cell>
        </row>
        <row r="303">
          <cell r="C303">
            <v>2</v>
          </cell>
          <cell r="D303">
            <v>45982</v>
          </cell>
          <cell r="E303" t="str">
            <v>25J22-08</v>
          </cell>
          <cell r="F303">
            <v>20</v>
          </cell>
          <cell r="G303">
            <v>888</v>
          </cell>
          <cell r="H303">
            <v>888.26</v>
          </cell>
          <cell r="O303">
            <v>10</v>
          </cell>
          <cell r="T303" t="str">
            <v>000000000009233</v>
          </cell>
        </row>
        <row r="304">
          <cell r="C304" t="str">
            <v>LED-A888</v>
          </cell>
          <cell r="L304" t="str">
            <v>切断</v>
          </cell>
          <cell r="M304" t="str">
            <v>C/M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L305" t="str">
            <v>検査</v>
          </cell>
          <cell r="M305" t="str">
            <v>T/U</v>
          </cell>
          <cell r="T305" t="str">
            <v>000000000009233</v>
          </cell>
        </row>
        <row r="306">
          <cell r="L306" t="str">
            <v>α端材</v>
          </cell>
          <cell r="O306">
            <v>0</v>
          </cell>
          <cell r="P306">
            <v>10</v>
          </cell>
          <cell r="T306" t="str">
            <v>000000000009233</v>
          </cell>
        </row>
        <row r="307">
          <cell r="C307" t="str">
            <v>8FL281304 5010　L=888</v>
          </cell>
          <cell r="L307" t="str">
            <v>25.11.25</v>
          </cell>
          <cell r="M307" t="str">
            <v>5箱</v>
          </cell>
          <cell r="O307">
            <v>0</v>
          </cell>
          <cell r="P307">
            <v>2</v>
          </cell>
          <cell r="T307" t="str">
            <v>000000000009236</v>
          </cell>
        </row>
        <row r="308">
          <cell r="D308">
            <v>45982</v>
          </cell>
          <cell r="E308" t="str">
            <v>25J22-08</v>
          </cell>
          <cell r="F308">
            <v>20</v>
          </cell>
          <cell r="G308">
            <v>888</v>
          </cell>
          <cell r="H308">
            <v>888.08</v>
          </cell>
          <cell r="I308" t="str">
            <v>25J22-08</v>
          </cell>
          <cell r="J308">
            <v>562</v>
          </cell>
          <cell r="K308">
            <v>281</v>
          </cell>
          <cell r="L308" t="str">
            <v>25.11.26</v>
          </cell>
          <cell r="M308" t="str">
            <v>1箱</v>
          </cell>
          <cell r="O308">
            <v>600</v>
          </cell>
          <cell r="T308" t="str">
            <v>000000000009236</v>
          </cell>
        </row>
        <row r="309">
          <cell r="C309">
            <v>600</v>
          </cell>
          <cell r="D309">
            <v>45982</v>
          </cell>
          <cell r="E309" t="str">
            <v>25J23-09</v>
          </cell>
          <cell r="F309">
            <v>20</v>
          </cell>
          <cell r="G309">
            <v>888</v>
          </cell>
          <cell r="H309">
            <v>888.24</v>
          </cell>
          <cell r="I309" t="str">
            <v>25J23-09</v>
          </cell>
          <cell r="J309">
            <v>43</v>
          </cell>
          <cell r="K309">
            <v>22</v>
          </cell>
          <cell r="O309">
            <v>303</v>
          </cell>
          <cell r="P309">
            <v>2</v>
          </cell>
          <cell r="T309" t="str">
            <v>000000000009236</v>
          </cell>
        </row>
        <row r="310">
          <cell r="O310">
            <v>3</v>
          </cell>
          <cell r="T310" t="str">
            <v>000000000009236</v>
          </cell>
        </row>
        <row r="311">
          <cell r="C311">
            <v>2</v>
          </cell>
          <cell r="O311">
            <v>5</v>
          </cell>
          <cell r="T311" t="str">
            <v>000000000009236</v>
          </cell>
        </row>
        <row r="312">
          <cell r="C312" t="str">
            <v>LED-A888</v>
          </cell>
          <cell r="L312" t="str">
            <v>切断</v>
          </cell>
          <cell r="M312" t="str">
            <v>M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L313" t="str">
            <v>検査</v>
          </cell>
          <cell r="M313" t="str">
            <v>T</v>
          </cell>
          <cell r="P313">
            <v>1</v>
          </cell>
          <cell r="T313" t="str">
            <v>000000000009236</v>
          </cell>
        </row>
        <row r="314">
          <cell r="L314" t="str">
            <v>α端材</v>
          </cell>
          <cell r="O314">
            <v>0</v>
          </cell>
          <cell r="P314">
            <v>5</v>
          </cell>
          <cell r="T314" t="str">
            <v>000000000009236</v>
          </cell>
        </row>
        <row r="315">
          <cell r="C315" t="str">
            <v>8FL281304 5010　L=888</v>
          </cell>
          <cell r="L315" t="str">
            <v>25.11.26</v>
          </cell>
          <cell r="M315" t="str">
            <v>1箱</v>
          </cell>
          <cell r="O315">
            <v>0</v>
          </cell>
          <cell r="T315" t="str">
            <v>000000000009235</v>
          </cell>
        </row>
        <row r="316">
          <cell r="D316">
            <v>45982</v>
          </cell>
          <cell r="E316" t="str">
            <v>25J23-09</v>
          </cell>
          <cell r="F316">
            <v>20</v>
          </cell>
          <cell r="G316">
            <v>888</v>
          </cell>
          <cell r="H316">
            <v>888.25</v>
          </cell>
          <cell r="I316" t="str">
            <v>25J23-09</v>
          </cell>
          <cell r="J316">
            <v>101</v>
          </cell>
          <cell r="K316">
            <v>51</v>
          </cell>
          <cell r="O316">
            <v>100</v>
          </cell>
          <cell r="T316" t="str">
            <v>000000000009235</v>
          </cell>
        </row>
        <row r="317">
          <cell r="C317">
            <v>100</v>
          </cell>
          <cell r="D317">
            <v>45982</v>
          </cell>
          <cell r="E317" t="str">
            <v>25J23-09</v>
          </cell>
          <cell r="F317">
            <v>20</v>
          </cell>
          <cell r="G317">
            <v>888</v>
          </cell>
          <cell r="H317">
            <v>888.14</v>
          </cell>
          <cell r="O317">
            <v>51</v>
          </cell>
          <cell r="P317">
            <v>1</v>
          </cell>
          <cell r="T317" t="str">
            <v>000000000009235</v>
          </cell>
        </row>
        <row r="318">
          <cell r="O318">
            <v>1</v>
          </cell>
          <cell r="T318" t="str">
            <v>000000000009235</v>
          </cell>
        </row>
        <row r="319">
          <cell r="C319">
            <v>2</v>
          </cell>
          <cell r="O319">
            <v>1</v>
          </cell>
          <cell r="T319" t="str">
            <v>000000000009235</v>
          </cell>
        </row>
        <row r="320">
          <cell r="C320" t="str">
            <v>LED-A888</v>
          </cell>
          <cell r="L320" t="str">
            <v>切断</v>
          </cell>
          <cell r="M320" t="str">
            <v>M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L321" t="str">
            <v>検査</v>
          </cell>
          <cell r="M321" t="str">
            <v>T</v>
          </cell>
          <cell r="T321" t="str">
            <v>000000000009235</v>
          </cell>
        </row>
        <row r="322">
          <cell r="L322" t="str">
            <v>α端材</v>
          </cell>
          <cell r="O322">
            <v>0</v>
          </cell>
          <cell r="P322">
            <v>1</v>
          </cell>
          <cell r="T322" t="str">
            <v>000000000009235</v>
          </cell>
        </row>
        <row r="323">
          <cell r="C323" t="str">
            <v>8FL281304 8310　L=748</v>
          </cell>
          <cell r="D323">
            <v>45978</v>
          </cell>
          <cell r="E323" t="str">
            <v>25J21-07</v>
          </cell>
          <cell r="I323" t="str">
            <v>25J21-07</v>
          </cell>
          <cell r="J323">
            <v>3</v>
          </cell>
          <cell r="K323">
            <v>1</v>
          </cell>
          <cell r="L323" t="str">
            <v>25.11.25</v>
          </cell>
          <cell r="M323" t="str">
            <v>2箱</v>
          </cell>
          <cell r="O323">
            <v>0</v>
          </cell>
          <cell r="P323">
            <v>1</v>
          </cell>
          <cell r="T323" t="str">
            <v>000000000009232</v>
          </cell>
        </row>
        <row r="324">
          <cell r="D324">
            <v>45982</v>
          </cell>
          <cell r="E324" t="str">
            <v>25J23-09</v>
          </cell>
          <cell r="F324">
            <v>20</v>
          </cell>
          <cell r="G324">
            <v>748</v>
          </cell>
          <cell r="H324">
            <v>748.22</v>
          </cell>
          <cell r="I324" t="str">
            <v>25J23-09</v>
          </cell>
          <cell r="J324">
            <v>198</v>
          </cell>
          <cell r="K324">
            <v>99</v>
          </cell>
          <cell r="O324">
            <v>200</v>
          </cell>
          <cell r="T324" t="str">
            <v>000000000009232</v>
          </cell>
        </row>
        <row r="325">
          <cell r="C325">
            <v>200</v>
          </cell>
          <cell r="D325">
            <v>45982</v>
          </cell>
          <cell r="E325" t="str">
            <v>25J23-09</v>
          </cell>
          <cell r="F325">
            <v>20</v>
          </cell>
          <cell r="G325">
            <v>748</v>
          </cell>
          <cell r="H325">
            <v>748.3</v>
          </cell>
          <cell r="O325">
            <v>101</v>
          </cell>
          <cell r="T325" t="str">
            <v>000000000009232</v>
          </cell>
        </row>
        <row r="326">
          <cell r="D326">
            <v>45986</v>
          </cell>
          <cell r="E326" t="str">
            <v>25J23-09</v>
          </cell>
          <cell r="F326">
            <v>20</v>
          </cell>
          <cell r="G326">
            <v>748</v>
          </cell>
          <cell r="H326">
            <v>748.25</v>
          </cell>
          <cell r="O326">
            <v>1</v>
          </cell>
          <cell r="T326" t="str">
            <v>000000000009232</v>
          </cell>
        </row>
        <row r="327">
          <cell r="C327">
            <v>2</v>
          </cell>
          <cell r="D327">
            <v>45986</v>
          </cell>
          <cell r="E327" t="str">
            <v>25J23-09</v>
          </cell>
          <cell r="F327">
            <v>20</v>
          </cell>
          <cell r="G327">
            <v>748</v>
          </cell>
          <cell r="H327">
            <v>748.23</v>
          </cell>
          <cell r="O327">
            <v>1</v>
          </cell>
          <cell r="T327" t="str">
            <v>000000000009232</v>
          </cell>
        </row>
        <row r="328">
          <cell r="C328" t="str">
            <v>LED-A888</v>
          </cell>
          <cell r="L328" t="str">
            <v>切断</v>
          </cell>
          <cell r="M328" t="str">
            <v>M</v>
          </cell>
          <cell r="O328">
            <v>1</v>
          </cell>
          <cell r="T328" t="str">
            <v>000000000009232</v>
          </cell>
        </row>
        <row r="329">
          <cell r="C329">
            <v>0</v>
          </cell>
          <cell r="L329" t="str">
            <v>検査</v>
          </cell>
          <cell r="M329" t="str">
            <v>T</v>
          </cell>
          <cell r="T329" t="str">
            <v>000000000009232</v>
          </cell>
        </row>
        <row r="330">
          <cell r="L330" t="str">
            <v>α端材</v>
          </cell>
          <cell r="M330">
            <v>1</v>
          </cell>
          <cell r="O330">
            <v>1</v>
          </cell>
          <cell r="P330">
            <v>1</v>
          </cell>
          <cell r="T330" t="str">
            <v>000000000009232</v>
          </cell>
        </row>
        <row r="331">
          <cell r="C331" t="str">
            <v>採光ルーバーパネルB　L=1996</v>
          </cell>
          <cell r="O331">
            <v>0</v>
          </cell>
          <cell r="T331" t="str">
            <v>000000000009311</v>
          </cell>
        </row>
        <row r="332">
          <cell r="O332">
            <v>0</v>
          </cell>
          <cell r="T332" t="str">
            <v>000000000009311</v>
          </cell>
        </row>
        <row r="333">
          <cell r="C333">
            <v>588</v>
          </cell>
          <cell r="O333">
            <v>0</v>
          </cell>
          <cell r="T333" t="str">
            <v>000000000009311</v>
          </cell>
        </row>
        <row r="334">
          <cell r="O334">
            <v>0</v>
          </cell>
          <cell r="T334" t="str">
            <v>000000000009311</v>
          </cell>
        </row>
        <row r="335">
          <cell r="C335">
            <v>1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L337" t="str">
            <v>検査</v>
          </cell>
          <cell r="T337" t="str">
            <v>000000000009311</v>
          </cell>
        </row>
        <row r="338"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ランプシェード　SL-600</v>
          </cell>
          <cell r="O339">
            <v>0</v>
          </cell>
          <cell r="T339" t="str">
            <v>000000000008890</v>
          </cell>
        </row>
        <row r="340">
          <cell r="O340">
            <v>0</v>
          </cell>
          <cell r="T340" t="str">
            <v>000000000008890</v>
          </cell>
        </row>
        <row r="341">
          <cell r="C341">
            <v>1200</v>
          </cell>
          <cell r="O341">
            <v>0</v>
          </cell>
          <cell r="T341" t="str">
            <v>000000000008890</v>
          </cell>
        </row>
        <row r="342">
          <cell r="O342">
            <v>0</v>
          </cell>
          <cell r="T342" t="str">
            <v>000000000008890</v>
          </cell>
        </row>
        <row r="343">
          <cell r="C343">
            <v>2</v>
          </cell>
          <cell r="O343">
            <v>0</v>
          </cell>
          <cell r="T343" t="str">
            <v>000000000008890</v>
          </cell>
        </row>
        <row r="344">
          <cell r="L344" t="str">
            <v>切断</v>
          </cell>
          <cell r="O344">
            <v>0</v>
          </cell>
          <cell r="T344" t="str">
            <v>000000000008890</v>
          </cell>
        </row>
        <row r="345">
          <cell r="C345">
            <v>0</v>
          </cell>
          <cell r="L345" t="str">
            <v>検査</v>
          </cell>
          <cell r="T345" t="str">
            <v>000000000008890</v>
          </cell>
        </row>
        <row r="346">
          <cell r="L346" t="str">
            <v>α端材</v>
          </cell>
          <cell r="O346">
            <v>0</v>
          </cell>
          <cell r="P346">
            <v>0</v>
          </cell>
          <cell r="T346" t="str">
            <v>000000000008890</v>
          </cell>
        </row>
        <row r="347">
          <cell r="C347" t="str">
            <v>8FL281304 6110　L=1478</v>
          </cell>
          <cell r="O347">
            <v>0</v>
          </cell>
          <cell r="T347" t="str">
            <v>000000000009237</v>
          </cell>
        </row>
        <row r="348">
          <cell r="O348">
            <v>0</v>
          </cell>
          <cell r="T348" t="str">
            <v>000000000009237</v>
          </cell>
        </row>
        <row r="349">
          <cell r="C349">
            <v>300</v>
          </cell>
          <cell r="O349">
            <v>0</v>
          </cell>
          <cell r="T349" t="str">
            <v>000000000009237</v>
          </cell>
        </row>
        <row r="350">
          <cell r="O350">
            <v>0</v>
          </cell>
          <cell r="T350" t="str">
            <v>000000000009237</v>
          </cell>
        </row>
        <row r="351">
          <cell r="C351">
            <v>1</v>
          </cell>
          <cell r="O351">
            <v>0</v>
          </cell>
          <cell r="T351" t="str">
            <v>000000000009237</v>
          </cell>
        </row>
        <row r="352">
          <cell r="C352" t="str">
            <v>LED-A1478</v>
          </cell>
          <cell r="L352" t="str">
            <v>切断</v>
          </cell>
          <cell r="O352">
            <v>0</v>
          </cell>
          <cell r="T352" t="str">
            <v>000000000009237</v>
          </cell>
        </row>
        <row r="353">
          <cell r="C353">
            <v>0</v>
          </cell>
          <cell r="L353" t="str">
            <v>検査</v>
          </cell>
          <cell r="T353" t="str">
            <v>000000000009237</v>
          </cell>
        </row>
        <row r="354">
          <cell r="L354" t="str">
            <v>α端材</v>
          </cell>
          <cell r="O354">
            <v>0</v>
          </cell>
          <cell r="P354">
            <v>0</v>
          </cell>
          <cell r="T354" t="str">
            <v>000000000009237</v>
          </cell>
        </row>
        <row r="355">
          <cell r="C355" t="str">
            <v>8FL281304 4810　L=297</v>
          </cell>
          <cell r="O355">
            <v>0</v>
          </cell>
          <cell r="T355" t="str">
            <v>000000000009230</v>
          </cell>
        </row>
        <row r="356">
          <cell r="T356" t="str">
            <v>000000000009230</v>
          </cell>
        </row>
        <row r="357">
          <cell r="C357">
            <v>300</v>
          </cell>
          <cell r="O357">
            <v>0</v>
          </cell>
          <cell r="T357" t="str">
            <v>000000000009230</v>
          </cell>
        </row>
        <row r="358">
          <cell r="O358">
            <v>0</v>
          </cell>
          <cell r="T358" t="str">
            <v>000000000009230</v>
          </cell>
        </row>
        <row r="359">
          <cell r="C359">
            <v>6</v>
          </cell>
          <cell r="O359">
            <v>0</v>
          </cell>
          <cell r="T359" t="str">
            <v>000000000009230</v>
          </cell>
        </row>
        <row r="360">
          <cell r="C360" t="str">
            <v>LED-A300</v>
          </cell>
          <cell r="L360" t="str">
            <v>切断</v>
          </cell>
          <cell r="O360">
            <v>0</v>
          </cell>
          <cell r="T360" t="str">
            <v>000000000009230</v>
          </cell>
        </row>
        <row r="361">
          <cell r="C361">
            <v>0</v>
          </cell>
          <cell r="L361" t="str">
            <v>検査</v>
          </cell>
          <cell r="T361" t="str">
            <v>000000000009230</v>
          </cell>
        </row>
        <row r="362">
          <cell r="L362" t="str">
            <v>α端材</v>
          </cell>
          <cell r="O362">
            <v>0</v>
          </cell>
          <cell r="P362">
            <v>0</v>
          </cell>
          <cell r="T362" t="str">
            <v>000000000009230</v>
          </cell>
        </row>
        <row r="363">
          <cell r="C363" t="str">
            <v>8FL281304 4910　L=592</v>
          </cell>
          <cell r="O363">
            <v>0</v>
          </cell>
          <cell r="T363" t="str">
            <v>000000000009231</v>
          </cell>
        </row>
        <row r="364">
          <cell r="O364">
            <v>0</v>
          </cell>
          <cell r="T364" t="str">
            <v>000000000009231</v>
          </cell>
        </row>
        <row r="365">
          <cell r="C365">
            <v>300</v>
          </cell>
          <cell r="O365">
            <v>0</v>
          </cell>
          <cell r="T365" t="str">
            <v>000000000009231</v>
          </cell>
        </row>
        <row r="366">
          <cell r="O366">
            <v>0</v>
          </cell>
          <cell r="T366" t="str">
            <v>000000000009231</v>
          </cell>
        </row>
        <row r="367">
          <cell r="C367">
            <v>3</v>
          </cell>
          <cell r="O367">
            <v>0</v>
          </cell>
          <cell r="T367" t="str">
            <v>000000000009231</v>
          </cell>
        </row>
        <row r="368">
          <cell r="C368" t="str">
            <v>LED-A592</v>
          </cell>
          <cell r="L368" t="str">
            <v>切断</v>
          </cell>
          <cell r="O368">
            <v>0</v>
          </cell>
          <cell r="T368" t="str">
            <v>000000000009231</v>
          </cell>
        </row>
        <row r="369">
          <cell r="C369">
            <v>0</v>
          </cell>
          <cell r="L369" t="str">
            <v>検査</v>
          </cell>
          <cell r="T369" t="str">
            <v>000000000009231</v>
          </cell>
        </row>
        <row r="370">
          <cell r="L370" t="str">
            <v>α端材</v>
          </cell>
          <cell r="O370">
            <v>0</v>
          </cell>
          <cell r="P370">
            <v>0</v>
          </cell>
          <cell r="T370" t="str">
            <v>000000000009231</v>
          </cell>
        </row>
        <row r="371">
          <cell r="C371" t="str">
            <v>8FL281304 5010　L=888</v>
          </cell>
          <cell r="O371">
            <v>0</v>
          </cell>
          <cell r="T371" t="str">
            <v>000000000009234</v>
          </cell>
        </row>
        <row r="372">
          <cell r="O372">
            <v>0</v>
          </cell>
          <cell r="T372" t="str">
            <v>000000000009234</v>
          </cell>
        </row>
        <row r="373">
          <cell r="C373">
            <v>2000</v>
          </cell>
          <cell r="O373">
            <v>0</v>
          </cell>
          <cell r="T373" t="str">
            <v>000000000009234</v>
          </cell>
        </row>
        <row r="374">
          <cell r="O374">
            <v>0</v>
          </cell>
          <cell r="T374" t="str">
            <v>000000000009234</v>
          </cell>
        </row>
        <row r="375">
          <cell r="C375">
            <v>2</v>
          </cell>
          <cell r="O375">
            <v>0</v>
          </cell>
          <cell r="T375" t="str">
            <v>000000000009234</v>
          </cell>
        </row>
        <row r="376">
          <cell r="C376" t="str">
            <v>LED-A888</v>
          </cell>
          <cell r="L376" t="str">
            <v>切断</v>
          </cell>
          <cell r="O376">
            <v>0</v>
          </cell>
          <cell r="T376" t="str">
            <v>000000000009234</v>
          </cell>
        </row>
        <row r="377">
          <cell r="C377">
            <v>0</v>
          </cell>
          <cell r="L377" t="str">
            <v>検査</v>
          </cell>
          <cell r="T377" t="str">
            <v>000000000009234</v>
          </cell>
        </row>
        <row r="378">
          <cell r="L378" t="str">
            <v>α端材</v>
          </cell>
          <cell r="O378">
            <v>0</v>
          </cell>
          <cell r="P378">
            <v>0</v>
          </cell>
          <cell r="T378" t="str">
            <v>000000000009234</v>
          </cell>
        </row>
        <row r="379">
          <cell r="C379">
            <v>46000</v>
          </cell>
          <cell r="K379" t="e">
            <v>#DIV/0!</v>
          </cell>
          <cell r="O379">
            <v>0</v>
          </cell>
          <cell r="T379" t="str">
            <v/>
          </cell>
        </row>
        <row r="380">
          <cell r="K380" t="e">
            <v>#DIV/0!</v>
          </cell>
          <cell r="O380" t="e">
            <v>#DIV/0!</v>
          </cell>
          <cell r="T380" t="str">
            <v/>
          </cell>
        </row>
        <row r="381">
          <cell r="C381" t="str">
            <v>-</v>
          </cell>
          <cell r="K381" t="e">
            <v>#DIV/0!</v>
          </cell>
          <cell r="O381" t="str">
            <v/>
          </cell>
          <cell r="T381" t="str">
            <v/>
          </cell>
        </row>
        <row r="382">
          <cell r="K382" t="e">
            <v>#DIV/0!</v>
          </cell>
          <cell r="O382" t="str">
            <v/>
          </cell>
          <cell r="T382" t="str">
            <v/>
          </cell>
        </row>
        <row r="383">
          <cell r="K383" t="e">
            <v>#DIV/0!</v>
          </cell>
          <cell r="O383">
            <v>0</v>
          </cell>
          <cell r="T383" t="str">
            <v/>
          </cell>
        </row>
        <row r="384">
          <cell r="K384" t="e">
            <v>#DIV/0!</v>
          </cell>
          <cell r="L384" t="str">
            <v>切断</v>
          </cell>
          <cell r="O384" t="e">
            <v>#DIV/0!</v>
          </cell>
          <cell r="T384" t="str">
            <v/>
          </cell>
        </row>
        <row r="385">
          <cell r="C385" t="e">
            <v>#N/A</v>
          </cell>
          <cell r="K385" t="e">
            <v>#DIV/0!</v>
          </cell>
          <cell r="L385" t="str">
            <v>検査</v>
          </cell>
          <cell r="T385" t="str">
            <v/>
          </cell>
        </row>
        <row r="386">
          <cell r="K386" t="e">
            <v>#DIV/0!</v>
          </cell>
          <cell r="L386" t="str">
            <v>α端材</v>
          </cell>
          <cell r="M386" t="e">
            <v>#DIV/0!</v>
          </cell>
          <cell r="O386" t="e">
            <v>#DIV/0!</v>
          </cell>
          <cell r="P386">
            <v>0</v>
          </cell>
          <cell r="T386" t="str">
            <v/>
          </cell>
        </row>
        <row r="387">
          <cell r="C387" t="str">
            <v>灯具カバーPC IN 2100　L=1923</v>
          </cell>
          <cell r="O387">
            <v>0</v>
          </cell>
          <cell r="T387" t="str">
            <v>000000000009642</v>
          </cell>
        </row>
        <row r="388">
          <cell r="O388">
            <v>0</v>
          </cell>
          <cell r="T388" t="str">
            <v>000000000009642</v>
          </cell>
        </row>
        <row r="389">
          <cell r="C389">
            <v>192</v>
          </cell>
          <cell r="O389">
            <v>0</v>
          </cell>
          <cell r="T389" t="str">
            <v>000000000009642</v>
          </cell>
        </row>
        <row r="390">
          <cell r="O390">
            <v>0</v>
          </cell>
          <cell r="T390" t="str">
            <v>000000000009642</v>
          </cell>
        </row>
        <row r="391">
          <cell r="C391">
            <v>1</v>
          </cell>
          <cell r="O391">
            <v>0</v>
          </cell>
          <cell r="T391" t="str">
            <v>000000000009642</v>
          </cell>
        </row>
        <row r="392">
          <cell r="C392" t="str">
            <v>灯具-2　L＝1996</v>
          </cell>
          <cell r="L392" t="str">
            <v>切断</v>
          </cell>
          <cell r="O392">
            <v>0</v>
          </cell>
          <cell r="T392" t="str">
            <v>000000000009642</v>
          </cell>
        </row>
        <row r="393">
          <cell r="C393">
            <v>0</v>
          </cell>
          <cell r="L393" t="str">
            <v>検査</v>
          </cell>
          <cell r="T393" t="str">
            <v>000000000009642</v>
          </cell>
        </row>
        <row r="394">
          <cell r="L394" t="str">
            <v>α端材</v>
          </cell>
          <cell r="O394">
            <v>0</v>
          </cell>
          <cell r="P394">
            <v>0</v>
          </cell>
          <cell r="T394" t="str">
            <v>000000000009642</v>
          </cell>
        </row>
        <row r="395">
          <cell r="C395" t="str">
            <v>灯具カバーPC IN 2060　L=1258.5</v>
          </cell>
          <cell r="O395">
            <v>0</v>
          </cell>
          <cell r="T395" t="str">
            <v>000000000009639</v>
          </cell>
        </row>
        <row r="396">
          <cell r="O396">
            <v>0</v>
          </cell>
          <cell r="T396" t="str">
            <v>000000000009639</v>
          </cell>
        </row>
        <row r="397">
          <cell r="C397">
            <v>192</v>
          </cell>
          <cell r="O397">
            <v>0</v>
          </cell>
          <cell r="T397" t="str">
            <v>000000000009639</v>
          </cell>
        </row>
        <row r="398">
          <cell r="O398">
            <v>0</v>
          </cell>
          <cell r="T398" t="str">
            <v>000000000009639</v>
          </cell>
        </row>
        <row r="399">
          <cell r="C399">
            <v>1</v>
          </cell>
          <cell r="O399">
            <v>0</v>
          </cell>
          <cell r="T399" t="str">
            <v>000000000009639</v>
          </cell>
        </row>
        <row r="400">
          <cell r="C400" t="str">
            <v>灯具-1　L=1370</v>
          </cell>
          <cell r="L400" t="str">
            <v>切断</v>
          </cell>
          <cell r="O400">
            <v>0</v>
          </cell>
          <cell r="T400" t="str">
            <v>000000000009639</v>
          </cell>
        </row>
        <row r="401">
          <cell r="C401">
            <v>0</v>
          </cell>
          <cell r="L401" t="str">
            <v>検査</v>
          </cell>
          <cell r="T401" t="str">
            <v>000000000009639</v>
          </cell>
        </row>
        <row r="402">
          <cell r="L402" t="str">
            <v>α端材</v>
          </cell>
          <cell r="O402">
            <v>0</v>
          </cell>
          <cell r="P402">
            <v>0</v>
          </cell>
          <cell r="T402" t="str">
            <v>000000000009639</v>
          </cell>
        </row>
        <row r="403">
          <cell r="C403" t="str">
            <v>灯具カバーPC IN 2080　L=1540</v>
          </cell>
          <cell r="O403">
            <v>0</v>
          </cell>
          <cell r="T403" t="str">
            <v>000000000009640</v>
          </cell>
        </row>
        <row r="404">
          <cell r="O404">
            <v>0</v>
          </cell>
          <cell r="T404" t="str">
            <v>000000000009640</v>
          </cell>
        </row>
        <row r="405">
          <cell r="C405">
            <v>96</v>
          </cell>
          <cell r="O405">
            <v>0</v>
          </cell>
          <cell r="T405" t="str">
            <v>000000000009640</v>
          </cell>
        </row>
        <row r="406">
          <cell r="O406">
            <v>0</v>
          </cell>
          <cell r="T406" t="str">
            <v>000000000009640</v>
          </cell>
        </row>
        <row r="407">
          <cell r="C407">
            <v>1</v>
          </cell>
          <cell r="O407">
            <v>0</v>
          </cell>
          <cell r="T407" t="str">
            <v>000000000009640</v>
          </cell>
        </row>
        <row r="408">
          <cell r="C408" t="str">
            <v>灯具-2　L＝1996</v>
          </cell>
          <cell r="L408" t="str">
            <v>切断</v>
          </cell>
          <cell r="O408">
            <v>0</v>
          </cell>
          <cell r="T408" t="str">
            <v>000000000009640</v>
          </cell>
        </row>
        <row r="409">
          <cell r="C409">
            <v>0</v>
          </cell>
          <cell r="L409" t="str">
            <v>検査</v>
          </cell>
          <cell r="T409" t="str">
            <v>000000000009640</v>
          </cell>
        </row>
        <row r="410">
          <cell r="L410" t="str">
            <v>α端材</v>
          </cell>
          <cell r="O410">
            <v>0</v>
          </cell>
          <cell r="P410">
            <v>0</v>
          </cell>
          <cell r="T410" t="str">
            <v>000000000009640</v>
          </cell>
        </row>
        <row r="411">
          <cell r="C411" t="str">
            <v>灯具カバーPC IN 2070　L=1966</v>
          </cell>
          <cell r="O411">
            <v>0</v>
          </cell>
          <cell r="T411" t="str">
            <v>000000000009643</v>
          </cell>
        </row>
        <row r="412">
          <cell r="O412">
            <v>0</v>
          </cell>
          <cell r="T412" t="str">
            <v>000000000009643</v>
          </cell>
        </row>
        <row r="413">
          <cell r="C413">
            <v>192</v>
          </cell>
          <cell r="O413">
            <v>0</v>
          </cell>
          <cell r="T413" t="str">
            <v>000000000009643</v>
          </cell>
        </row>
        <row r="414">
          <cell r="O414">
            <v>0</v>
          </cell>
          <cell r="T414" t="str">
            <v>000000000009643</v>
          </cell>
        </row>
        <row r="415">
          <cell r="C415">
            <v>1</v>
          </cell>
          <cell r="O415">
            <v>0</v>
          </cell>
          <cell r="T415" t="str">
            <v>000000000009643</v>
          </cell>
        </row>
        <row r="416">
          <cell r="C416" t="str">
            <v>灯具-2　L＝1996</v>
          </cell>
          <cell r="L416" t="str">
            <v>切断</v>
          </cell>
          <cell r="O416">
            <v>0</v>
          </cell>
          <cell r="T416" t="str">
            <v>000000000009643</v>
          </cell>
        </row>
        <row r="417">
          <cell r="C417">
            <v>0</v>
          </cell>
          <cell r="L417" t="str">
            <v>検査</v>
          </cell>
          <cell r="T417" t="str">
            <v>000000000009643</v>
          </cell>
        </row>
        <row r="418">
          <cell r="L418" t="str">
            <v>α端材</v>
          </cell>
          <cell r="O418">
            <v>0</v>
          </cell>
          <cell r="P418">
            <v>0</v>
          </cell>
          <cell r="T418" t="str">
            <v>000000000009643</v>
          </cell>
        </row>
        <row r="419">
          <cell r="C419" t="str">
            <v>灯具カバーPC IN 2070　L=1966</v>
          </cell>
          <cell r="O419">
            <v>0</v>
          </cell>
          <cell r="T419" t="str">
            <v>000000000009643</v>
          </cell>
        </row>
        <row r="420">
          <cell r="O420">
            <v>0</v>
          </cell>
          <cell r="T420" t="str">
            <v>000000000009643</v>
          </cell>
        </row>
        <row r="421">
          <cell r="C421">
            <v>208</v>
          </cell>
          <cell r="O421">
            <v>0</v>
          </cell>
          <cell r="T421" t="str">
            <v>000000000009643</v>
          </cell>
        </row>
        <row r="422">
          <cell r="O422">
            <v>0</v>
          </cell>
          <cell r="T422" t="str">
            <v>000000000009643</v>
          </cell>
        </row>
        <row r="423">
          <cell r="C423">
            <v>1</v>
          </cell>
          <cell r="O423">
            <v>0</v>
          </cell>
          <cell r="T423" t="str">
            <v>000000000009643</v>
          </cell>
        </row>
        <row r="424">
          <cell r="C424" t="str">
            <v>灯具-2　L＝1996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L425" t="str">
            <v>検査</v>
          </cell>
          <cell r="T425" t="str">
            <v>000000000009643</v>
          </cell>
        </row>
        <row r="426"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2110　L=1815</v>
          </cell>
          <cell r="O427">
            <v>0</v>
          </cell>
          <cell r="T427" t="str">
            <v>000000000009641</v>
          </cell>
        </row>
        <row r="428">
          <cell r="O428">
            <v>0</v>
          </cell>
          <cell r="T428" t="str">
            <v>000000000009641</v>
          </cell>
        </row>
        <row r="429">
          <cell r="C429">
            <v>400</v>
          </cell>
          <cell r="O429">
            <v>0</v>
          </cell>
          <cell r="T429" t="str">
            <v>000000000009641</v>
          </cell>
        </row>
        <row r="430">
          <cell r="O430">
            <v>0</v>
          </cell>
          <cell r="T430" t="str">
            <v>000000000009641</v>
          </cell>
        </row>
        <row r="431">
          <cell r="C431">
            <v>1</v>
          </cell>
          <cell r="O431">
            <v>0</v>
          </cell>
          <cell r="T431" t="str">
            <v>000000000009641</v>
          </cell>
        </row>
        <row r="432">
          <cell r="C432" t="str">
            <v>灯具-2　L＝1996</v>
          </cell>
          <cell r="L432" t="str">
            <v>切断</v>
          </cell>
          <cell r="O432">
            <v>0</v>
          </cell>
          <cell r="T432" t="str">
            <v>000000000009641</v>
          </cell>
        </row>
        <row r="433">
          <cell r="C433">
            <v>0</v>
          </cell>
          <cell r="L433" t="str">
            <v>検査</v>
          </cell>
          <cell r="T433" t="str">
            <v>000000000009641</v>
          </cell>
        </row>
        <row r="434">
          <cell r="L434" t="str">
            <v>α端材</v>
          </cell>
          <cell r="O434">
            <v>0</v>
          </cell>
          <cell r="P434">
            <v>0</v>
          </cell>
          <cell r="T434" t="str">
            <v>000000000009641</v>
          </cell>
        </row>
        <row r="435">
          <cell r="C435" t="str">
            <v>灯具カバーPC IN 2090　L=840</v>
          </cell>
          <cell r="O435">
            <v>0</v>
          </cell>
          <cell r="T435" t="str">
            <v>000000000009636</v>
          </cell>
        </row>
        <row r="436">
          <cell r="O436">
            <v>0</v>
          </cell>
          <cell r="T436" t="str">
            <v>000000000009636</v>
          </cell>
        </row>
        <row r="437">
          <cell r="C437">
            <v>192</v>
          </cell>
          <cell r="O437">
            <v>0</v>
          </cell>
          <cell r="T437" t="str">
            <v>000000000009636</v>
          </cell>
        </row>
        <row r="438">
          <cell r="O438">
            <v>0</v>
          </cell>
          <cell r="T438" t="str">
            <v>000000000009636</v>
          </cell>
        </row>
        <row r="439">
          <cell r="C439">
            <v>1</v>
          </cell>
          <cell r="O439">
            <v>0</v>
          </cell>
          <cell r="T439" t="str">
            <v>000000000009636</v>
          </cell>
        </row>
        <row r="440">
          <cell r="C440" t="str">
            <v>灯具-3　L=970</v>
          </cell>
          <cell r="L440" t="str">
            <v>切断</v>
          </cell>
          <cell r="O440">
            <v>0</v>
          </cell>
          <cell r="T440" t="str">
            <v>000000000009636</v>
          </cell>
        </row>
        <row r="441">
          <cell r="C441">
            <v>0</v>
          </cell>
          <cell r="L441" t="str">
            <v>検査</v>
          </cell>
          <cell r="T441" t="str">
            <v>000000000009636</v>
          </cell>
        </row>
        <row r="442">
          <cell r="L442" t="str">
            <v>α端材</v>
          </cell>
          <cell r="O442">
            <v>0</v>
          </cell>
          <cell r="P442">
            <v>0</v>
          </cell>
          <cell r="T442" t="str">
            <v>000000000009636</v>
          </cell>
        </row>
        <row r="443">
          <cell r="C443" t="str">
            <v>灯具カバーPC IN 2130　L=908</v>
          </cell>
          <cell r="O443">
            <v>0</v>
          </cell>
          <cell r="T443" t="str">
            <v>000000000009637</v>
          </cell>
        </row>
        <row r="444">
          <cell r="O444">
            <v>0</v>
          </cell>
          <cell r="T444" t="str">
            <v>000000000009637</v>
          </cell>
        </row>
        <row r="445">
          <cell r="C445">
            <v>192</v>
          </cell>
          <cell r="O445">
            <v>0</v>
          </cell>
          <cell r="T445" t="str">
            <v>000000000009637</v>
          </cell>
        </row>
        <row r="446">
          <cell r="O446">
            <v>0</v>
          </cell>
          <cell r="T446" t="str">
            <v>000000000009637</v>
          </cell>
        </row>
        <row r="447">
          <cell r="C447">
            <v>1</v>
          </cell>
          <cell r="O447">
            <v>0</v>
          </cell>
          <cell r="T447" t="str">
            <v>000000000009637</v>
          </cell>
        </row>
        <row r="448">
          <cell r="C448" t="str">
            <v>灯具-3　L=970</v>
          </cell>
          <cell r="L448" t="str">
            <v>切断</v>
          </cell>
          <cell r="O448">
            <v>0</v>
          </cell>
          <cell r="T448" t="str">
            <v>000000000009637</v>
          </cell>
        </row>
        <row r="449">
          <cell r="C449">
            <v>0</v>
          </cell>
          <cell r="L449" t="str">
            <v>検査</v>
          </cell>
          <cell r="T449" t="str">
            <v>000000000009637</v>
          </cell>
        </row>
        <row r="450">
          <cell r="L450" t="str">
            <v>α端材</v>
          </cell>
          <cell r="O450">
            <v>0</v>
          </cell>
          <cell r="P450">
            <v>0</v>
          </cell>
          <cell r="T450" t="str">
            <v>000000000009637</v>
          </cell>
        </row>
        <row r="451">
          <cell r="C451" t="str">
            <v>灯具カバーPC IN 2140　L=547</v>
          </cell>
          <cell r="O451">
            <v>0</v>
          </cell>
          <cell r="T451" t="str">
            <v>000000000009635</v>
          </cell>
        </row>
        <row r="452">
          <cell r="O452">
            <v>0</v>
          </cell>
          <cell r="T452" t="str">
            <v>000000000009635</v>
          </cell>
        </row>
        <row r="453">
          <cell r="C453">
            <v>192</v>
          </cell>
          <cell r="O453">
            <v>0</v>
          </cell>
          <cell r="T453" t="str">
            <v>000000000009635</v>
          </cell>
        </row>
        <row r="454">
          <cell r="O454">
            <v>0</v>
          </cell>
          <cell r="T454" t="str">
            <v>000000000009635</v>
          </cell>
        </row>
        <row r="455">
          <cell r="C455">
            <v>1</v>
          </cell>
          <cell r="O455">
            <v>0</v>
          </cell>
          <cell r="T455" t="str">
            <v>000000000009635</v>
          </cell>
        </row>
        <row r="456">
          <cell r="C456" t="str">
            <v>灯具-1　L=1370</v>
          </cell>
          <cell r="L456" t="str">
            <v>切断</v>
          </cell>
          <cell r="O456">
            <v>0</v>
          </cell>
          <cell r="T456" t="str">
            <v>000000000009635</v>
          </cell>
        </row>
        <row r="457">
          <cell r="C457">
            <v>0</v>
          </cell>
          <cell r="L457" t="str">
            <v>検査</v>
          </cell>
          <cell r="T457" t="str">
            <v>000000000009635</v>
          </cell>
        </row>
        <row r="458">
          <cell r="L458" t="str">
            <v>α端材</v>
          </cell>
          <cell r="O458">
            <v>0</v>
          </cell>
          <cell r="P458">
            <v>0</v>
          </cell>
          <cell r="T458" t="str">
            <v>000000000009635</v>
          </cell>
        </row>
        <row r="459">
          <cell r="C459" t="str">
            <v>灯具カバーPC IN 2050　L=1183.5</v>
          </cell>
          <cell r="O459">
            <v>0</v>
          </cell>
          <cell r="T459" t="str">
            <v>000000000009638</v>
          </cell>
        </row>
        <row r="460">
          <cell r="O460">
            <v>0</v>
          </cell>
          <cell r="T460" t="str">
            <v>000000000009638</v>
          </cell>
        </row>
        <row r="461">
          <cell r="C461">
            <v>192</v>
          </cell>
          <cell r="O461">
            <v>0</v>
          </cell>
          <cell r="T461" t="str">
            <v>000000000009638</v>
          </cell>
        </row>
        <row r="462">
          <cell r="O462">
            <v>0</v>
          </cell>
          <cell r="T462" t="str">
            <v>000000000009638</v>
          </cell>
        </row>
        <row r="463">
          <cell r="C463">
            <v>1</v>
          </cell>
          <cell r="O463">
            <v>0</v>
          </cell>
          <cell r="T463" t="str">
            <v>000000000009638</v>
          </cell>
        </row>
        <row r="464">
          <cell r="C464" t="str">
            <v>灯具-1　L=1370</v>
          </cell>
          <cell r="L464" t="str">
            <v>切断</v>
          </cell>
          <cell r="O464">
            <v>0</v>
          </cell>
          <cell r="T464" t="str">
            <v>000000000009638</v>
          </cell>
        </row>
        <row r="465">
          <cell r="C465">
            <v>0</v>
          </cell>
          <cell r="L465" t="str">
            <v>検査</v>
          </cell>
          <cell r="T465" t="str">
            <v>000000000009638</v>
          </cell>
        </row>
        <row r="466">
          <cell r="L466" t="str">
            <v>α端材</v>
          </cell>
          <cell r="O466">
            <v>0</v>
          </cell>
          <cell r="P466">
            <v>0</v>
          </cell>
          <cell r="T466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view="pageBreakPreview" topLeftCell="A145" zoomScaleNormal="100" zoomScaleSheetLayoutView="100" workbookViewId="0">
      <selection activeCell="A152" sqref="A152:XFD17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90" t="s">
        <v>0</v>
      </c>
      <c r="C1" s="151"/>
      <c r="D1" s="151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51"/>
      <c r="C2" s="151"/>
      <c r="D2" s="151"/>
      <c r="E2" s="12"/>
      <c r="F2" s="12"/>
      <c r="G2" s="12"/>
      <c r="H2" s="12"/>
      <c r="I2" s="12"/>
      <c r="J2" s="12"/>
    </row>
    <row r="3" spans="1:10" ht="14.25" customHeight="1">
      <c r="A3" s="191" t="s">
        <v>1</v>
      </c>
      <c r="B3" s="191" t="s">
        <v>2</v>
      </c>
      <c r="C3" s="191" t="s">
        <v>3</v>
      </c>
      <c r="D3" s="192">
        <v>1966</v>
      </c>
      <c r="E3" s="191" t="s">
        <v>4</v>
      </c>
      <c r="F3" s="193" t="s">
        <v>5</v>
      </c>
      <c r="G3" s="151"/>
      <c r="H3" s="189"/>
      <c r="I3" s="13" t="s">
        <v>6</v>
      </c>
      <c r="J3" s="13" t="s">
        <v>7</v>
      </c>
    </row>
    <row r="4" spans="1:10" ht="14.25" customHeight="1">
      <c r="A4" s="151"/>
      <c r="B4" s="151"/>
      <c r="C4" s="151"/>
      <c r="D4" s="151"/>
      <c r="E4" s="151"/>
      <c r="F4" s="151"/>
      <c r="G4" s="151"/>
      <c r="H4" s="189"/>
      <c r="I4" s="194"/>
      <c r="J4" s="194"/>
    </row>
    <row r="5" spans="1:10" ht="17.45" customHeight="1">
      <c r="A5" s="175" t="s">
        <v>8</v>
      </c>
      <c r="B5" s="175" t="s">
        <v>9</v>
      </c>
      <c r="E5" s="175" t="s">
        <v>10</v>
      </c>
      <c r="F5" s="197" t="s">
        <v>11</v>
      </c>
      <c r="G5" s="151"/>
      <c r="H5" s="189"/>
      <c r="I5" s="195"/>
      <c r="J5" s="195"/>
    </row>
    <row r="6" spans="1:10" ht="17.45" customHeight="1">
      <c r="A6" s="151"/>
      <c r="B6" s="151"/>
      <c r="E6" s="151"/>
      <c r="F6" s="151"/>
      <c r="G6" s="151"/>
      <c r="H6" s="189"/>
      <c r="I6" s="14"/>
      <c r="J6" s="14"/>
    </row>
    <row r="7" spans="1:10" ht="17.45" customHeight="1">
      <c r="A7" s="175" t="s">
        <v>12</v>
      </c>
      <c r="B7" s="175" t="s">
        <v>13</v>
      </c>
      <c r="E7" s="2" t="s">
        <v>14</v>
      </c>
      <c r="F7" s="176" t="s">
        <v>15</v>
      </c>
      <c r="G7" s="151"/>
      <c r="H7" s="21"/>
    </row>
    <row r="8" spans="1:10" ht="17.45" customHeight="1">
      <c r="A8" s="151"/>
      <c r="B8" s="151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45940</v>
      </c>
      <c r="E9" s="2" t="s">
        <v>19</v>
      </c>
      <c r="F9" s="177">
        <v>16</v>
      </c>
      <c r="G9" s="151"/>
      <c r="H9" s="21"/>
    </row>
    <row r="10" spans="1:10" ht="17.45" customHeight="1">
      <c r="A10" s="2" t="s">
        <v>20</v>
      </c>
      <c r="B10" s="4">
        <v>45940</v>
      </c>
      <c r="E10" s="2" t="s">
        <v>21</v>
      </c>
      <c r="F10" s="21">
        <v>1</v>
      </c>
      <c r="G10" s="178" t="s">
        <v>22</v>
      </c>
      <c r="H10" s="180">
        <v>16</v>
      </c>
      <c r="I10" s="181"/>
      <c r="J10" s="18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79"/>
      <c r="H11" s="179"/>
      <c r="I11" s="169"/>
      <c r="J11" s="183"/>
    </row>
    <row r="12" spans="1:10" ht="13.5" customHeight="1">
      <c r="A12" s="184" t="s">
        <v>25</v>
      </c>
      <c r="B12" s="151"/>
      <c r="C12" s="151"/>
      <c r="D12" s="20"/>
      <c r="F12" s="3"/>
      <c r="G12" s="185" t="s">
        <v>26</v>
      </c>
      <c r="H12" s="187" t="s">
        <v>27</v>
      </c>
      <c r="I12" s="188" t="s">
        <v>28</v>
      </c>
      <c r="J12" s="189"/>
    </row>
    <row r="13" spans="1:10" ht="13.5" customHeight="1">
      <c r="A13" s="151"/>
      <c r="B13" s="151"/>
      <c r="C13" s="151"/>
      <c r="D13" s="20"/>
      <c r="F13" s="3"/>
      <c r="G13" s="186"/>
      <c r="H13" s="186"/>
      <c r="I13" s="169"/>
      <c r="J13" s="183"/>
    </row>
    <row r="14" spans="1:10" ht="13.5" customHeight="1">
      <c r="A14" s="1" t="s">
        <v>29</v>
      </c>
    </row>
    <row r="15" spans="1:10" ht="63" customHeight="1" thickBot="1">
      <c r="A15" s="170"/>
      <c r="B15" s="171"/>
      <c r="C15" s="171"/>
      <c r="D15" s="171"/>
      <c r="E15" s="171"/>
      <c r="F15" s="171"/>
      <c r="G15" s="171"/>
      <c r="H15" s="171"/>
      <c r="I15" s="171"/>
      <c r="J15" s="171"/>
    </row>
    <row r="16" spans="1:10" ht="18.75">
      <c r="A16" s="23" t="s">
        <v>30</v>
      </c>
      <c r="B16" s="16" t="s">
        <v>31</v>
      </c>
      <c r="C16" s="172" t="s">
        <v>32</v>
      </c>
      <c r="D16" s="173"/>
      <c r="E16" s="16" t="s">
        <v>33</v>
      </c>
      <c r="F16" s="172" t="s">
        <v>34</v>
      </c>
      <c r="G16" s="173"/>
      <c r="H16" s="173"/>
      <c r="I16" s="174" t="s">
        <v>35</v>
      </c>
      <c r="J16" s="17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52" t="s">
        <v>37</v>
      </c>
      <c r="D18" s="198"/>
      <c r="E18" s="24" t="s">
        <v>38</v>
      </c>
      <c r="F18" s="152" t="s">
        <v>39</v>
      </c>
      <c r="G18" s="198"/>
      <c r="H18" s="198"/>
      <c r="I18" s="165"/>
      <c r="J18" s="198"/>
    </row>
    <row r="19" spans="1:10" s="7" customFormat="1" ht="16.5" customHeight="1">
      <c r="A19" s="22">
        <v>1</v>
      </c>
      <c r="B19" s="25" t="s">
        <v>36</v>
      </c>
      <c r="C19" s="152" t="s">
        <v>37</v>
      </c>
      <c r="D19" s="198"/>
      <c r="E19" s="24" t="s">
        <v>40</v>
      </c>
      <c r="F19" s="152" t="s">
        <v>41</v>
      </c>
      <c r="G19" s="198"/>
      <c r="H19" s="198"/>
      <c r="I19" s="165"/>
      <c r="J19" s="198"/>
    </row>
    <row r="20" spans="1:10" s="7" customFormat="1" ht="16.5" customHeight="1">
      <c r="A20" s="22"/>
      <c r="B20" s="25"/>
      <c r="C20" s="152"/>
      <c r="D20" s="198"/>
      <c r="E20" s="24"/>
      <c r="F20" s="152"/>
      <c r="G20" s="198"/>
      <c r="H20" s="198"/>
      <c r="I20" s="165"/>
      <c r="J20" s="198"/>
    </row>
    <row r="21" spans="1:10" s="7" customFormat="1" ht="16.5" customHeight="1">
      <c r="A21" s="22"/>
      <c r="B21" s="25"/>
      <c r="C21" s="152"/>
      <c r="D21" s="198"/>
      <c r="E21" s="24"/>
      <c r="F21" s="152"/>
      <c r="G21" s="198"/>
      <c r="H21" s="198"/>
      <c r="I21" s="165"/>
      <c r="J21" s="198"/>
    </row>
    <row r="22" spans="1:10" s="7" customFormat="1" ht="16.5" customHeight="1">
      <c r="A22" s="22"/>
      <c r="B22" s="25"/>
      <c r="C22" s="152"/>
      <c r="D22" s="198"/>
      <c r="E22" s="24"/>
      <c r="F22" s="152"/>
      <c r="G22" s="198"/>
      <c r="H22" s="198"/>
      <c r="I22" s="165"/>
      <c r="J22" s="198"/>
    </row>
    <row r="23" spans="1:10" s="7" customFormat="1" ht="16.5" customHeight="1">
      <c r="A23" s="22"/>
      <c r="B23" s="25"/>
      <c r="C23" s="152"/>
      <c r="D23" s="198"/>
      <c r="E23" s="24"/>
      <c r="F23" s="152"/>
      <c r="G23" s="198"/>
      <c r="H23" s="198"/>
      <c r="I23" s="165"/>
      <c r="J23" s="19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66" t="s">
        <v>42</v>
      </c>
      <c r="B25" s="167"/>
      <c r="C25" s="166" t="s">
        <v>43</v>
      </c>
      <c r="D25" s="167"/>
      <c r="E25" s="167"/>
      <c r="F25" s="17" t="s">
        <v>44</v>
      </c>
      <c r="G25" s="166" t="s">
        <v>45</v>
      </c>
      <c r="H25" s="167"/>
      <c r="I25" s="166" t="s">
        <v>46</v>
      </c>
      <c r="J25" s="167"/>
    </row>
    <row r="26" spans="1:10" ht="14.25" customHeight="1">
      <c r="A26" s="8"/>
      <c r="B26" s="18"/>
      <c r="C26" s="168" t="s">
        <v>47</v>
      </c>
      <c r="D26" s="169"/>
      <c r="E26" s="18"/>
      <c r="F26" s="168" t="s">
        <v>29</v>
      </c>
      <c r="G26" s="169"/>
      <c r="H26" s="169"/>
      <c r="I26" s="169"/>
      <c r="J26" s="169"/>
    </row>
    <row r="27" spans="1:10">
      <c r="A27" s="9"/>
      <c r="C27" s="7"/>
      <c r="D27" s="7"/>
      <c r="E27" s="7"/>
    </row>
    <row r="28" spans="1:10" s="5" customFormat="1" ht="14.25" customHeight="1">
      <c r="A28" s="152" t="s">
        <v>48</v>
      </c>
      <c r="B28" s="199"/>
      <c r="C28" s="152" t="s">
        <v>49</v>
      </c>
      <c r="D28" s="199"/>
      <c r="E28" s="199"/>
      <c r="F28" s="26" t="s">
        <v>50</v>
      </c>
      <c r="G28" s="164">
        <v>16</v>
      </c>
      <c r="H28" s="199"/>
      <c r="I28" s="164">
        <v>1</v>
      </c>
      <c r="J28" s="199"/>
    </row>
    <row r="29" spans="1:10" s="7" customFormat="1" ht="24.95" customHeight="1">
      <c r="A29" s="150" t="s">
        <v>51</v>
      </c>
      <c r="B29" s="198"/>
      <c r="C29" s="152" t="s">
        <v>11</v>
      </c>
      <c r="D29" s="198"/>
      <c r="E29" s="198"/>
      <c r="F29" s="152"/>
      <c r="G29" s="198"/>
      <c r="H29" s="198"/>
      <c r="I29" s="198"/>
      <c r="J29" s="198"/>
    </row>
    <row r="30" spans="1:10" s="5" customFormat="1" ht="14.25" customHeight="1">
      <c r="A30" s="152" t="s">
        <v>52</v>
      </c>
      <c r="B30" s="199"/>
      <c r="C30" s="152" t="s">
        <v>53</v>
      </c>
      <c r="D30" s="199"/>
      <c r="E30" s="199"/>
      <c r="F30" s="26" t="s">
        <v>27</v>
      </c>
      <c r="G30" s="164">
        <v>1.008</v>
      </c>
      <c r="H30" s="199"/>
      <c r="I30" s="164">
        <v>6.3E-2</v>
      </c>
      <c r="J30" s="199"/>
    </row>
    <row r="31" spans="1:10" s="7" customFormat="1" ht="24.95" customHeight="1">
      <c r="A31" s="150" t="s">
        <v>54</v>
      </c>
      <c r="B31" s="198"/>
      <c r="C31" s="152"/>
      <c r="D31" s="198"/>
      <c r="E31" s="198"/>
      <c r="F31" s="152"/>
      <c r="G31" s="198"/>
      <c r="H31" s="198"/>
      <c r="I31" s="198"/>
      <c r="J31" s="198"/>
    </row>
    <row r="32" spans="1:10" s="5" customFormat="1" ht="14.25" customHeight="1">
      <c r="A32" s="152" t="s">
        <v>55</v>
      </c>
      <c r="B32" s="199"/>
      <c r="C32" s="152" t="s">
        <v>56</v>
      </c>
      <c r="D32" s="199"/>
      <c r="E32" s="199"/>
      <c r="F32" s="26"/>
      <c r="G32" s="164">
        <v>9.6000000000000002E-2</v>
      </c>
      <c r="H32" s="199"/>
      <c r="I32" s="164">
        <v>6.0000000000000001E-3</v>
      </c>
      <c r="J32" s="199"/>
    </row>
    <row r="33" spans="1:14" s="7" customFormat="1" ht="24.95" customHeight="1">
      <c r="A33" s="150" t="s">
        <v>57</v>
      </c>
      <c r="B33" s="198"/>
      <c r="C33" s="152" t="s">
        <v>58</v>
      </c>
      <c r="D33" s="198"/>
      <c r="E33" s="198"/>
      <c r="F33" s="152"/>
      <c r="G33" s="198"/>
      <c r="H33" s="198"/>
      <c r="I33" s="198"/>
      <c r="J33" s="198"/>
    </row>
    <row r="34" spans="1:14" s="5" customFormat="1" ht="14.25" customHeight="1">
      <c r="A34" s="152"/>
      <c r="B34" s="199"/>
      <c r="C34" s="152"/>
      <c r="D34" s="199"/>
      <c r="E34" s="199"/>
      <c r="F34" s="26"/>
      <c r="G34" s="164"/>
      <c r="H34" s="199"/>
      <c r="I34" s="164"/>
      <c r="J34" s="199"/>
    </row>
    <row r="35" spans="1:14" s="7" customFormat="1" ht="24.95" customHeight="1">
      <c r="A35" s="150"/>
      <c r="B35" s="198"/>
      <c r="C35" s="152"/>
      <c r="D35" s="198"/>
      <c r="E35" s="198"/>
      <c r="F35" s="152"/>
      <c r="G35" s="198"/>
      <c r="H35" s="198"/>
      <c r="I35" s="198"/>
      <c r="J35" s="198"/>
    </row>
    <row r="36" spans="1:14" s="5" customFormat="1" ht="14.25" customHeight="1">
      <c r="A36" s="152"/>
      <c r="B36" s="199"/>
      <c r="C36" s="152"/>
      <c r="D36" s="199"/>
      <c r="E36" s="199"/>
      <c r="F36" s="26"/>
      <c r="G36" s="164"/>
      <c r="H36" s="199"/>
      <c r="I36" s="164"/>
      <c r="J36" s="199"/>
    </row>
    <row r="37" spans="1:14" s="7" customFormat="1" ht="24.95" customHeight="1" thickBot="1">
      <c r="A37" s="150"/>
      <c r="B37" s="198"/>
      <c r="C37" s="152"/>
      <c r="D37" s="198"/>
      <c r="E37" s="198"/>
      <c r="F37" s="152"/>
      <c r="G37" s="198"/>
      <c r="H37" s="198"/>
      <c r="I37" s="198"/>
      <c r="J37" s="198"/>
    </row>
    <row r="38" spans="1:14" s="5" customFormat="1" ht="18" customHeight="1">
      <c r="A38" s="153" t="s">
        <v>60</v>
      </c>
      <c r="B38" s="154"/>
      <c r="C38" s="154"/>
      <c r="D38" s="154"/>
      <c r="E38" s="155" t="s">
        <v>61</v>
      </c>
      <c r="F38" s="156"/>
      <c r="G38" s="27" t="s">
        <v>62</v>
      </c>
      <c r="H38" s="157" t="s">
        <v>63</v>
      </c>
      <c r="I38" s="158"/>
      <c r="J38" s="28" t="s">
        <v>64</v>
      </c>
    </row>
    <row r="39" spans="1:14" s="7" customFormat="1" ht="18" customHeight="1">
      <c r="A39" s="159" t="str">
        <f>_xlfn.XLOOKUP(B3,[1]VFDB2!A:A,[1]VFDB2!B:B)</f>
        <v>灯具カバーPC IN 2070　L=1966</v>
      </c>
      <c r="B39" s="160"/>
      <c r="C39" s="160"/>
      <c r="D39" s="160"/>
      <c r="E39" s="130" t="str" cm="1">
        <f t="array" ref="E39">IFERROR(IF(ISBLANK(INDEX(_xlfn._xlws.FILTER([1]加工記録２!$C$3:$C$999991, [1]加工記録２!$T$3:$T$999991=B5), 6)), "", INDEX(_xlfn._xlws.FILTER([1]加工記録２!$C$3:$C$999991, [1]加工記録２!$T$3:$T$999991=B5), 6)),"")</f>
        <v/>
      </c>
      <c r="F39" s="131"/>
      <c r="G39" s="163" t="str" cm="1">
        <f t="array" ref="G39">IFERROR(IF(ISBLANK(INDEX(_xlfn._xlws.FILTER([1]加工記録２!$C$3:$C$999991, [1]加工記録２!$T$3:$T$999991=B5), 7)), " ", INDEX(_xlfn._xlws.FILTER([1]加工記録２!$C$3:$C$999991, [1]加工記録２!$T$3:$T$999991=B5), 7))," ")</f>
        <v xml:space="preserve"> </v>
      </c>
      <c r="H39" s="29" t="s">
        <v>65</v>
      </c>
      <c r="I39" s="30" t="str" cm="1">
        <f t="array" ref="I39">IFERROR(IF(ISBLANK(INDEX(_xlfn._xlws.FILTER([1]加工記録２!$O$3:$P$999991, [1]加工記録２!$T$3:$T$999991=B5), 1)), "", INDEX(_xlfn._xlws.FILTER([1]加工記録２!$O$3:$P$999991, [1]加工記録２!$T$3:$T$999991=B5), 1)),"")</f>
        <v/>
      </c>
      <c r="J39" s="31"/>
    </row>
    <row r="40" spans="1:14" s="5" customFormat="1" ht="18" customHeight="1">
      <c r="A40" s="161"/>
      <c r="B40" s="162"/>
      <c r="C40" s="162"/>
      <c r="D40" s="162"/>
      <c r="E40" s="130"/>
      <c r="F40" s="131"/>
      <c r="G40" s="163"/>
      <c r="H40" s="29" t="s">
        <v>66</v>
      </c>
      <c r="I40" s="32" t="str" cm="1">
        <f t="array" ref="I40">IFERROR(IF(ISBLANK(INDEX(_xlfn._xlws.FILTER([1]加工記録２!$O$3:$P$999991, [1]加工記録２!$T$3:$T$999991=B5), 2)), "", INDEX(_xlfn._xlws.FILTER([1]加工記録２!$O$3:$P$999991, [1]加工記録２!$T$3:$T$999991=B5), 2)),"")</f>
        <v/>
      </c>
      <c r="J40" s="33"/>
      <c r="K40" s="34"/>
    </row>
    <row r="41" spans="1:14" s="7" customFormat="1" ht="18" customHeight="1">
      <c r="A41" s="122" t="s">
        <v>67</v>
      </c>
      <c r="B41" s="137" t="str">
        <f>_xlfn.XLOOKUP(B3,[1]VFDB2!A:A,[1]VFDB2!J:J)</f>
        <v>-</v>
      </c>
      <c r="C41" s="139" t="s">
        <v>68</v>
      </c>
      <c r="D41" s="141">
        <f>_xlfn.XLOOKUP(B3,[1]VFDB2!A:A,[1]VFDB2!P:P)</f>
        <v>1</v>
      </c>
      <c r="E41" s="130" t="str">
        <f>_xlfn.XLOOKUP(B3,[1]VFDB2!A:A,[1]VFDB2!V:V)</f>
        <v>梱包箱:1996</v>
      </c>
      <c r="F41" s="131"/>
      <c r="G41" s="132"/>
      <c r="H41" s="35" t="s">
        <v>69</v>
      </c>
      <c r="I41" s="32" t="str" cm="1">
        <f t="array" ref="I41">IFERROR(IF(ISBLANK(INDEX(_xlfn._xlws.FILTER([1]加工記録２!$O$3:$P$999991, [1]加工記録２!$T$3:$T$999991=B5), 3)), "", INDEX(_xlfn._xlws.FILTER([1]加工記録２!$O$3:$P$999991, [1]加工記録２!$T$3:$T$999991=B5), 3)),"")</f>
        <v/>
      </c>
      <c r="J41" s="36"/>
      <c r="K41" s="37"/>
    </row>
    <row r="42" spans="1:14" s="5" customFormat="1" ht="18" customHeight="1">
      <c r="A42" s="136"/>
      <c r="B42" s="138"/>
      <c r="C42" s="140"/>
      <c r="D42" s="142"/>
      <c r="E42" s="130"/>
      <c r="F42" s="131"/>
      <c r="G42" s="132"/>
      <c r="H42" s="35" t="s">
        <v>70</v>
      </c>
      <c r="I42" s="32" t="str" cm="1">
        <f t="array" ref="I42">IFERROR(IF(ISBLANK(INDEX(_xlfn._xlws.FILTER([1]加工記録２!$O$3:$P$999991, [1]加工記録２!$T$3:$T$999991=B5), 4)), "", INDEX(_xlfn._xlws.FILTER([1]加工記録２!$O$3:$P$999991, [1]加工記録２!$T$3:$T$999991=B5), 4)),"")</f>
        <v/>
      </c>
      <c r="J42" s="38"/>
      <c r="K42" s="34"/>
    </row>
    <row r="43" spans="1:14" s="7" customFormat="1" ht="18" customHeight="1">
      <c r="A43" s="143" t="s">
        <v>71</v>
      </c>
      <c r="B43" s="145">
        <f>D3</f>
        <v>1966</v>
      </c>
      <c r="C43" s="147" t="s">
        <v>72</v>
      </c>
      <c r="D43" s="128" t="str">
        <f>_xlfn.XLOOKUP(B3,[1]VFDB2!A:A,[1]VFDB2!L:L)</f>
        <v>+2</v>
      </c>
      <c r="E43" s="130" t="str">
        <f>_xlfn.XLOOKUP(B3,[1]VFDB2!A:A,[1]VFDB2!W:W)</f>
        <v>クラフト紙：1996型</v>
      </c>
      <c r="F43" s="131"/>
      <c r="G43" s="132"/>
      <c r="H43" s="35" t="s">
        <v>73</v>
      </c>
      <c r="I43" s="32" t="str" cm="1">
        <f t="array" ref="I43">IFERROR(IF(ISBLANK(INDEX(_xlfn._xlws.FILTER([1]加工記録２!$O$3:$P$999991, [1]加工記録２!$T$3:$T$999991=B5), 5)), "", INDEX(_xlfn._xlws.FILTER([1]加工記録２!$O$3:$P$999991, [1]加工記録２!$T$3:$T$999991=B5), 5)),"")</f>
        <v/>
      </c>
      <c r="J43" s="39"/>
      <c r="K43" s="37"/>
    </row>
    <row r="44" spans="1:14" s="5" customFormat="1" ht="18" customHeight="1">
      <c r="A44" s="144"/>
      <c r="B44" s="146"/>
      <c r="C44" s="148"/>
      <c r="D44" s="149"/>
      <c r="E44" s="130"/>
      <c r="F44" s="131"/>
      <c r="G44" s="132"/>
      <c r="H44" s="35" t="s">
        <v>74</v>
      </c>
      <c r="I44" s="32" t="str" cm="1">
        <f t="array" ref="I44">IFERROR(IF(ISBLANK(INDEX(_xlfn._xlws.FILTER([1]加工記録２!$O$3:$P$999991, [1]加工記録２!$T$3:$T$999991=B5), 6)), "", INDEX(_xlfn._xlws.FILTER([1]加工記録２!$O$3:$P$999991, [1]加工記録２!$T$3:$T$999991=B5), 6)),"")</f>
        <v/>
      </c>
      <c r="J44" s="40"/>
      <c r="K44" s="34"/>
    </row>
    <row r="45" spans="1:14" s="7" customFormat="1" ht="18" customHeight="1">
      <c r="A45" s="122" t="s">
        <v>75</v>
      </c>
      <c r="B45" s="124" t="str">
        <f>_xlfn.XLOOKUP(B3,[1]VFDB2!A:A,[1]VFDB2!AC:AC)</f>
        <v>換算表確認</v>
      </c>
      <c r="C45" s="126" t="s">
        <v>76</v>
      </c>
      <c r="D45" s="128">
        <f>_xlfn.XLOOKUP(B3,[1]VFDB2!A:A,[1]VFDB2!K:K)</f>
        <v>-2</v>
      </c>
      <c r="E45" s="130" t="str">
        <f>_xlfn.XLOOKUP(B3,[1]VFDB2!A:A,[1]VFDB2!R:R)</f>
        <v>ラベル2枚　長手有　鉢巻１</v>
      </c>
      <c r="F45" s="131"/>
      <c r="G45" s="132"/>
      <c r="H45" s="35" t="s">
        <v>77</v>
      </c>
      <c r="I45" s="32" t="str" cm="1">
        <f t="array" ref="I45">IFERROR(IF(ISBLANK(INDEX(_xlfn._xlws.FILTER([1]加工記録２!$O$3:$P$999991, [1]加工記録２!$T$3:$T$999991=B5), 7)), "", INDEX(_xlfn._xlws.FILTER([1]加工記録２!$O$3:$P$999991, [1]加工記録２!$T$3:$T$999991=B5), 7)),"")</f>
        <v/>
      </c>
      <c r="J45" s="41"/>
      <c r="K45" s="37"/>
    </row>
    <row r="46" spans="1:14" s="5" customFormat="1" ht="18" customHeight="1" thickBot="1">
      <c r="A46" s="123"/>
      <c r="B46" s="125"/>
      <c r="C46" s="127"/>
      <c r="D46" s="129"/>
      <c r="E46" s="133"/>
      <c r="F46" s="134"/>
      <c r="G46" s="135"/>
      <c r="H46" s="42" t="s">
        <v>78</v>
      </c>
      <c r="I46" s="43" t="str" cm="1">
        <f t="array" ref="I46">IFERROR(IF(ISBLANK(INDEX(_xlfn._xlws.FILTER([1]加工記録２!$O$3:$P$999991, [1]加工記録２!$T$3:$T$999991=B5), 8)), "", INDEX(_xlfn._xlws.FILTER([1]加工記録２!$O$3:$P$999991, [1]加工記録２!$T$3:$T$999991=B5), 8)),"")</f>
        <v/>
      </c>
      <c r="J46" s="44"/>
    </row>
    <row r="47" spans="1:14" s="55" customFormat="1" ht="18.95" customHeight="1">
      <c r="A47" s="45" t="s">
        <v>79</v>
      </c>
      <c r="B47" s="46" t="s">
        <v>80</v>
      </c>
      <c r="C47" s="47" t="s">
        <v>81</v>
      </c>
      <c r="D47" s="47" t="s">
        <v>82</v>
      </c>
      <c r="E47" s="48" t="s">
        <v>83</v>
      </c>
      <c r="F47" s="49" t="s">
        <v>84</v>
      </c>
      <c r="G47" s="50" t="s">
        <v>85</v>
      </c>
      <c r="H47" s="51" t="s">
        <v>86</v>
      </c>
      <c r="I47" s="52" t="s">
        <v>87</v>
      </c>
      <c r="J47" s="53" t="s">
        <v>88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">IFERROR(IF(ISBLANK(INDEX(_xlfn._xlws.FILTER([1]加工記録２!$D$3:$M$999991, [1]加工記録２!$T$3:$T$999991=B5), 1)), "", INDEX(_xlfn._xlws.FILTER([1]加工記録２!$D$3:$M$999991, [1]加工記録２!$T$3:$T$999991=B5), 1)),"")</f>
        <v/>
      </c>
      <c r="B48" s="57"/>
      <c r="C48" s="58"/>
      <c r="D48" s="58"/>
      <c r="E48" s="59"/>
      <c r="F48" s="60"/>
      <c r="G48" s="61"/>
      <c r="H48" s="62"/>
      <c r="I48" s="63"/>
      <c r="J48" s="64"/>
      <c r="K48" s="65"/>
      <c r="L48" s="65"/>
      <c r="M48" s="65"/>
      <c r="N48" s="65"/>
    </row>
    <row r="49" spans="1:14" s="66" customFormat="1" ht="18.95" customHeight="1">
      <c r="A49" s="67" t="str" cm="1">
        <f t="array" ref="A49">IFERROR(IF(ISBLANK(INDEX(_xlfn._xlws.FILTER([1]加工記録２!$D$3:$M$999991, [1]加工記録２!$T$3:$T$999991=B5), 2)), "", INDEX(_xlfn._xlws.FILTER([1]加工記録２!$D$3:$M$999991, [1]加工記録２!$T$3:$T$999991=B5), 2)),"")</f>
        <v/>
      </c>
      <c r="B49" s="68"/>
      <c r="C49" s="68"/>
      <c r="D49" s="68"/>
      <c r="E49" s="69"/>
      <c r="F49" s="70"/>
      <c r="G49" s="71"/>
      <c r="H49" s="72"/>
      <c r="I49" s="63"/>
      <c r="J49" s="64"/>
      <c r="K49" s="65"/>
      <c r="L49" s="65"/>
      <c r="M49" s="65"/>
      <c r="N49" s="65"/>
    </row>
    <row r="50" spans="1:14" s="66" customFormat="1" ht="18.95" customHeight="1">
      <c r="A50" s="67" t="str" cm="1">
        <f t="array" ref="A50">IFERROR(IF(ISBLANK(INDEX(_xlfn._xlws.FILTER([1]加工記録２!$D$3:$M$999991, [1]加工記録２!$T$3:$T$999991=B5), 3)), "", INDEX(_xlfn._xlws.FILTER([1]加工記録２!$D$3:$M$999991, [1]加工記録２!$T$3:$T$999991=B5), 3)),"")</f>
        <v/>
      </c>
      <c r="B50" s="68"/>
      <c r="C50" s="68"/>
      <c r="D50" s="68"/>
      <c r="E50" s="69"/>
      <c r="F50" s="70"/>
      <c r="G50" s="71"/>
      <c r="H50" s="72"/>
      <c r="I50" s="63"/>
      <c r="J50" s="64"/>
      <c r="K50" s="65"/>
      <c r="L50" s="65"/>
      <c r="M50" s="65"/>
      <c r="N50" s="65"/>
    </row>
    <row r="51" spans="1:14" s="66" customFormat="1" ht="18.95" customHeight="1">
      <c r="A51" s="67" t="str" cm="1">
        <f t="array" ref="A51">IFERROR(IF(ISBLANK(INDEX(_xlfn._xlws.FILTER([1]加工記録２!$D$3:$M$999991, [1]加工記録２!$T$3:$T$999991=B5), 4)), "", INDEX(_xlfn._xlws.FILTER([1]加工記録２!$D$3:$M$999991, [1]加工記録２!$T$3:$T$999991=B5), 4)),"")</f>
        <v/>
      </c>
      <c r="B51" s="68"/>
      <c r="C51" s="68"/>
      <c r="D51" s="68"/>
      <c r="E51" s="69"/>
      <c r="F51" s="70"/>
      <c r="G51" s="71"/>
      <c r="H51" s="72"/>
      <c r="I51" s="63"/>
      <c r="J51" s="64"/>
      <c r="K51" s="65"/>
      <c r="L51" s="65"/>
      <c r="M51" s="65"/>
      <c r="N51" s="65"/>
    </row>
    <row r="52" spans="1:14" s="66" customFormat="1" ht="18.95" customHeight="1">
      <c r="A52" s="67" t="str" cm="1">
        <f t="array" ref="A52">IFERROR(IF(ISBLANK(INDEX(_xlfn._xlws.FILTER([1]加工記録２!$D$3:$M$999991, [1]加工記録２!$T$3:$T$999991=B5), 5)), "", INDEX(_xlfn._xlws.FILTER([1]加工記録２!$D$3:$M$999991, [1]加工記録２!$T$3:$T$999991=B5), 5)),"")</f>
        <v/>
      </c>
      <c r="B52" s="68"/>
      <c r="C52" s="68"/>
      <c r="D52" s="68"/>
      <c r="E52" s="69"/>
      <c r="F52" s="70"/>
      <c r="G52" s="71"/>
      <c r="H52" s="72"/>
      <c r="I52" s="73"/>
      <c r="J52" s="74"/>
      <c r="K52" s="65"/>
      <c r="L52" s="65"/>
      <c r="M52" s="65"/>
      <c r="N52" s="65"/>
    </row>
    <row r="53" spans="1:14" s="66" customFormat="1" ht="18.95" customHeight="1">
      <c r="A53" s="67" t="str" cm="1">
        <f t="array" ref="A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/>
      <c r="C53" s="68"/>
      <c r="D53" s="68"/>
      <c r="E53" s="69"/>
      <c r="F53" s="70"/>
      <c r="G53" s="71"/>
      <c r="H53" s="75"/>
      <c r="I53" s="76"/>
      <c r="J53" s="77"/>
      <c r="K53" s="65"/>
      <c r="L53" s="65"/>
      <c r="M53" s="65"/>
      <c r="N53" s="65"/>
    </row>
    <row r="54" spans="1:14" s="66" customFormat="1" ht="18.95" customHeight="1">
      <c r="A54" s="67" t="str" cm="1">
        <f t="array" ref="A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/>
      <c r="C54" s="68"/>
      <c r="D54" s="68"/>
      <c r="E54" s="69"/>
      <c r="F54" s="70"/>
      <c r="G54" s="71"/>
      <c r="H54" s="75"/>
      <c r="I54" s="78"/>
      <c r="J54" s="79"/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/>
      <c r="C55" s="81"/>
      <c r="D55" s="81"/>
      <c r="E55" s="82"/>
      <c r="F55" s="83"/>
      <c r="G55" s="84"/>
      <c r="H55" s="85"/>
      <c r="I55" s="86"/>
      <c r="J55" s="87"/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90" t="s">
        <v>0</v>
      </c>
      <c r="C58" s="151"/>
      <c r="D58" s="151"/>
      <c r="E58" s="11"/>
      <c r="F58" s="11"/>
      <c r="G58" s="11"/>
      <c r="H58" s="11"/>
      <c r="I58" s="11"/>
      <c r="J58" s="11"/>
    </row>
    <row r="59" spans="1:14" ht="14.25" customHeight="1">
      <c r="A59" s="12"/>
      <c r="B59" s="151"/>
      <c r="C59" s="151"/>
      <c r="D59" s="151"/>
      <c r="E59" s="12"/>
      <c r="F59" s="12"/>
      <c r="G59" s="12"/>
      <c r="H59" s="12"/>
      <c r="I59" s="12"/>
      <c r="J59" s="12"/>
    </row>
    <row r="60" spans="1:14" ht="14.25" customHeight="1">
      <c r="A60" s="191" t="s">
        <v>1</v>
      </c>
      <c r="B60" s="191" t="s">
        <v>2</v>
      </c>
      <c r="C60" s="191" t="s">
        <v>3</v>
      </c>
      <c r="D60" s="192">
        <v>1966</v>
      </c>
      <c r="E60" s="191" t="s">
        <v>4</v>
      </c>
      <c r="F60" s="193" t="s">
        <v>5</v>
      </c>
      <c r="G60" s="151"/>
      <c r="H60" s="189"/>
      <c r="I60" s="13" t="s">
        <v>6</v>
      </c>
      <c r="J60" s="13" t="s">
        <v>7</v>
      </c>
    </row>
    <row r="61" spans="1:14" ht="14.25" customHeight="1">
      <c r="A61" s="151"/>
      <c r="B61" s="151"/>
      <c r="C61" s="151"/>
      <c r="D61" s="151"/>
      <c r="E61" s="151"/>
      <c r="F61" s="151"/>
      <c r="G61" s="151"/>
      <c r="H61" s="189"/>
      <c r="I61" s="194"/>
      <c r="J61" s="194"/>
    </row>
    <row r="62" spans="1:14" ht="17.45" customHeight="1">
      <c r="A62" s="175" t="s">
        <v>8</v>
      </c>
      <c r="B62" s="196" t="s">
        <v>89</v>
      </c>
      <c r="E62" s="175" t="s">
        <v>10</v>
      </c>
      <c r="F62" s="197" t="s">
        <v>11</v>
      </c>
      <c r="G62" s="151"/>
      <c r="H62" s="189"/>
      <c r="I62" s="195"/>
      <c r="J62" s="195"/>
    </row>
    <row r="63" spans="1:14" ht="17.45" customHeight="1">
      <c r="A63" s="151"/>
      <c r="B63" s="151"/>
      <c r="E63" s="151"/>
      <c r="F63" s="151"/>
      <c r="G63" s="151"/>
      <c r="H63" s="189"/>
      <c r="I63" s="14"/>
      <c r="J63" s="14"/>
    </row>
    <row r="64" spans="1:14" ht="17.45" customHeight="1">
      <c r="A64" s="175" t="s">
        <v>12</v>
      </c>
      <c r="B64" s="175" t="s">
        <v>59</v>
      </c>
      <c r="E64" s="2" t="s">
        <v>14</v>
      </c>
      <c r="F64" s="176" t="s">
        <v>15</v>
      </c>
      <c r="G64" s="151"/>
      <c r="H64" s="21"/>
    </row>
    <row r="65" spans="1:10" ht="17.45" customHeight="1">
      <c r="A65" s="151"/>
      <c r="B65" s="151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45950</v>
      </c>
      <c r="E66" s="2" t="s">
        <v>19</v>
      </c>
      <c r="F66" s="177">
        <v>16</v>
      </c>
      <c r="G66" s="151"/>
      <c r="H66" s="21"/>
    </row>
    <row r="67" spans="1:10" ht="17.45" customHeight="1">
      <c r="A67" s="2" t="s">
        <v>20</v>
      </c>
      <c r="B67" s="4">
        <v>45950</v>
      </c>
      <c r="E67" s="2" t="s">
        <v>21</v>
      </c>
      <c r="F67" s="21">
        <v>24</v>
      </c>
      <c r="G67" s="178" t="s">
        <v>22</v>
      </c>
      <c r="H67" s="180">
        <v>384</v>
      </c>
      <c r="I67" s="181"/>
      <c r="J67" s="18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79"/>
      <c r="H68" s="179"/>
      <c r="I68" s="169"/>
      <c r="J68" s="183"/>
    </row>
    <row r="69" spans="1:10" ht="13.5" customHeight="1">
      <c r="A69" s="184" t="s">
        <v>25</v>
      </c>
      <c r="B69" s="151"/>
      <c r="C69" s="151"/>
      <c r="D69" s="20"/>
      <c r="F69" s="3"/>
      <c r="G69" s="185" t="s">
        <v>26</v>
      </c>
      <c r="H69" s="187" t="s">
        <v>27</v>
      </c>
      <c r="I69" s="188" t="s">
        <v>28</v>
      </c>
      <c r="J69" s="189"/>
    </row>
    <row r="70" spans="1:10" ht="13.5" customHeight="1">
      <c r="A70" s="151"/>
      <c r="B70" s="151"/>
      <c r="C70" s="151"/>
      <c r="D70" s="20"/>
      <c r="F70" s="3"/>
      <c r="G70" s="186"/>
      <c r="H70" s="186"/>
      <c r="I70" s="169"/>
      <c r="J70" s="183"/>
    </row>
    <row r="71" spans="1:10" ht="13.5" customHeight="1">
      <c r="A71" s="1" t="s">
        <v>29</v>
      </c>
    </row>
    <row r="72" spans="1:10" ht="63" customHeight="1">
      <c r="A72" s="170"/>
      <c r="B72" s="171"/>
      <c r="C72" s="171"/>
      <c r="D72" s="171"/>
      <c r="E72" s="171"/>
      <c r="F72" s="171"/>
      <c r="G72" s="171"/>
      <c r="H72" s="171"/>
      <c r="I72" s="171"/>
      <c r="J72" s="171"/>
    </row>
    <row r="73" spans="1:10" ht="18.75">
      <c r="A73" s="23" t="s">
        <v>30</v>
      </c>
      <c r="B73" s="16" t="s">
        <v>31</v>
      </c>
      <c r="C73" s="172" t="s">
        <v>32</v>
      </c>
      <c r="D73" s="173"/>
      <c r="E73" s="16" t="s">
        <v>33</v>
      </c>
      <c r="F73" s="172" t="s">
        <v>34</v>
      </c>
      <c r="G73" s="173"/>
      <c r="H73" s="173"/>
      <c r="I73" s="174" t="s">
        <v>35</v>
      </c>
      <c r="J73" s="173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52" t="s">
        <v>37</v>
      </c>
      <c r="D75" s="151"/>
      <c r="E75" s="24" t="s">
        <v>38</v>
      </c>
      <c r="F75" s="152" t="s">
        <v>39</v>
      </c>
      <c r="G75" s="151"/>
      <c r="H75" s="151"/>
      <c r="I75" s="165"/>
      <c r="J75" s="151"/>
    </row>
    <row r="76" spans="1:10" ht="16.5" customHeight="1">
      <c r="A76" s="22">
        <v>1</v>
      </c>
      <c r="B76" s="25" t="s">
        <v>36</v>
      </c>
      <c r="C76" s="152" t="s">
        <v>37</v>
      </c>
      <c r="D76" s="151"/>
      <c r="E76" s="24" t="s">
        <v>40</v>
      </c>
      <c r="F76" s="152" t="s">
        <v>41</v>
      </c>
      <c r="G76" s="151"/>
      <c r="H76" s="151"/>
      <c r="I76" s="165"/>
      <c r="J76" s="151"/>
    </row>
    <row r="77" spans="1:10" ht="16.5" customHeight="1">
      <c r="A77" s="22"/>
      <c r="B77" s="25"/>
      <c r="C77" s="152"/>
      <c r="D77" s="151"/>
      <c r="E77" s="24"/>
      <c r="F77" s="152"/>
      <c r="G77" s="151"/>
      <c r="H77" s="151"/>
      <c r="I77" s="165"/>
      <c r="J77" s="151"/>
    </row>
    <row r="78" spans="1:10" ht="16.5" customHeight="1">
      <c r="A78" s="22"/>
      <c r="B78" s="25"/>
      <c r="C78" s="152"/>
      <c r="D78" s="151"/>
      <c r="E78" s="24"/>
      <c r="F78" s="152"/>
      <c r="G78" s="151"/>
      <c r="H78" s="151"/>
      <c r="I78" s="165"/>
      <c r="J78" s="151"/>
    </row>
    <row r="79" spans="1:10" ht="16.5" customHeight="1">
      <c r="A79" s="22"/>
      <c r="B79" s="25"/>
      <c r="C79" s="152"/>
      <c r="D79" s="151"/>
      <c r="E79" s="24"/>
      <c r="F79" s="152"/>
      <c r="G79" s="151"/>
      <c r="H79" s="151"/>
      <c r="I79" s="165"/>
      <c r="J79" s="151"/>
    </row>
    <row r="80" spans="1:10" ht="16.5" customHeight="1">
      <c r="A80" s="22"/>
      <c r="B80" s="25"/>
      <c r="C80" s="152"/>
      <c r="D80" s="151"/>
      <c r="E80" s="24"/>
      <c r="F80" s="152"/>
      <c r="G80" s="151"/>
      <c r="H80" s="151"/>
      <c r="I80" s="165"/>
      <c r="J80" s="151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66" t="s">
        <v>42</v>
      </c>
      <c r="B82" s="167"/>
      <c r="C82" s="166" t="s">
        <v>43</v>
      </c>
      <c r="D82" s="167"/>
      <c r="E82" s="167"/>
      <c r="F82" s="17" t="s">
        <v>44</v>
      </c>
      <c r="G82" s="166" t="s">
        <v>45</v>
      </c>
      <c r="H82" s="167"/>
      <c r="I82" s="166" t="s">
        <v>46</v>
      </c>
      <c r="J82" s="167"/>
    </row>
    <row r="83" spans="1:10" ht="14.25" customHeight="1">
      <c r="A83" s="8"/>
      <c r="B83" s="18"/>
      <c r="C83" s="168" t="s">
        <v>47</v>
      </c>
      <c r="D83" s="169"/>
      <c r="E83" s="18"/>
      <c r="F83" s="168" t="s">
        <v>29</v>
      </c>
      <c r="G83" s="169"/>
      <c r="H83" s="169"/>
      <c r="I83" s="169"/>
      <c r="J83" s="169"/>
    </row>
    <row r="84" spans="1:10">
      <c r="A84" s="9"/>
      <c r="C84" s="7"/>
      <c r="D84" s="7"/>
      <c r="E84" s="7"/>
    </row>
    <row r="85" spans="1:10" ht="14.25" customHeight="1">
      <c r="A85" s="152" t="s">
        <v>48</v>
      </c>
      <c r="B85" s="151"/>
      <c r="C85" s="152" t="s">
        <v>49</v>
      </c>
      <c r="D85" s="151"/>
      <c r="E85" s="151"/>
      <c r="F85" s="26" t="s">
        <v>50</v>
      </c>
      <c r="G85" s="164">
        <v>384</v>
      </c>
      <c r="H85" s="151"/>
      <c r="I85" s="164">
        <v>24</v>
      </c>
      <c r="J85" s="151"/>
    </row>
    <row r="86" spans="1:10" ht="24.95" customHeight="1">
      <c r="A86" s="150" t="s">
        <v>51</v>
      </c>
      <c r="B86" s="151"/>
      <c r="C86" s="152" t="s">
        <v>11</v>
      </c>
      <c r="D86" s="151"/>
      <c r="E86" s="151"/>
      <c r="F86" s="152"/>
      <c r="G86" s="151"/>
      <c r="H86" s="151"/>
      <c r="I86" s="151"/>
      <c r="J86" s="151"/>
    </row>
    <row r="87" spans="1:10" ht="14.25" customHeight="1">
      <c r="A87" s="152" t="s">
        <v>52</v>
      </c>
      <c r="B87" s="151"/>
      <c r="C87" s="152" t="s">
        <v>53</v>
      </c>
      <c r="D87" s="151"/>
      <c r="E87" s="151"/>
      <c r="F87" s="26" t="s">
        <v>27</v>
      </c>
      <c r="G87" s="164">
        <v>24.192</v>
      </c>
      <c r="H87" s="151"/>
      <c r="I87" s="164">
        <v>1.512</v>
      </c>
      <c r="J87" s="151"/>
    </row>
    <row r="88" spans="1:10" ht="24.95" customHeight="1">
      <c r="A88" s="150" t="s">
        <v>54</v>
      </c>
      <c r="B88" s="151"/>
      <c r="C88" s="152"/>
      <c r="D88" s="151"/>
      <c r="E88" s="151"/>
      <c r="F88" s="152"/>
      <c r="G88" s="151"/>
      <c r="H88" s="151"/>
      <c r="I88" s="151"/>
      <c r="J88" s="151"/>
    </row>
    <row r="89" spans="1:10" ht="14.25" customHeight="1">
      <c r="A89" s="152" t="s">
        <v>55</v>
      </c>
      <c r="B89" s="151"/>
      <c r="C89" s="152" t="s">
        <v>56</v>
      </c>
      <c r="D89" s="151"/>
      <c r="E89" s="151"/>
      <c r="F89" s="26"/>
      <c r="G89" s="164">
        <v>2.3039999999999998</v>
      </c>
      <c r="H89" s="151"/>
      <c r="I89" s="164">
        <v>0.14399999999999999</v>
      </c>
      <c r="J89" s="151"/>
    </row>
    <row r="90" spans="1:10" ht="24.95" customHeight="1">
      <c r="A90" s="150" t="s">
        <v>57</v>
      </c>
      <c r="B90" s="151"/>
      <c r="C90" s="152" t="s">
        <v>58</v>
      </c>
      <c r="D90" s="151"/>
      <c r="E90" s="151"/>
      <c r="F90" s="152"/>
      <c r="G90" s="151"/>
      <c r="H90" s="151"/>
      <c r="I90" s="151"/>
      <c r="J90" s="151"/>
    </row>
    <row r="91" spans="1:10" ht="14.25" customHeight="1">
      <c r="A91" s="152"/>
      <c r="B91" s="151"/>
      <c r="C91" s="152"/>
      <c r="D91" s="151"/>
      <c r="E91" s="151"/>
      <c r="F91" s="26"/>
      <c r="G91" s="164"/>
      <c r="H91" s="151"/>
      <c r="I91" s="164"/>
      <c r="J91" s="151"/>
    </row>
    <row r="92" spans="1:10" ht="24.95" customHeight="1">
      <c r="A92" s="150"/>
      <c r="B92" s="151"/>
      <c r="C92" s="152"/>
      <c r="D92" s="151"/>
      <c r="E92" s="151"/>
      <c r="F92" s="152"/>
      <c r="G92" s="151"/>
      <c r="H92" s="151"/>
      <c r="I92" s="151"/>
      <c r="J92" s="151"/>
    </row>
    <row r="93" spans="1:10" ht="14.25" customHeight="1">
      <c r="A93" s="152"/>
      <c r="B93" s="151"/>
      <c r="C93" s="152"/>
      <c r="D93" s="151"/>
      <c r="E93" s="151"/>
      <c r="F93" s="26"/>
      <c r="G93" s="164"/>
      <c r="H93" s="151"/>
      <c r="I93" s="164"/>
      <c r="J93" s="151"/>
    </row>
    <row r="94" spans="1:10" ht="24.95" customHeight="1" thickBot="1">
      <c r="A94" s="150"/>
      <c r="B94" s="151"/>
      <c r="C94" s="152"/>
      <c r="D94" s="151"/>
      <c r="E94" s="151"/>
      <c r="F94" s="152"/>
      <c r="G94" s="151"/>
      <c r="H94" s="151"/>
      <c r="I94" s="151"/>
      <c r="J94" s="151"/>
    </row>
    <row r="95" spans="1:10" s="5" customFormat="1" ht="18" customHeight="1">
      <c r="A95" s="153" t="s">
        <v>60</v>
      </c>
      <c r="B95" s="154"/>
      <c r="C95" s="154"/>
      <c r="D95" s="154"/>
      <c r="E95" s="155" t="s">
        <v>61</v>
      </c>
      <c r="F95" s="156"/>
      <c r="G95" s="27" t="s">
        <v>62</v>
      </c>
      <c r="H95" s="157" t="s">
        <v>63</v>
      </c>
      <c r="I95" s="158"/>
      <c r="J95" s="28" t="s">
        <v>64</v>
      </c>
    </row>
    <row r="96" spans="1:10" s="7" customFormat="1" ht="18" customHeight="1">
      <c r="A96" s="159" t="str">
        <f>_xlfn.XLOOKUP(B60,[1]VFDB2!A:A,[1]VFDB2!B:B)</f>
        <v>灯具カバーPC IN 2070　L=1966</v>
      </c>
      <c r="B96" s="160"/>
      <c r="C96" s="160"/>
      <c r="D96" s="160"/>
      <c r="E96" s="130" t="str" cm="1">
        <f t="array" ref="E96">IFERROR(IF(ISBLANK(INDEX(_xlfn._xlws.FILTER([1]加工記録２!$C$3:$C$999991, [1]加工記録２!$T$3:$T$999991=B62), 6)), "", INDEX(_xlfn._xlws.FILTER([1]加工記録２!$C$3:$C$999991, [1]加工記録２!$T$3:$T$999991=B62), 6)),"")</f>
        <v/>
      </c>
      <c r="F96" s="131"/>
      <c r="G96" s="163" t="str" cm="1">
        <f t="array" ref="G96">IFERROR(IF(ISBLANK(INDEX(_xlfn._xlws.FILTER([1]加工記録２!$C$3:$C$999991, [1]加工記録２!$T$3:$T$999991=B62), 7)), " ", INDEX(_xlfn._xlws.FILTER([1]加工記録２!$C$3:$C$999991, [1]加工記録２!$T$3:$T$999991=B62), 7))," ")</f>
        <v xml:space="preserve"> </v>
      </c>
      <c r="H96" s="29" t="s">
        <v>65</v>
      </c>
      <c r="I96" s="30" t="str" cm="1">
        <f t="array" ref="I96">IFERROR(IF(ISBLANK(INDEX(_xlfn._xlws.FILTER([1]加工記録２!$O$3:$P$999991, [1]加工記録２!$T$3:$T$999991=B62), 1)), "", INDEX(_xlfn._xlws.FILTER([1]加工記録２!$O$3:$P$999991, [1]加工記録２!$T$3:$T$999991=B62), 1)),"")</f>
        <v/>
      </c>
      <c r="J96" s="31"/>
    </row>
    <row r="97" spans="1:14" s="5" customFormat="1" ht="18" customHeight="1">
      <c r="A97" s="161"/>
      <c r="B97" s="162"/>
      <c r="C97" s="162"/>
      <c r="D97" s="162"/>
      <c r="E97" s="130"/>
      <c r="F97" s="131"/>
      <c r="G97" s="163"/>
      <c r="H97" s="29" t="s">
        <v>66</v>
      </c>
      <c r="I97" s="32" t="str" cm="1">
        <f t="array" ref="I97">IFERROR(IF(ISBLANK(INDEX(_xlfn._xlws.FILTER([1]加工記録２!$O$3:$P$999991, [1]加工記録２!$T$3:$T$999991=B62), 2)), "", INDEX(_xlfn._xlws.FILTER([1]加工記録２!$O$3:$P$999991, [1]加工記録２!$T$3:$T$999991=B62), 2)),"")</f>
        <v/>
      </c>
      <c r="J97" s="33"/>
      <c r="K97" s="34"/>
    </row>
    <row r="98" spans="1:14" s="7" customFormat="1" ht="18" customHeight="1">
      <c r="A98" s="122" t="s">
        <v>67</v>
      </c>
      <c r="B98" s="137" t="str">
        <f>_xlfn.XLOOKUP(B60,[1]VFDB2!A:A,[1]VFDB2!J:J)</f>
        <v>-</v>
      </c>
      <c r="C98" s="139" t="s">
        <v>68</v>
      </c>
      <c r="D98" s="141">
        <f>_xlfn.XLOOKUP(B60,[1]VFDB2!A:A,[1]VFDB2!P:P)</f>
        <v>1</v>
      </c>
      <c r="E98" s="130" t="str">
        <f>_xlfn.XLOOKUP(B60,[1]VFDB2!A:A,[1]VFDB2!V:V)</f>
        <v>梱包箱:1996</v>
      </c>
      <c r="F98" s="131"/>
      <c r="G98" s="132"/>
      <c r="H98" s="35" t="s">
        <v>69</v>
      </c>
      <c r="I98" s="32" t="str" cm="1">
        <f t="array" ref="I98">IFERROR(IF(ISBLANK(INDEX(_xlfn._xlws.FILTER([1]加工記録２!$O$3:$P$999991, [1]加工記録２!$T$3:$T$999991=B62), 3)), "", INDEX(_xlfn._xlws.FILTER([1]加工記録２!$O$3:$P$999991, [1]加工記録２!$T$3:$T$999991=B62), 3)),"")</f>
        <v/>
      </c>
      <c r="J98" s="36"/>
      <c r="K98" s="37"/>
    </row>
    <row r="99" spans="1:14" s="5" customFormat="1" ht="18" customHeight="1">
      <c r="A99" s="136"/>
      <c r="B99" s="138"/>
      <c r="C99" s="140"/>
      <c r="D99" s="142"/>
      <c r="E99" s="130"/>
      <c r="F99" s="131"/>
      <c r="G99" s="132"/>
      <c r="H99" s="35" t="s">
        <v>70</v>
      </c>
      <c r="I99" s="32" t="str" cm="1">
        <f t="array" ref="I99">IFERROR(IF(ISBLANK(INDEX(_xlfn._xlws.FILTER([1]加工記録２!$O$3:$P$999991, [1]加工記録２!$T$3:$T$999991=B62), 4)), "", INDEX(_xlfn._xlws.FILTER([1]加工記録２!$O$3:$P$999991, [1]加工記録２!$T$3:$T$999991=B62), 4)),"")</f>
        <v/>
      </c>
      <c r="J99" s="38"/>
      <c r="K99" s="34"/>
    </row>
    <row r="100" spans="1:14" s="7" customFormat="1" ht="18" customHeight="1">
      <c r="A100" s="143" t="s">
        <v>71</v>
      </c>
      <c r="B100" s="145">
        <f>D60</f>
        <v>1966</v>
      </c>
      <c r="C100" s="147" t="s">
        <v>72</v>
      </c>
      <c r="D100" s="128" t="str">
        <f>_xlfn.XLOOKUP(B60,[1]VFDB2!A:A,[1]VFDB2!L:L)</f>
        <v>+2</v>
      </c>
      <c r="E100" s="130" t="str">
        <f>_xlfn.XLOOKUP(B60,[1]VFDB2!A:A,[1]VFDB2!W:W)</f>
        <v>クラフト紙：1996型</v>
      </c>
      <c r="F100" s="131"/>
      <c r="G100" s="132"/>
      <c r="H100" s="35" t="s">
        <v>73</v>
      </c>
      <c r="I100" s="32" t="str" cm="1">
        <f t="array" ref="I100">IFERROR(IF(ISBLANK(INDEX(_xlfn._xlws.FILTER([1]加工記録２!$O$3:$P$999991, [1]加工記録２!$T$3:$T$999991=B62), 5)), "", INDEX(_xlfn._xlws.FILTER([1]加工記録２!$O$3:$P$999991, [1]加工記録２!$T$3:$T$999991=B62), 5)),"")</f>
        <v/>
      </c>
      <c r="J100" s="39"/>
      <c r="K100" s="37"/>
    </row>
    <row r="101" spans="1:14" s="5" customFormat="1" ht="18" customHeight="1">
      <c r="A101" s="144"/>
      <c r="B101" s="146"/>
      <c r="C101" s="148"/>
      <c r="D101" s="149"/>
      <c r="E101" s="130"/>
      <c r="F101" s="131"/>
      <c r="G101" s="132"/>
      <c r="H101" s="35" t="s">
        <v>74</v>
      </c>
      <c r="I101" s="32" t="str" cm="1">
        <f t="array" ref="I101">IFERROR(IF(ISBLANK(INDEX(_xlfn._xlws.FILTER([1]加工記録２!$O$3:$P$999991, [1]加工記録２!$T$3:$T$999991=B62), 6)), "", INDEX(_xlfn._xlws.FILTER([1]加工記録２!$O$3:$P$999991, [1]加工記録２!$T$3:$T$999991=B62), 6)),"")</f>
        <v/>
      </c>
      <c r="J101" s="40"/>
      <c r="K101" s="34"/>
    </row>
    <row r="102" spans="1:14" s="7" customFormat="1" ht="18" customHeight="1">
      <c r="A102" s="122" t="s">
        <v>75</v>
      </c>
      <c r="B102" s="124" t="str">
        <f>_xlfn.XLOOKUP(B60,[1]VFDB2!A:A,[1]VFDB2!AC:AC)</f>
        <v>換算表確認</v>
      </c>
      <c r="C102" s="126" t="s">
        <v>76</v>
      </c>
      <c r="D102" s="128">
        <f>_xlfn.XLOOKUP(B60,[1]VFDB2!A:A,[1]VFDB2!K:K)</f>
        <v>-2</v>
      </c>
      <c r="E102" s="130" t="str">
        <f>_xlfn.XLOOKUP(B60,[1]VFDB2!A:A,[1]VFDB2!R:R)</f>
        <v>ラベル2枚　長手有　鉢巻１</v>
      </c>
      <c r="F102" s="131"/>
      <c r="G102" s="132"/>
      <c r="H102" s="35" t="s">
        <v>77</v>
      </c>
      <c r="I102" s="32" t="str" cm="1">
        <f t="array" ref="I102">IFERROR(IF(ISBLANK(INDEX(_xlfn._xlws.FILTER([1]加工記録２!$O$3:$P$999991, [1]加工記録２!$T$3:$T$999991=B62), 7)), "", INDEX(_xlfn._xlws.FILTER([1]加工記録２!$O$3:$P$999991, [1]加工記録２!$T$3:$T$999991=B62), 7)),"")</f>
        <v/>
      </c>
      <c r="J102" s="41"/>
      <c r="K102" s="37"/>
    </row>
    <row r="103" spans="1:14" s="5" customFormat="1" ht="18" customHeight="1" thickBot="1">
      <c r="A103" s="123"/>
      <c r="B103" s="125"/>
      <c r="C103" s="127"/>
      <c r="D103" s="129"/>
      <c r="E103" s="133"/>
      <c r="F103" s="134"/>
      <c r="G103" s="135"/>
      <c r="H103" s="42" t="s">
        <v>78</v>
      </c>
      <c r="I103" s="43" t="str" cm="1">
        <f t="array" ref="I103">IFERROR(IF(ISBLANK(INDEX(_xlfn._xlws.FILTER([1]加工記録２!$O$3:$P$999991, [1]加工記録２!$T$3:$T$999991=B62), 8)), "", INDEX(_xlfn._xlws.FILTER([1]加工記録２!$O$3:$P$999991, [1]加工記録２!$T$3:$T$999991=B62), 8)),"")</f>
        <v/>
      </c>
      <c r="J103" s="44"/>
    </row>
    <row r="104" spans="1:14" s="55" customFormat="1" ht="18.95" customHeight="1">
      <c r="A104" s="45" t="s">
        <v>79</v>
      </c>
      <c r="B104" s="46" t="s">
        <v>80</v>
      </c>
      <c r="C104" s="47" t="s">
        <v>81</v>
      </c>
      <c r="D104" s="47" t="s">
        <v>82</v>
      </c>
      <c r="E104" s="48" t="s">
        <v>83</v>
      </c>
      <c r="F104" s="49" t="s">
        <v>84</v>
      </c>
      <c r="G104" s="50" t="s">
        <v>85</v>
      </c>
      <c r="H104" s="51" t="s">
        <v>86</v>
      </c>
      <c r="I104" s="52" t="s">
        <v>87</v>
      </c>
      <c r="J104" s="53" t="s">
        <v>88</v>
      </c>
      <c r="K104" s="54"/>
      <c r="L104" s="54"/>
      <c r="M104" s="54"/>
      <c r="N104" s="54"/>
    </row>
    <row r="105" spans="1:14" s="66" customFormat="1" ht="18.95" customHeight="1">
      <c r="A105" s="56" t="str" cm="1">
        <f t="array" ref="A105">IFERROR(IF(ISBLANK(INDEX(_xlfn._xlws.FILTER([1]加工記録２!$D$3:$M$999991, [1]加工記録２!$T$3:$T$999991=B62), 1)), "", INDEX(_xlfn._xlws.FILTER([1]加工記録２!$D$3:$M$999991, [1]加工記録２!$T$3:$T$999991=B62), 1)),"")</f>
        <v/>
      </c>
      <c r="B105" s="57"/>
      <c r="C105" s="58"/>
      <c r="D105" s="58"/>
      <c r="E105" s="59"/>
      <c r="F105" s="60"/>
      <c r="G105" s="61"/>
      <c r="H105" s="62"/>
      <c r="I105" s="63"/>
      <c r="J105" s="64"/>
      <c r="K105" s="65"/>
      <c r="L105" s="65"/>
      <c r="M105" s="65"/>
      <c r="N105" s="65"/>
    </row>
    <row r="106" spans="1:14" s="66" customFormat="1" ht="18.95" customHeight="1">
      <c r="A106" s="67" t="str" cm="1">
        <f t="array" ref="A106">IFERROR(IF(ISBLANK(INDEX(_xlfn._xlws.FILTER([1]加工記録２!$D$3:$M$999991, [1]加工記録２!$T$3:$T$999991=B62), 2)), "", INDEX(_xlfn._xlws.FILTER([1]加工記録２!$D$3:$M$999991, [1]加工記録２!$T$3:$T$999991=B62), 2)),"")</f>
        <v/>
      </c>
      <c r="B106" s="68"/>
      <c r="C106" s="68"/>
      <c r="D106" s="68"/>
      <c r="E106" s="69"/>
      <c r="F106" s="70"/>
      <c r="G106" s="71"/>
      <c r="H106" s="72"/>
      <c r="I106" s="63"/>
      <c r="J106" s="64"/>
      <c r="K106" s="65"/>
      <c r="L106" s="65"/>
      <c r="M106" s="65"/>
      <c r="N106" s="65"/>
    </row>
    <row r="107" spans="1:14" s="66" customFormat="1" ht="18.95" customHeight="1">
      <c r="A107" s="67" t="str" cm="1">
        <f t="array" ref="A107">IFERROR(IF(ISBLANK(INDEX(_xlfn._xlws.FILTER([1]加工記録２!$D$3:$M$999991, [1]加工記録２!$T$3:$T$999991=B62), 3)), "", INDEX(_xlfn._xlws.FILTER([1]加工記録２!$D$3:$M$999991, [1]加工記録２!$T$3:$T$999991=B62), 3)),"")</f>
        <v/>
      </c>
      <c r="B107" s="68"/>
      <c r="C107" s="68"/>
      <c r="D107" s="68"/>
      <c r="E107" s="69"/>
      <c r="F107" s="70"/>
      <c r="G107" s="71"/>
      <c r="H107" s="72"/>
      <c r="I107" s="63"/>
      <c r="J107" s="64"/>
      <c r="K107" s="65"/>
      <c r="L107" s="65"/>
      <c r="M107" s="65"/>
      <c r="N107" s="65"/>
    </row>
    <row r="108" spans="1:14" s="66" customFormat="1" ht="18.95" customHeight="1">
      <c r="A108" s="67" t="str" cm="1">
        <f t="array" ref="A108">IFERROR(IF(ISBLANK(INDEX(_xlfn._xlws.FILTER([1]加工記録２!$D$3:$M$999991, [1]加工記録２!$T$3:$T$999991=B62), 4)), "", INDEX(_xlfn._xlws.FILTER([1]加工記録２!$D$3:$M$999991, [1]加工記録２!$T$3:$T$999991=B62), 4)),"")</f>
        <v/>
      </c>
      <c r="B108" s="68"/>
      <c r="C108" s="68"/>
      <c r="D108" s="68"/>
      <c r="E108" s="69"/>
      <c r="F108" s="70"/>
      <c r="G108" s="71"/>
      <c r="H108" s="72"/>
      <c r="I108" s="63"/>
      <c r="J108" s="64"/>
      <c r="K108" s="65"/>
      <c r="L108" s="65"/>
      <c r="M108" s="65"/>
      <c r="N108" s="65"/>
    </row>
    <row r="109" spans="1:14" s="66" customFormat="1" ht="18.95" customHeight="1">
      <c r="A109" s="67" t="str" cm="1">
        <f t="array" ref="A109">IFERROR(IF(ISBLANK(INDEX(_xlfn._xlws.FILTER([1]加工記録２!$D$3:$M$999991, [1]加工記録２!$T$3:$T$999991=B62), 5)), "", INDEX(_xlfn._xlws.FILTER([1]加工記録２!$D$3:$M$999991, [1]加工記録２!$T$3:$T$999991=B62), 5)),"")</f>
        <v/>
      </c>
      <c r="B109" s="68"/>
      <c r="C109" s="68"/>
      <c r="D109" s="68"/>
      <c r="E109" s="69"/>
      <c r="F109" s="70"/>
      <c r="G109" s="71"/>
      <c r="H109" s="72"/>
      <c r="I109" s="73"/>
      <c r="J109" s="74"/>
      <c r="K109" s="65"/>
      <c r="L109" s="65"/>
      <c r="M109" s="65"/>
      <c r="N109" s="65"/>
    </row>
    <row r="110" spans="1:14" s="66" customFormat="1" ht="18.95" customHeight="1">
      <c r="A110" s="67" t="str" cm="1">
        <f t="array" ref="A110">IFERROR(IF(ISBLANK(INDEX(_xlfn._xlws.FILTER([1]加工記録２!$D$3:$M$999991, [1]加工記録２!$T$3:$T$999991=B62), 6)), "", INDEX(_xlfn._xlws.FILTER([1]加工記録２!$D$3:$M$999991, [1]加工記録２!$T$3:$T$999991=B62), 6)),"")</f>
        <v/>
      </c>
      <c r="B110" s="68"/>
      <c r="C110" s="68"/>
      <c r="D110" s="68"/>
      <c r="E110" s="69"/>
      <c r="F110" s="70"/>
      <c r="G110" s="71"/>
      <c r="H110" s="75"/>
      <c r="I110" s="76"/>
      <c r="J110" s="77"/>
      <c r="K110" s="65"/>
      <c r="L110" s="65"/>
      <c r="M110" s="65"/>
      <c r="N110" s="65"/>
    </row>
    <row r="111" spans="1:14" s="66" customFormat="1" ht="18.95" customHeight="1">
      <c r="A111" s="67" t="str" cm="1">
        <f t="array" ref="A111">IFERROR(IF(ISBLANK(INDEX(_xlfn._xlws.FILTER([1]加工記録２!$D$3:$M$999991, [1]加工記録２!$T$3:$T$999991=B62), 7)), "", INDEX(_xlfn._xlws.FILTER([1]加工記録２!$D$3:$M$999991, [1]加工記録２!$T$3:$T$999991=B62), 7)),"")</f>
        <v/>
      </c>
      <c r="B111" s="68"/>
      <c r="C111" s="68"/>
      <c r="D111" s="68"/>
      <c r="E111" s="69"/>
      <c r="F111" s="70"/>
      <c r="G111" s="71"/>
      <c r="H111" s="75"/>
      <c r="I111" s="78"/>
      <c r="J111" s="79"/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">IFERROR(IF(ISBLANK(INDEX(_xlfn._xlws.FILTER([1]加工記録２!$D$3:$M$999991, [1]加工記録２!$T$3:$T$999991=B62), 8)), "", INDEX(_xlfn._xlws.FILTER([1]加工記録２!$D$3:$M$999991, [1]加工記録２!$T$3:$T$999991=B62), 8)),"")</f>
        <v/>
      </c>
      <c r="B112" s="81"/>
      <c r="C112" s="81"/>
      <c r="D112" s="81"/>
      <c r="E112" s="82"/>
      <c r="F112" s="83"/>
      <c r="G112" s="84"/>
      <c r="H112" s="85"/>
      <c r="I112" s="86"/>
      <c r="J112" s="87"/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 thickBot="1">
      <c r="A115" s="11"/>
      <c r="B115" s="190" t="s">
        <v>0</v>
      </c>
      <c r="C115" s="151"/>
      <c r="D115" s="151"/>
      <c r="E115" s="11"/>
      <c r="F115" s="11"/>
      <c r="G115" s="11"/>
      <c r="H115" s="11"/>
      <c r="I115" s="11"/>
      <c r="J115" s="11"/>
    </row>
    <row r="116" spans="1:10" ht="14.25" customHeight="1" thickTop="1">
      <c r="A116" s="12"/>
      <c r="B116" s="151"/>
      <c r="C116" s="151"/>
      <c r="D116" s="151"/>
      <c r="E116" s="12"/>
      <c r="F116" s="12"/>
      <c r="G116" s="12"/>
      <c r="H116" s="12"/>
      <c r="I116" s="12"/>
      <c r="J116" s="12"/>
    </row>
    <row r="117" spans="1:10" ht="14.25" customHeight="1">
      <c r="A117" s="191" t="s">
        <v>1</v>
      </c>
      <c r="B117" s="191" t="s">
        <v>2</v>
      </c>
      <c r="C117" s="191" t="s">
        <v>3</v>
      </c>
      <c r="D117" s="192">
        <v>1966</v>
      </c>
      <c r="E117" s="191" t="s">
        <v>4</v>
      </c>
      <c r="F117" s="193" t="s">
        <v>5</v>
      </c>
      <c r="G117" s="151"/>
      <c r="H117" s="189"/>
      <c r="I117" s="13" t="s">
        <v>6</v>
      </c>
      <c r="J117" s="13" t="s">
        <v>7</v>
      </c>
    </row>
    <row r="118" spans="1:10" ht="14.25" customHeight="1">
      <c r="A118" s="151"/>
      <c r="B118" s="151"/>
      <c r="C118" s="151"/>
      <c r="D118" s="151"/>
      <c r="E118" s="151"/>
      <c r="F118" s="151"/>
      <c r="G118" s="151"/>
      <c r="H118" s="189"/>
      <c r="I118" s="194"/>
      <c r="J118" s="194"/>
    </row>
    <row r="119" spans="1:10" ht="17.45" customHeight="1">
      <c r="A119" s="175" t="s">
        <v>8</v>
      </c>
      <c r="B119" s="196" t="s">
        <v>90</v>
      </c>
      <c r="E119" s="175" t="s">
        <v>10</v>
      </c>
      <c r="F119" s="197" t="s">
        <v>11</v>
      </c>
      <c r="G119" s="151"/>
      <c r="H119" s="189"/>
      <c r="I119" s="195"/>
      <c r="J119" s="195"/>
    </row>
    <row r="120" spans="1:10" ht="17.45" customHeight="1">
      <c r="A120" s="151"/>
      <c r="B120" s="151"/>
      <c r="E120" s="151"/>
      <c r="F120" s="151"/>
      <c r="G120" s="151"/>
      <c r="H120" s="189"/>
      <c r="I120" s="14"/>
      <c r="J120" s="14"/>
    </row>
    <row r="121" spans="1:10" ht="17.45" customHeight="1">
      <c r="A121" s="175" t="s">
        <v>12</v>
      </c>
      <c r="B121" s="175" t="s">
        <v>59</v>
      </c>
      <c r="E121" s="2" t="s">
        <v>14</v>
      </c>
      <c r="F121" s="176" t="s">
        <v>15</v>
      </c>
      <c r="G121" s="151"/>
      <c r="H121" s="21"/>
    </row>
    <row r="122" spans="1:10" ht="17.45" customHeight="1">
      <c r="A122" s="151"/>
      <c r="B122" s="151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45950</v>
      </c>
      <c r="E123" s="2" t="s">
        <v>19</v>
      </c>
      <c r="F123" s="177">
        <v>16</v>
      </c>
      <c r="G123" s="151"/>
      <c r="H123" s="21"/>
    </row>
    <row r="124" spans="1:10" ht="17.45" customHeight="1">
      <c r="A124" s="2" t="s">
        <v>20</v>
      </c>
      <c r="B124" s="4">
        <v>45950</v>
      </c>
      <c r="E124" s="2" t="s">
        <v>21</v>
      </c>
      <c r="F124" s="21">
        <v>24</v>
      </c>
      <c r="G124" s="178" t="s">
        <v>22</v>
      </c>
      <c r="H124" s="180">
        <v>384</v>
      </c>
      <c r="I124" s="181"/>
      <c r="J124" s="18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79"/>
      <c r="H125" s="179"/>
      <c r="I125" s="169"/>
      <c r="J125" s="183"/>
    </row>
    <row r="126" spans="1:10" ht="13.5" customHeight="1">
      <c r="A126" s="184" t="s">
        <v>25</v>
      </c>
      <c r="B126" s="151"/>
      <c r="C126" s="151"/>
      <c r="D126" s="20"/>
      <c r="F126" s="3"/>
      <c r="G126" s="185" t="s">
        <v>26</v>
      </c>
      <c r="H126" s="187" t="s">
        <v>27</v>
      </c>
      <c r="I126" s="188" t="s">
        <v>28</v>
      </c>
      <c r="J126" s="189"/>
    </row>
    <row r="127" spans="1:10" ht="13.5" customHeight="1">
      <c r="A127" s="151"/>
      <c r="B127" s="151"/>
      <c r="C127" s="151"/>
      <c r="D127" s="20"/>
      <c r="F127" s="3"/>
      <c r="G127" s="186"/>
      <c r="H127" s="186"/>
      <c r="I127" s="169"/>
      <c r="J127" s="183"/>
    </row>
    <row r="128" spans="1:10" ht="13.5" customHeight="1">
      <c r="A128" s="1" t="s">
        <v>29</v>
      </c>
    </row>
    <row r="129" spans="1:10" ht="63" customHeight="1" thickBot="1">
      <c r="A129" s="170"/>
      <c r="B129" s="171"/>
      <c r="C129" s="171"/>
      <c r="D129" s="171"/>
      <c r="E129" s="171"/>
      <c r="F129" s="171"/>
      <c r="G129" s="171"/>
      <c r="H129" s="171"/>
      <c r="I129" s="171"/>
      <c r="J129" s="171"/>
    </row>
    <row r="130" spans="1:10" ht="18.75">
      <c r="A130" s="23" t="s">
        <v>30</v>
      </c>
      <c r="B130" s="16" t="s">
        <v>31</v>
      </c>
      <c r="C130" s="172" t="s">
        <v>32</v>
      </c>
      <c r="D130" s="173"/>
      <c r="E130" s="16" t="s">
        <v>33</v>
      </c>
      <c r="F130" s="172" t="s">
        <v>34</v>
      </c>
      <c r="G130" s="173"/>
      <c r="H130" s="173"/>
      <c r="I130" s="174" t="s">
        <v>35</v>
      </c>
      <c r="J130" s="173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52" t="s">
        <v>37</v>
      </c>
      <c r="D132" s="151"/>
      <c r="E132" s="24" t="s">
        <v>38</v>
      </c>
      <c r="F132" s="152" t="s">
        <v>39</v>
      </c>
      <c r="G132" s="151"/>
      <c r="H132" s="151"/>
      <c r="I132" s="165"/>
      <c r="J132" s="151"/>
    </row>
    <row r="133" spans="1:10" ht="16.5" customHeight="1">
      <c r="A133" s="22">
        <v>1</v>
      </c>
      <c r="B133" s="25" t="s">
        <v>36</v>
      </c>
      <c r="C133" s="152" t="s">
        <v>37</v>
      </c>
      <c r="D133" s="151"/>
      <c r="E133" s="24" t="s">
        <v>40</v>
      </c>
      <c r="F133" s="152" t="s">
        <v>41</v>
      </c>
      <c r="G133" s="151"/>
      <c r="H133" s="151"/>
      <c r="I133" s="165"/>
      <c r="J133" s="151"/>
    </row>
    <row r="134" spans="1:10" ht="16.5" customHeight="1">
      <c r="A134" s="22"/>
      <c r="B134" s="25"/>
      <c r="C134" s="152"/>
      <c r="D134" s="151"/>
      <c r="E134" s="24"/>
      <c r="F134" s="152"/>
      <c r="G134" s="151"/>
      <c r="H134" s="151"/>
      <c r="I134" s="165"/>
      <c r="J134" s="151"/>
    </row>
    <row r="135" spans="1:10" ht="16.5" customHeight="1">
      <c r="A135" s="22"/>
      <c r="B135" s="25"/>
      <c r="C135" s="152"/>
      <c r="D135" s="151"/>
      <c r="E135" s="24"/>
      <c r="F135" s="152"/>
      <c r="G135" s="151"/>
      <c r="H135" s="151"/>
      <c r="I135" s="165"/>
      <c r="J135" s="151"/>
    </row>
    <row r="136" spans="1:10" ht="16.5" customHeight="1">
      <c r="A136" s="22"/>
      <c r="B136" s="25"/>
      <c r="C136" s="152"/>
      <c r="D136" s="151"/>
      <c r="E136" s="24"/>
      <c r="F136" s="152"/>
      <c r="G136" s="151"/>
      <c r="H136" s="151"/>
      <c r="I136" s="165"/>
      <c r="J136" s="151"/>
    </row>
    <row r="137" spans="1:10" ht="16.5" customHeight="1">
      <c r="A137" s="22"/>
      <c r="B137" s="25"/>
      <c r="C137" s="152"/>
      <c r="D137" s="151"/>
      <c r="E137" s="24"/>
      <c r="F137" s="152"/>
      <c r="G137" s="151"/>
      <c r="H137" s="151"/>
      <c r="I137" s="165"/>
      <c r="J137" s="151"/>
    </row>
    <row r="138" spans="1:10" ht="16.5" customHeight="1" thickBo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66" t="s">
        <v>42</v>
      </c>
      <c r="B139" s="167"/>
      <c r="C139" s="166" t="s">
        <v>43</v>
      </c>
      <c r="D139" s="167"/>
      <c r="E139" s="167"/>
      <c r="F139" s="17" t="s">
        <v>44</v>
      </c>
      <c r="G139" s="166" t="s">
        <v>45</v>
      </c>
      <c r="H139" s="167"/>
      <c r="I139" s="166" t="s">
        <v>46</v>
      </c>
      <c r="J139" s="167"/>
    </row>
    <row r="140" spans="1:10" ht="14.25" customHeight="1">
      <c r="A140" s="8"/>
      <c r="B140" s="18"/>
      <c r="C140" s="168" t="s">
        <v>47</v>
      </c>
      <c r="D140" s="169"/>
      <c r="E140" s="18"/>
      <c r="F140" s="168" t="s">
        <v>29</v>
      </c>
      <c r="G140" s="169"/>
      <c r="H140" s="169"/>
      <c r="I140" s="169"/>
      <c r="J140" s="169"/>
    </row>
    <row r="141" spans="1:10">
      <c r="A141" s="9"/>
      <c r="C141" s="7"/>
      <c r="D141" s="7"/>
      <c r="E141" s="7"/>
    </row>
    <row r="142" spans="1:10" ht="14.25" customHeight="1">
      <c r="A142" s="152" t="s">
        <v>48</v>
      </c>
      <c r="B142" s="151"/>
      <c r="C142" s="152" t="s">
        <v>49</v>
      </c>
      <c r="D142" s="151"/>
      <c r="E142" s="151"/>
      <c r="F142" s="26" t="s">
        <v>50</v>
      </c>
      <c r="G142" s="164">
        <v>384</v>
      </c>
      <c r="H142" s="151"/>
      <c r="I142" s="164">
        <v>24</v>
      </c>
      <c r="J142" s="151"/>
    </row>
    <row r="143" spans="1:10" ht="24.95" customHeight="1">
      <c r="A143" s="150" t="s">
        <v>51</v>
      </c>
      <c r="B143" s="151"/>
      <c r="C143" s="152" t="s">
        <v>11</v>
      </c>
      <c r="D143" s="151"/>
      <c r="E143" s="151"/>
      <c r="F143" s="152"/>
      <c r="G143" s="151"/>
      <c r="H143" s="151"/>
      <c r="I143" s="151"/>
      <c r="J143" s="151"/>
    </row>
    <row r="144" spans="1:10" ht="14.25" customHeight="1">
      <c r="A144" s="152" t="s">
        <v>52</v>
      </c>
      <c r="B144" s="151"/>
      <c r="C144" s="152" t="s">
        <v>53</v>
      </c>
      <c r="D144" s="151"/>
      <c r="E144" s="151"/>
      <c r="F144" s="26" t="s">
        <v>27</v>
      </c>
      <c r="G144" s="164">
        <v>24.192</v>
      </c>
      <c r="H144" s="151"/>
      <c r="I144" s="164">
        <v>1.512</v>
      </c>
      <c r="J144" s="151"/>
    </row>
    <row r="145" spans="1:11" ht="24.95" customHeight="1">
      <c r="A145" s="150" t="s">
        <v>54</v>
      </c>
      <c r="B145" s="151"/>
      <c r="C145" s="152"/>
      <c r="D145" s="151"/>
      <c r="E145" s="151"/>
      <c r="F145" s="152"/>
      <c r="G145" s="151"/>
      <c r="H145" s="151"/>
      <c r="I145" s="151"/>
      <c r="J145" s="151"/>
    </row>
    <row r="146" spans="1:11" ht="14.25" customHeight="1">
      <c r="A146" s="152" t="s">
        <v>55</v>
      </c>
      <c r="B146" s="151"/>
      <c r="C146" s="152" t="s">
        <v>56</v>
      </c>
      <c r="D146" s="151"/>
      <c r="E146" s="151"/>
      <c r="F146" s="26"/>
      <c r="G146" s="164">
        <v>2.3039999999999998</v>
      </c>
      <c r="H146" s="151"/>
      <c r="I146" s="164">
        <v>0.14399999999999999</v>
      </c>
      <c r="J146" s="151"/>
    </row>
    <row r="147" spans="1:11" ht="24.95" customHeight="1">
      <c r="A147" s="150" t="s">
        <v>57</v>
      </c>
      <c r="B147" s="151"/>
      <c r="C147" s="152" t="s">
        <v>58</v>
      </c>
      <c r="D147" s="151"/>
      <c r="E147" s="151"/>
      <c r="F147" s="152"/>
      <c r="G147" s="151"/>
      <c r="H147" s="151"/>
      <c r="I147" s="151"/>
      <c r="J147" s="151"/>
    </row>
    <row r="148" spans="1:11" ht="14.25" customHeight="1">
      <c r="A148" s="152"/>
      <c r="B148" s="151"/>
      <c r="C148" s="152"/>
      <c r="D148" s="151"/>
      <c r="E148" s="151"/>
      <c r="F148" s="26"/>
      <c r="G148" s="164"/>
      <c r="H148" s="151"/>
      <c r="I148" s="164"/>
      <c r="J148" s="151"/>
    </row>
    <row r="149" spans="1:11" ht="24.95" customHeight="1">
      <c r="A149" s="150"/>
      <c r="B149" s="151"/>
      <c r="C149" s="152"/>
      <c r="D149" s="151"/>
      <c r="E149" s="151"/>
      <c r="F149" s="152"/>
      <c r="G149" s="151"/>
      <c r="H149" s="151"/>
      <c r="I149" s="151"/>
      <c r="J149" s="151"/>
    </row>
    <row r="150" spans="1:11" ht="14.25" customHeight="1">
      <c r="A150" s="152"/>
      <c r="B150" s="151"/>
      <c r="C150" s="152"/>
      <c r="D150" s="151"/>
      <c r="E150" s="151"/>
      <c r="F150" s="26"/>
      <c r="G150" s="164"/>
      <c r="H150" s="151"/>
      <c r="I150" s="164"/>
      <c r="J150" s="151"/>
    </row>
    <row r="151" spans="1:11" ht="24.95" customHeight="1" thickBot="1">
      <c r="A151" s="150"/>
      <c r="B151" s="151"/>
      <c r="C151" s="152"/>
      <c r="D151" s="151"/>
      <c r="E151" s="151"/>
      <c r="F151" s="152"/>
      <c r="G151" s="151"/>
      <c r="H151" s="151"/>
      <c r="I151" s="151"/>
      <c r="J151" s="151"/>
    </row>
    <row r="152" spans="1:11" s="5" customFormat="1" ht="18" customHeight="1">
      <c r="A152" s="153" t="s">
        <v>60</v>
      </c>
      <c r="B152" s="154"/>
      <c r="C152" s="154"/>
      <c r="D152" s="154"/>
      <c r="E152" s="155" t="s">
        <v>61</v>
      </c>
      <c r="F152" s="156"/>
      <c r="G152" s="27" t="s">
        <v>62</v>
      </c>
      <c r="H152" s="157" t="s">
        <v>63</v>
      </c>
      <c r="I152" s="158"/>
      <c r="J152" s="28" t="s">
        <v>64</v>
      </c>
    </row>
    <row r="153" spans="1:11" s="7" customFormat="1" ht="18" customHeight="1">
      <c r="A153" s="159" t="str">
        <f>_xlfn.XLOOKUP(B117,[1]VFDB2!A:A,[1]VFDB2!B:B)</f>
        <v>灯具カバーPC IN 2070　L=1966</v>
      </c>
      <c r="B153" s="160"/>
      <c r="C153" s="160"/>
      <c r="D153" s="160"/>
      <c r="E153" s="130" t="str" cm="1">
        <f t="array" ref="E153">IFERROR(IF(ISBLANK(INDEX(_xlfn._xlws.FILTER([1]加工記録２!$C$3:$C$999509, [1]加工記録２!$T$3:$T$999509=B119), 6)), "", INDEX(_xlfn._xlws.FILTER([1]加工記録２!$C$3:$C$999509, [1]加工記録２!$T$3:$T$999509=B119), 6)),"")</f>
        <v>灯具-2　L＝1996</v>
      </c>
      <c r="F153" s="131"/>
      <c r="G153" s="163" cm="1">
        <f t="array" ref="G153">IFERROR(IF(ISBLANK(INDEX(_xlfn._xlws.FILTER([1]加工記録２!$C$3:$C$999509, [1]加工記録２!$T$3:$T$999509=B119), 7)), " ", INDEX(_xlfn._xlws.FILTER([1]加工記録２!$C$3:$C$999509, [1]加工記録２!$T$3:$T$999509=B119), 7))," ")</f>
        <v>5</v>
      </c>
      <c r="H153" s="29" t="s">
        <v>65</v>
      </c>
      <c r="I153" s="88" cm="1">
        <f t="array" ref="I153:J153">IFERROR(IF(ISBLANK(INDEX(_xlfn._xlws.FILTER([1]加工記録２!$O$3:$P$999572, [1]加工記録２!$T$3:$T$999572=B119), 1)), "", INDEX(_xlfn._xlws.FILTER([1]加工記録２!$O$3:$P$999572, [1]加工記録２!$T$3:$T$999572=B119), 1)),"")</f>
        <v>0</v>
      </c>
      <c r="J153" s="89">
        <v>5</v>
      </c>
    </row>
    <row r="154" spans="1:11" s="5" customFormat="1" ht="18" customHeight="1">
      <c r="A154" s="161"/>
      <c r="B154" s="162"/>
      <c r="C154" s="162"/>
      <c r="D154" s="162"/>
      <c r="E154" s="130"/>
      <c r="F154" s="131"/>
      <c r="G154" s="163"/>
      <c r="H154" s="29" t="s">
        <v>66</v>
      </c>
      <c r="I154" s="90" cm="1">
        <f t="array" ref="I154:J154">IFERROR(IF(ISBLANK(INDEX(_xlfn._xlws.FILTER([1]加工記録２!$O$3:$P$999572, [1]加工記録２!$T$3:$T$999572=B119), 2)), "", INDEX(_xlfn._xlws.FILTER([1]加工記録２!$O$3:$P$999572, [1]加工記録２!$T$3:$T$999572=B119), 2)),"")</f>
        <v>80</v>
      </c>
      <c r="J154" s="91">
        <v>36</v>
      </c>
      <c r="K154" s="34"/>
    </row>
    <row r="155" spans="1:11" s="7" customFormat="1" ht="18" customHeight="1">
      <c r="A155" s="122" t="s">
        <v>67</v>
      </c>
      <c r="B155" s="137" t="str">
        <f>_xlfn.XLOOKUP(B117,[1]VFDB2!A:A,[1]VFDB2!J:J)</f>
        <v>-</v>
      </c>
      <c r="C155" s="139" t="s">
        <v>68</v>
      </c>
      <c r="D155" s="141">
        <f>_xlfn.XLOOKUP(B117,[1]VFDB2!A:A,[1]VFDB2!P:P)</f>
        <v>1</v>
      </c>
      <c r="E155" s="130" t="str">
        <f>_xlfn.XLOOKUP(B117,[1]VFDB2!A:A,[1]VFDB2!V:V)</f>
        <v>梱包箱:1996</v>
      </c>
      <c r="F155" s="131"/>
      <c r="G155" s="132"/>
      <c r="H155" s="35" t="s">
        <v>69</v>
      </c>
      <c r="I155" s="90" cm="1">
        <f t="array" ref="I155:J155">IFERROR(IF(ISBLANK(INDEX(_xlfn._xlws.FILTER([1]加工記録２!$O$3:$P$999572, [1]加工記録２!$T$3:$T$999572=B119), 3)), "", INDEX(_xlfn._xlws.FILTER([1]加工記録２!$O$3:$P$999572, [1]加工記録２!$T$3:$T$999572=B119), 3)),"")</f>
        <v>121</v>
      </c>
      <c r="J155" s="92" t="str">
        <v/>
      </c>
      <c r="K155" s="37"/>
    </row>
    <row r="156" spans="1:11" s="5" customFormat="1" ht="18" customHeight="1">
      <c r="A156" s="136"/>
      <c r="B156" s="138"/>
      <c r="C156" s="140"/>
      <c r="D156" s="142"/>
      <c r="E156" s="130"/>
      <c r="F156" s="131"/>
      <c r="G156" s="132"/>
      <c r="H156" s="35" t="s">
        <v>70</v>
      </c>
      <c r="I156" s="90" cm="1">
        <f t="array" ref="I156:J156">IFERROR(IF(ISBLANK(INDEX(_xlfn._xlws.FILTER([1]加工記録２!$O$3:$P$999572, [1]加工記録２!$T$3:$T$999572=B119), 4)), "", INDEX(_xlfn._xlws.FILTER([1]加工記録２!$O$3:$P$999572, [1]加工記録２!$T$3:$T$999572=B119), 4)),"")</f>
        <v>41</v>
      </c>
      <c r="J156" s="93" t="str">
        <v/>
      </c>
      <c r="K156" s="34"/>
    </row>
    <row r="157" spans="1:11" s="7" customFormat="1" ht="18" customHeight="1">
      <c r="A157" s="143" t="s">
        <v>71</v>
      </c>
      <c r="B157" s="145">
        <f>D117</f>
        <v>1966</v>
      </c>
      <c r="C157" s="147" t="s">
        <v>72</v>
      </c>
      <c r="D157" s="128" t="str">
        <f>_xlfn.XLOOKUP(B117,[1]VFDB2!A:A,[1]VFDB2!L:L)</f>
        <v>+2</v>
      </c>
      <c r="E157" s="130" t="str">
        <f>_xlfn.XLOOKUP(B117,[1]VFDB2!A:A,[1]VFDB2!W:W)</f>
        <v>クラフト紙：1996型</v>
      </c>
      <c r="F157" s="131"/>
      <c r="G157" s="132"/>
      <c r="H157" s="35" t="s">
        <v>73</v>
      </c>
      <c r="I157" s="90" cm="1">
        <f t="array" ref="I157:J157">IFERROR(IF(ISBLANK(INDEX(_xlfn._xlws.FILTER([1]加工記録２!$O$3:$P$999572, [1]加工記録２!$T$3:$T$999572=B119), 5)), "", INDEX(_xlfn._xlws.FILTER([1]加工記録２!$O$3:$P$999572, [1]加工記録２!$T$3:$T$999572=B119), 5)),"")</f>
        <v>41</v>
      </c>
      <c r="J157" s="94" t="str">
        <v/>
      </c>
      <c r="K157" s="37"/>
    </row>
    <row r="158" spans="1:11" s="5" customFormat="1" ht="18" customHeight="1">
      <c r="A158" s="144"/>
      <c r="B158" s="146"/>
      <c r="C158" s="148"/>
      <c r="D158" s="149"/>
      <c r="E158" s="130"/>
      <c r="F158" s="131"/>
      <c r="G158" s="132"/>
      <c r="H158" s="35" t="s">
        <v>74</v>
      </c>
      <c r="I158" s="90" cm="1">
        <f t="array" ref="I158:J158">IFERROR(IF(ISBLANK(INDEX(_xlfn._xlws.FILTER([1]加工記録２!$O$3:$P$999572, [1]加工記録２!$T$3:$T$999572=B119), 6)), "", INDEX(_xlfn._xlws.FILTER([1]加工記録２!$O$3:$P$999572, [1]加工記録２!$T$3:$T$999572=B119), 6)),"")</f>
        <v>0</v>
      </c>
      <c r="J158" s="95" t="str">
        <v/>
      </c>
      <c r="K158" s="34"/>
    </row>
    <row r="159" spans="1:11" s="7" customFormat="1" ht="18" customHeight="1">
      <c r="A159" s="122" t="s">
        <v>75</v>
      </c>
      <c r="B159" s="124" t="str">
        <f>_xlfn.XLOOKUP(B117,[1]VFDB2!A:A,[1]VFDB2!AC:AC)</f>
        <v>換算表確認</v>
      </c>
      <c r="C159" s="126" t="s">
        <v>76</v>
      </c>
      <c r="D159" s="128">
        <f>_xlfn.XLOOKUP(B117,[1]VFDB2!A:A,[1]VFDB2!K:K)</f>
        <v>-2</v>
      </c>
      <c r="E159" s="130" t="str">
        <f>_xlfn.XLOOKUP(B117,[1]VFDB2!A:A,[1]VFDB2!R:R)</f>
        <v>ラベル2枚　長手有　鉢巻１</v>
      </c>
      <c r="F159" s="131"/>
      <c r="G159" s="132"/>
      <c r="H159" s="35" t="s">
        <v>77</v>
      </c>
      <c r="I159" s="90" t="str" cm="1">
        <f t="array" ref="I159">IFERROR(IF(ISBLANK(INDEX(_xlfn._xlws.FILTER([1]加工記録２!$M$3:$M$999572, [1]加工記録２!$T$3:$T$999572=B119), 6)), "", INDEX(_xlfn._xlws.FILTER([1]加工記録２!$M$3:$M$999572, [1]加工記録２!$T$3:$T$999572=B119), 6)),"")</f>
        <v>-</v>
      </c>
      <c r="J159" s="96" t="str" cm="1">
        <f t="array" ref="J159">IFERROR(IF(ISBLANK(INDEX(_xlfn._xlws.FILTER([1]加工記録２!$P$3:$P$999572, [1]加工記録２!$T$3:$T$999572=B119), 7)), "", INDEX(_xlfn._xlws.FILTER([1]加工記録２!$P$3:$P$999572, [1]加工記録２!$T$3:$T$999572=B119), 7)),"")</f>
        <v/>
      </c>
      <c r="K159" s="37"/>
    </row>
    <row r="160" spans="1:11" s="5" customFormat="1" ht="18" customHeight="1" thickBot="1">
      <c r="A160" s="123"/>
      <c r="B160" s="125"/>
      <c r="C160" s="127"/>
      <c r="D160" s="129"/>
      <c r="E160" s="133"/>
      <c r="F160" s="134"/>
      <c r="G160" s="135"/>
      <c r="H160" s="42" t="s">
        <v>78</v>
      </c>
      <c r="I160" s="90" t="str" cm="1">
        <f t="array" ref="I160">IFERROR(IF(ISBLANK(INDEX(_xlfn._xlws.FILTER([1]加工記録２!$M$3:$M$999572, [1]加工記録２!$T$3:$T$999572=B119), 7)), "", INDEX(_xlfn._xlws.FILTER([1]加工記録２!$M$3:$M$999572, [1]加工記録２!$T$3:$T$999572=B119), 7)),"")</f>
        <v>T</v>
      </c>
      <c r="J160" s="97">
        <f>SUM(J153:J159)</f>
        <v>41</v>
      </c>
    </row>
    <row r="161" spans="1:14" s="55" customFormat="1" ht="18.95" customHeight="1">
      <c r="A161" s="45" t="s">
        <v>79</v>
      </c>
      <c r="B161" s="46" t="s">
        <v>80</v>
      </c>
      <c r="C161" s="47" t="s">
        <v>81</v>
      </c>
      <c r="D161" s="47" t="s">
        <v>82</v>
      </c>
      <c r="E161" s="48" t="s">
        <v>83</v>
      </c>
      <c r="F161" s="49" t="s">
        <v>84</v>
      </c>
      <c r="G161" s="50" t="s">
        <v>85</v>
      </c>
      <c r="H161" s="51" t="s">
        <v>86</v>
      </c>
      <c r="I161" s="52" t="s">
        <v>87</v>
      </c>
      <c r="J161" s="53" t="s">
        <v>88</v>
      </c>
      <c r="K161" s="54"/>
      <c r="L161" s="54"/>
      <c r="M161" s="54"/>
      <c r="N161" s="54"/>
    </row>
    <row r="162" spans="1:14" s="66" customFormat="1" ht="18.95" customHeight="1">
      <c r="A162" s="98" t="str" cm="1">
        <f t="array" ref="A162:J162">IFERROR(IF(ISBLANK(INDEX(_xlfn._xlws.FILTER([1]加工記録２!$D$3:$M$999572, [1]加工記録２!$T$3:$T$999572=B119), 1)), "", INDEX(_xlfn._xlws.FILTER([1]加工記録２!$D$3:$M$999572, [1]加工記録２!$T$3:$T$999572=B119), 1)),"")</f>
        <v/>
      </c>
      <c r="B162" s="99" t="str">
        <v/>
      </c>
      <c r="C162" s="100" t="str">
        <v/>
      </c>
      <c r="D162" s="100" t="str">
        <v/>
      </c>
      <c r="E162" s="101" t="str">
        <v/>
      </c>
      <c r="F162" s="102" t="str">
        <v/>
      </c>
      <c r="G162" s="103" t="str">
        <v/>
      </c>
      <c r="H162" s="104" t="str">
        <v/>
      </c>
      <c r="I162" s="105" t="str">
        <v>25.11.04</v>
      </c>
      <c r="J162" s="106" t="str">
        <v>5箱</v>
      </c>
      <c r="K162" s="65"/>
      <c r="L162" s="65"/>
      <c r="M162" s="65"/>
      <c r="N162" s="65"/>
    </row>
    <row r="163" spans="1:14" s="66" customFormat="1" ht="18.95" customHeight="1">
      <c r="A163" s="98" cm="1">
        <f t="array" ref="A163:J163">IFERROR(IF(ISBLANK(INDEX(_xlfn._xlws.FILTER([1]加工記録２!$D$3:$M$999572, [1]加工記録２!$T$3:$T$999572=B119), 2)), "", INDEX(_xlfn._xlws.FILTER([1]加工記録２!$D$3:$M$999572, [1]加工記録２!$T$3:$T$999572=B119), 2)),"")</f>
        <v>45965</v>
      </c>
      <c r="B163" s="107" t="str">
        <v>25J02-02</v>
      </c>
      <c r="C163" s="107" t="str">
        <v/>
      </c>
      <c r="D163" s="108" t="str">
        <v/>
      </c>
      <c r="E163" s="109" t="str">
        <v/>
      </c>
      <c r="F163" s="110" t="str">
        <v>25J02-02</v>
      </c>
      <c r="G163" s="111">
        <v>121</v>
      </c>
      <c r="H163" s="112">
        <v>121</v>
      </c>
      <c r="I163" s="105" t="str">
        <v/>
      </c>
      <c r="J163" s="106" t="str">
        <v/>
      </c>
      <c r="K163" s="65"/>
      <c r="L163" s="65"/>
      <c r="M163" s="65"/>
      <c r="N163" s="65"/>
    </row>
    <row r="164" spans="1:14" s="66" customFormat="1" ht="18.95" customHeight="1">
      <c r="A164" s="98" t="str" cm="1">
        <f t="array" ref="A164:J164">IFERROR(IF(ISBLANK(INDEX(_xlfn._xlws.FILTER([1]加工記録２!$D$3:$M$999572, [1]加工記録２!$T$3:$T$999572=B119), 3)), "", INDEX(_xlfn._xlws.FILTER([1]加工記録２!$D$3:$M$999572, [1]加工記録２!$T$3:$T$999572=B119), 3)),"")</f>
        <v/>
      </c>
      <c r="B164" s="107" t="str">
        <v/>
      </c>
      <c r="C164" s="107" t="str">
        <v/>
      </c>
      <c r="D164" s="108" t="str">
        <v/>
      </c>
      <c r="E164" s="109" t="str">
        <v/>
      </c>
      <c r="F164" s="110" t="str">
        <v>次回納品11/14</v>
      </c>
      <c r="G164" s="111" t="str">
        <v/>
      </c>
      <c r="H164" s="112" t="str">
        <v/>
      </c>
      <c r="I164" s="105" t="str">
        <v/>
      </c>
      <c r="J164" s="106" t="str">
        <v/>
      </c>
      <c r="K164" s="65"/>
      <c r="L164" s="65"/>
      <c r="M164" s="65"/>
      <c r="N164" s="65"/>
    </row>
    <row r="165" spans="1:14" s="66" customFormat="1" ht="18.95" customHeight="1">
      <c r="A165" s="98" t="str" cm="1">
        <f t="array" ref="A165:J165">IFERROR(IF(ISBLANK(INDEX(_xlfn._xlws.FILTER([1]加工記録２!$D$3:$M$999572, [1]加工記録２!$T$3:$T$999572=B119), 4)), "", INDEX(_xlfn._xlws.FILTER([1]加工記録２!$D$3:$M$999572, [1]加工記録２!$T$3:$T$999572=B119), 4)),"")</f>
        <v/>
      </c>
      <c r="B165" s="107" t="str">
        <v/>
      </c>
      <c r="C165" s="107" t="str">
        <v/>
      </c>
      <c r="D165" s="108" t="str">
        <v/>
      </c>
      <c r="E165" s="109" t="str">
        <v/>
      </c>
      <c r="F165" s="110" t="str">
        <v/>
      </c>
      <c r="G165" s="111" t="str">
        <v/>
      </c>
      <c r="H165" s="112" t="str">
        <v/>
      </c>
      <c r="I165" s="105" t="str">
        <v/>
      </c>
      <c r="J165" s="106" t="str">
        <v/>
      </c>
      <c r="K165" s="65"/>
      <c r="L165" s="65"/>
      <c r="M165" s="65"/>
      <c r="N165" s="65"/>
    </row>
    <row r="166" spans="1:14" s="66" customFormat="1" ht="18.95" customHeight="1">
      <c r="A166" s="98" t="str" cm="1">
        <f t="array" ref="A166:J166">IFERROR(IF(ISBLANK(INDEX(_xlfn._xlws.FILTER([1]加工記録２!$D$3:$M$999572, [1]加工記録２!$T$3:$T$999572=B119), 5)), "", INDEX(_xlfn._xlws.FILTER([1]加工記録２!$D$3:$M$999572, [1]加工記録２!$T$3:$T$999572=B119), 5)),"")</f>
        <v/>
      </c>
      <c r="B166" s="107" t="str">
        <v/>
      </c>
      <c r="C166" s="107" t="str">
        <v/>
      </c>
      <c r="D166" s="108" t="str">
        <v/>
      </c>
      <c r="E166" s="109" t="str">
        <v/>
      </c>
      <c r="F166" s="110" t="str">
        <v/>
      </c>
      <c r="G166" s="111" t="str">
        <v/>
      </c>
      <c r="H166" s="112" t="str">
        <v/>
      </c>
      <c r="I166" s="113" t="str">
        <v/>
      </c>
      <c r="J166" s="114" t="str">
        <v/>
      </c>
      <c r="K166" s="65"/>
      <c r="L166" s="65"/>
      <c r="M166" s="65"/>
      <c r="N166" s="65"/>
    </row>
    <row r="167" spans="1:14" s="66" customFormat="1" ht="18.95" customHeight="1">
      <c r="A167" s="98" t="str" cm="1">
        <f t="array" ref="A167:H167">IFERROR(IF(ISBLANK(INDEX(_xlfn._xlws.FILTER([1]加工記録２!$D$3:$K$999572, [1]加工記録２!$T$3:$T$999572=B119), 6)), "", INDEX(_xlfn._xlws.FILTER([1]加工記録２!$D$3:$K$999572, [1]加工記録２!$T$3:$T$999572=B119), 6)),"")</f>
        <v/>
      </c>
      <c r="B167" s="107" t="str">
        <v/>
      </c>
      <c r="C167" s="107" t="str">
        <v/>
      </c>
      <c r="D167" s="108" t="str">
        <v/>
      </c>
      <c r="E167" s="109" t="str">
        <v/>
      </c>
      <c r="F167" s="110" t="str">
        <v/>
      </c>
      <c r="G167" s="111" t="str">
        <v/>
      </c>
      <c r="H167" s="112" t="str">
        <v/>
      </c>
      <c r="I167" s="113"/>
      <c r="J167" s="114"/>
      <c r="K167" s="65"/>
      <c r="L167" s="65"/>
      <c r="M167" s="65"/>
      <c r="N167" s="65"/>
    </row>
    <row r="168" spans="1:14" s="66" customFormat="1" ht="18.95" customHeight="1" thickBot="1">
      <c r="A168" s="98" t="str" cm="1">
        <f t="array" ref="A168:H168">IFERROR(IF(ISBLANK(INDEX(_xlfn._xlws.FILTER([1]加工記録２!$D$3:$K$999572, [1]加工記録２!$T$3:$T$999572=B119), 7)), "", INDEX(_xlfn._xlws.FILTER([1]加工記録２!$D$3:$K$999572, [1]加工記録２!$T$3:$T$999572=B119), 7)),"")</f>
        <v/>
      </c>
      <c r="B168" s="107" t="str">
        <v/>
      </c>
      <c r="C168" s="107" t="str">
        <v/>
      </c>
      <c r="D168" s="108" t="str">
        <v/>
      </c>
      <c r="E168" s="109" t="str">
        <v/>
      </c>
      <c r="F168" s="110" t="str">
        <v/>
      </c>
      <c r="G168" s="111" t="str">
        <v/>
      </c>
      <c r="H168" s="112" t="str">
        <v/>
      </c>
      <c r="I168" s="113"/>
      <c r="J168" s="114"/>
      <c r="K168" s="65"/>
      <c r="L168" s="65"/>
      <c r="M168" s="65"/>
      <c r="N168" s="65"/>
    </row>
    <row r="169" spans="1:14" s="66" customFormat="1" ht="18.95" customHeight="1" thickBot="1">
      <c r="A169" s="115" t="str" cm="1">
        <f t="array" ref="A169:H169">IFERROR(IF(ISBLANK(INDEX(_xlfn._xlws.FILTER([1]加工記録２!$D$3:$K$999572, [1]加工記録２!$T$3:$T$999572=B119), 8)), "", INDEX(_xlfn._xlws.FILTER([1]加工記録２!$D$3:$K$999572, [1]加工記録２!$T$3:$T$999572=B119), 8)),"")</f>
        <v/>
      </c>
      <c r="B169" s="116" t="str">
        <v/>
      </c>
      <c r="C169" s="116" t="str">
        <v/>
      </c>
      <c r="D169" s="117" t="str">
        <v/>
      </c>
      <c r="E169" s="118" t="str">
        <v/>
      </c>
      <c r="F169" s="119" t="str">
        <v/>
      </c>
      <c r="G169" s="120" t="str">
        <v/>
      </c>
      <c r="H169" s="121" t="str">
        <v/>
      </c>
      <c r="I169" s="200" t="s">
        <v>91</v>
      </c>
      <c r="J169" s="201"/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</sheetData>
  <mergeCells count="321">
    <mergeCell ref="A100:A101"/>
    <mergeCell ref="B100:B101"/>
    <mergeCell ref="C100:C101"/>
    <mergeCell ref="F88:J88"/>
    <mergeCell ref="A94:B94"/>
    <mergeCell ref="A82:B82"/>
    <mergeCell ref="C93:E93"/>
    <mergeCell ref="I91:J91"/>
    <mergeCell ref="F94:J94"/>
    <mergeCell ref="C86:E86"/>
    <mergeCell ref="A90:B90"/>
    <mergeCell ref="C91:E91"/>
    <mergeCell ref="G91:H91"/>
    <mergeCell ref="A88:B88"/>
    <mergeCell ref="F83:J83"/>
    <mergeCell ref="A85:B85"/>
    <mergeCell ref="G85:H85"/>
    <mergeCell ref="C85:E85"/>
    <mergeCell ref="D100:D101"/>
    <mergeCell ref="E100:G101"/>
    <mergeCell ref="A86:B86"/>
    <mergeCell ref="C92:E92"/>
    <mergeCell ref="A93:B93"/>
    <mergeCell ref="A89:B89"/>
    <mergeCell ref="F75:H75"/>
    <mergeCell ref="G36:H36"/>
    <mergeCell ref="C26:D26"/>
    <mergeCell ref="G10:G11"/>
    <mergeCell ref="C98:C99"/>
    <mergeCell ref="D98:D99"/>
    <mergeCell ref="E98:G99"/>
    <mergeCell ref="C43:C44"/>
    <mergeCell ref="D43:D44"/>
    <mergeCell ref="E43:G44"/>
    <mergeCell ref="C45:C46"/>
    <mergeCell ref="D45:D46"/>
    <mergeCell ref="E45:G46"/>
    <mergeCell ref="F19:H19"/>
    <mergeCell ref="F86:J86"/>
    <mergeCell ref="C82:E82"/>
    <mergeCell ref="G93:H93"/>
    <mergeCell ref="I93:J93"/>
    <mergeCell ref="I36:J36"/>
    <mergeCell ref="C90:E90"/>
    <mergeCell ref="F90:J90"/>
    <mergeCell ref="I78:J78"/>
    <mergeCell ref="D60:D61"/>
    <mergeCell ref="I75:J75"/>
    <mergeCell ref="C80:D80"/>
    <mergeCell ref="F26:J26"/>
    <mergeCell ref="C79:D79"/>
    <mergeCell ref="C73:D73"/>
    <mergeCell ref="I76:J76"/>
    <mergeCell ref="I79:J79"/>
    <mergeCell ref="C78:D78"/>
    <mergeCell ref="C75:D75"/>
    <mergeCell ref="I73:J73"/>
    <mergeCell ref="F80:H80"/>
    <mergeCell ref="C29:E29"/>
    <mergeCell ref="F73:H73"/>
    <mergeCell ref="A38:D38"/>
    <mergeCell ref="E38:F38"/>
    <mergeCell ref="A32:B32"/>
    <mergeCell ref="H67:J68"/>
    <mergeCell ref="B62:B63"/>
    <mergeCell ref="A43:A44"/>
    <mergeCell ref="B43:B44"/>
    <mergeCell ref="A45:A46"/>
    <mergeCell ref="B45:B46"/>
    <mergeCell ref="G28:H28"/>
    <mergeCell ref="I28:J28"/>
    <mergeCell ref="A69:C70"/>
    <mergeCell ref="A29:B29"/>
    <mergeCell ref="A30:B30"/>
    <mergeCell ref="B64:B65"/>
    <mergeCell ref="A35:B35"/>
    <mergeCell ref="B41:B42"/>
    <mergeCell ref="F22:H22"/>
    <mergeCell ref="I25:J25"/>
    <mergeCell ref="C34:E34"/>
    <mergeCell ref="F35:J35"/>
    <mergeCell ref="C28:E28"/>
    <mergeCell ref="G32:H32"/>
    <mergeCell ref="A25:B25"/>
    <mergeCell ref="A64:A65"/>
    <mergeCell ref="A31:B31"/>
    <mergeCell ref="C22:D22"/>
    <mergeCell ref="I22:J22"/>
    <mergeCell ref="G30:H30"/>
    <mergeCell ref="C37:E37"/>
    <mergeCell ref="A39:D40"/>
    <mergeCell ref="E39:F40"/>
    <mergeCell ref="G39:G40"/>
    <mergeCell ref="A41:A42"/>
    <mergeCell ref="C41:C42"/>
    <mergeCell ref="G69:G70"/>
    <mergeCell ref="A72:J72"/>
    <mergeCell ref="A60:A61"/>
    <mergeCell ref="I61:I62"/>
    <mergeCell ref="C32:E32"/>
    <mergeCell ref="B58:D59"/>
    <mergeCell ref="C60:C61"/>
    <mergeCell ref="C30:E30"/>
    <mergeCell ref="E62:E63"/>
    <mergeCell ref="A62:A63"/>
    <mergeCell ref="C36:E36"/>
    <mergeCell ref="I69:J70"/>
    <mergeCell ref="B3:B4"/>
    <mergeCell ref="I80:J80"/>
    <mergeCell ref="A87:B87"/>
    <mergeCell ref="H10:J11"/>
    <mergeCell ref="I32:J32"/>
    <mergeCell ref="H69:H70"/>
    <mergeCell ref="B60:B61"/>
    <mergeCell ref="A37:B37"/>
    <mergeCell ref="D3:D4"/>
    <mergeCell ref="A15:J15"/>
    <mergeCell ref="H12:H13"/>
    <mergeCell ref="C87:E87"/>
    <mergeCell ref="F9:G9"/>
    <mergeCell ref="I82:J82"/>
    <mergeCell ref="A33:B33"/>
    <mergeCell ref="C76:D76"/>
    <mergeCell ref="A12:C13"/>
    <mergeCell ref="C18:D18"/>
    <mergeCell ref="C35:E35"/>
    <mergeCell ref="F64:G64"/>
    <mergeCell ref="E60:E61"/>
    <mergeCell ref="A36:B36"/>
    <mergeCell ref="H38:I38"/>
    <mergeCell ref="B5:B6"/>
    <mergeCell ref="B1:D2"/>
    <mergeCell ref="I20:J20"/>
    <mergeCell ref="G12:G13"/>
    <mergeCell ref="C19:D19"/>
    <mergeCell ref="A28:B28"/>
    <mergeCell ref="C3:C4"/>
    <mergeCell ref="E3:E4"/>
    <mergeCell ref="B7:B8"/>
    <mergeCell ref="A34:B34"/>
    <mergeCell ref="E5:E6"/>
    <mergeCell ref="F29:J29"/>
    <mergeCell ref="I12:J13"/>
    <mergeCell ref="F21:H21"/>
    <mergeCell ref="C25:E25"/>
    <mergeCell ref="I30:J30"/>
    <mergeCell ref="A3:A4"/>
    <mergeCell ref="A5:A6"/>
    <mergeCell ref="F20:H20"/>
    <mergeCell ref="I34:J34"/>
    <mergeCell ref="I21:J21"/>
    <mergeCell ref="F7:G7"/>
    <mergeCell ref="I4:I5"/>
    <mergeCell ref="F5:H6"/>
    <mergeCell ref="F16:H16"/>
    <mergeCell ref="J4:J5"/>
    <mergeCell ref="F33:J33"/>
    <mergeCell ref="F3:H4"/>
    <mergeCell ref="I18:J18"/>
    <mergeCell ref="G34:H34"/>
    <mergeCell ref="C33:E33"/>
    <mergeCell ref="I16:J16"/>
    <mergeCell ref="F23:H23"/>
    <mergeCell ref="C20:D20"/>
    <mergeCell ref="C21:D21"/>
    <mergeCell ref="C23:D23"/>
    <mergeCell ref="A7:A8"/>
    <mergeCell ref="I23:J23"/>
    <mergeCell ref="C16:D16"/>
    <mergeCell ref="C89:E89"/>
    <mergeCell ref="G25:H25"/>
    <mergeCell ref="C88:E88"/>
    <mergeCell ref="F62:H63"/>
    <mergeCell ref="G82:H82"/>
    <mergeCell ref="D41:D42"/>
    <mergeCell ref="E41:G42"/>
    <mergeCell ref="F37:J37"/>
    <mergeCell ref="J61:J62"/>
    <mergeCell ref="F31:J31"/>
    <mergeCell ref="C83:D83"/>
    <mergeCell ref="C77:D77"/>
    <mergeCell ref="G67:G68"/>
    <mergeCell ref="F78:H78"/>
    <mergeCell ref="F77:H77"/>
    <mergeCell ref="I89:J89"/>
    <mergeCell ref="F79:H79"/>
    <mergeCell ref="G87:H87"/>
    <mergeCell ref="I85:J85"/>
    <mergeCell ref="F60:H61"/>
    <mergeCell ref="G89:H89"/>
    <mergeCell ref="I87:J87"/>
    <mergeCell ref="I77:J77"/>
    <mergeCell ref="A102:A103"/>
    <mergeCell ref="B102:B103"/>
    <mergeCell ref="C102:C103"/>
    <mergeCell ref="D102:D103"/>
    <mergeCell ref="E102:G103"/>
    <mergeCell ref="F18:H18"/>
    <mergeCell ref="F76:H76"/>
    <mergeCell ref="C31:E31"/>
    <mergeCell ref="A95:D95"/>
    <mergeCell ref="E95:F95"/>
    <mergeCell ref="H95:I95"/>
    <mergeCell ref="A96:D97"/>
    <mergeCell ref="E96:F97"/>
    <mergeCell ref="G96:G97"/>
    <mergeCell ref="A98:A99"/>
    <mergeCell ref="B98:B99"/>
    <mergeCell ref="F92:J92"/>
    <mergeCell ref="A92:B92"/>
    <mergeCell ref="C94:E94"/>
    <mergeCell ref="A91:B91"/>
    <mergeCell ref="I19:J19"/>
    <mergeCell ref="F66:G66"/>
    <mergeCell ref="B115:D116"/>
    <mergeCell ref="A117:A118"/>
    <mergeCell ref="B117:B118"/>
    <mergeCell ref="C117:C118"/>
    <mergeCell ref="D117:D118"/>
    <mergeCell ref="E117:E118"/>
    <mergeCell ref="F117:H118"/>
    <mergeCell ref="I118:I119"/>
    <mergeCell ref="J118:J119"/>
    <mergeCell ref="A119:A120"/>
    <mergeCell ref="B119:B120"/>
    <mergeCell ref="E119:E120"/>
    <mergeCell ref="F119:H120"/>
    <mergeCell ref="A121:A122"/>
    <mergeCell ref="B121:B122"/>
    <mergeCell ref="F121:G121"/>
    <mergeCell ref="F123:G123"/>
    <mergeCell ref="G124:G125"/>
    <mergeCell ref="H124:J125"/>
    <mergeCell ref="A126:C127"/>
    <mergeCell ref="G126:G127"/>
    <mergeCell ref="H126:H127"/>
    <mergeCell ref="I126:J127"/>
    <mergeCell ref="A129:J129"/>
    <mergeCell ref="C130:D130"/>
    <mergeCell ref="F130:H130"/>
    <mergeCell ref="I130:J130"/>
    <mergeCell ref="C132:D132"/>
    <mergeCell ref="F132:H132"/>
    <mergeCell ref="I132:J132"/>
    <mergeCell ref="C133:D133"/>
    <mergeCell ref="F133:H133"/>
    <mergeCell ref="I133:J133"/>
    <mergeCell ref="C134:D134"/>
    <mergeCell ref="F134:H134"/>
    <mergeCell ref="I134:J134"/>
    <mergeCell ref="C135:D135"/>
    <mergeCell ref="F135:H135"/>
    <mergeCell ref="I135:J135"/>
    <mergeCell ref="C136:D136"/>
    <mergeCell ref="F136:H136"/>
    <mergeCell ref="I136:J136"/>
    <mergeCell ref="C137:D137"/>
    <mergeCell ref="F137:H137"/>
    <mergeCell ref="I137:J137"/>
    <mergeCell ref="A139:B139"/>
    <mergeCell ref="C139:E139"/>
    <mergeCell ref="G139:H139"/>
    <mergeCell ref="I139:J139"/>
    <mergeCell ref="C140:D140"/>
    <mergeCell ref="F140:J140"/>
    <mergeCell ref="A142:B142"/>
    <mergeCell ref="C142:E142"/>
    <mergeCell ref="G142:H142"/>
    <mergeCell ref="I142:J142"/>
    <mergeCell ref="A143:B143"/>
    <mergeCell ref="C143:E143"/>
    <mergeCell ref="F143:J143"/>
    <mergeCell ref="A144:B144"/>
    <mergeCell ref="C144:E144"/>
    <mergeCell ref="G144:H144"/>
    <mergeCell ref="I144:J144"/>
    <mergeCell ref="A145:B145"/>
    <mergeCell ref="C145:E145"/>
    <mergeCell ref="F145:J145"/>
    <mergeCell ref="A146:B146"/>
    <mergeCell ref="C146:E146"/>
    <mergeCell ref="G146:H146"/>
    <mergeCell ref="I146:J146"/>
    <mergeCell ref="A147:B147"/>
    <mergeCell ref="C147:E147"/>
    <mergeCell ref="F147:J147"/>
    <mergeCell ref="A148:B148"/>
    <mergeCell ref="C148:E148"/>
    <mergeCell ref="G148:H148"/>
    <mergeCell ref="I148:J148"/>
    <mergeCell ref="A149:B149"/>
    <mergeCell ref="C149:E149"/>
    <mergeCell ref="F149:J149"/>
    <mergeCell ref="A150:B150"/>
    <mergeCell ref="C150:E150"/>
    <mergeCell ref="G150:H150"/>
    <mergeCell ref="I150:J150"/>
    <mergeCell ref="A151:B151"/>
    <mergeCell ref="C151:E151"/>
    <mergeCell ref="F151:J151"/>
    <mergeCell ref="A152:D152"/>
    <mergeCell ref="E152:F152"/>
    <mergeCell ref="H152:I152"/>
    <mergeCell ref="A153:D154"/>
    <mergeCell ref="E153:F154"/>
    <mergeCell ref="G153:G154"/>
    <mergeCell ref="A159:A160"/>
    <mergeCell ref="B159:B160"/>
    <mergeCell ref="C159:C160"/>
    <mergeCell ref="D159:D160"/>
    <mergeCell ref="E159:G160"/>
    <mergeCell ref="A155:A156"/>
    <mergeCell ref="B155:B156"/>
    <mergeCell ref="C155:C156"/>
    <mergeCell ref="D155:D156"/>
    <mergeCell ref="E155:G156"/>
    <mergeCell ref="A157:A158"/>
    <mergeCell ref="B157:B158"/>
    <mergeCell ref="C157:C158"/>
    <mergeCell ref="D157:D158"/>
    <mergeCell ref="E157:G158"/>
  </mergeCells>
  <phoneticPr fontId="2"/>
  <conditionalFormatting sqref="D50:D55">
    <cfRule type="cellIs" dxfId="8" priority="10" operator="equal">
      <formula>$D49</formula>
    </cfRule>
  </conditionalFormatting>
  <conditionalFormatting sqref="D107:D112">
    <cfRule type="cellIs" dxfId="7" priority="13" operator="equal">
      <formula>$D106</formula>
    </cfRule>
  </conditionalFormatting>
  <conditionalFormatting sqref="I39">
    <cfRule type="cellIs" dxfId="5" priority="8" operator="lessThan">
      <formula>45658</formula>
    </cfRule>
  </conditionalFormatting>
  <conditionalFormatting sqref="I96">
    <cfRule type="cellIs" dxfId="4" priority="11" operator="lessThan">
      <formula>45658</formula>
    </cfRule>
  </conditionalFormatting>
  <conditionalFormatting sqref="J46">
    <cfRule type="cellIs" dxfId="3" priority="9" operator="equal">
      <formula>0</formula>
    </cfRule>
  </conditionalFormatting>
  <conditionalFormatting sqref="J103">
    <cfRule type="cellIs" dxfId="2" priority="12" operator="equal">
      <formula>0</formula>
    </cfRule>
  </conditionalFormatting>
  <conditionalFormatting sqref="D164:D169">
    <cfRule type="cellIs" dxfId="1" priority="2" operator="equal">
      <formula>$D163</formula>
    </cfRule>
  </conditionalFormatting>
  <conditionalFormatting sqref="I153:I160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2" manualBreakCount="2">
    <brk id="57" max="16383" man="1"/>
    <brk id="1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2025-10-07T01:17:04Z</cp:lastPrinted>
  <dcterms:created xsi:type="dcterms:W3CDTF">2024-07-11T02:08:33Z</dcterms:created>
  <dcterms:modified xsi:type="dcterms:W3CDTF">2025-11-27T00:56:00Z</dcterms:modified>
</cp:coreProperties>
</file>