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1D2D95A8-A1A6-427D-B673-E81F1CE93A66}" xr6:coauthVersionLast="47" xr6:coauthVersionMax="47" xr10:uidLastSave="{8DA066EF-BE60-4571-A78E-95EDC479B1CE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<sst xmlns="http://schemas.openxmlformats.org/spreadsheetml/2006/main" count="105" uniqueCount="100">
  <si>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</si>
  <si>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</si>
  <si>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</si>
  <si>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</si>
  <si>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</si>
  <si>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</si>
  <si>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</si>
  <si>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</si>
  <si>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</si>
  <si>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000000000012849</t>
  </si>
  <si>
    <t>原料名</t>
  </si>
  <si>
    <t>(CASE 888MILK-W4)</t>
  </si>
  <si>
    <t>発注明細№</t>
  </si>
  <si>
    <t>000000000838908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</si>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</sst>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F616D5D9-5E26-4E64-A5E2-D930A0CA1999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38100</xdr:rowOff>
    </xdr:from>
    <xdr:to>
      <xdr:col>9</xdr:col>
      <xdr:colOff>762000</xdr:colOff>
      <xdr:row>7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2910FF-7BA7-82F4-413E-441340AB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762000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4</xdr:row>
      <xdr:rowOff>19050</xdr:rowOff>
    </xdr:from>
    <xdr:to>
      <xdr:col>8</xdr:col>
      <xdr:colOff>771525</xdr:colOff>
      <xdr:row>7</xdr:row>
      <xdr:rowOff>104775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E4D50F7-6274-EB85-F75E-9DFF54BA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742950"/>
          <a:ext cx="742950" cy="742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30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888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46100</v>
      </c>
      <c r="E9" s="2" t="s">
        <v>19</v>
      </c>
      <c r="F9" s="123">
        <v>100</v>
      </c>
      <c r="G9" s="108"/>
      <c r="H9" s="21"/>
    </row>
    <row r="10" spans="1:10" ht="17.45" customHeight="1">
      <c r="A10" s="2" t="s">
        <v>20</v>
      </c>
      <c r="B10" s="4">
        <v>46100</v>
      </c>
      <c r="E10" s="2" t="s">
        <v>21</v>
      </c>
      <c r="F10" s="21">
        <v>2</v>
      </c>
      <c r="G10" s="109" t="s">
        <v>22</v>
      </c>
      <c r="H10" s="134">
        <v>200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27</v>
      </c>
      <c r="G28" s="126">
        <v>100</v>
      </c>
      <c r="H28" s="127"/>
      <c r="I28" s="126">
        <v>1</v>
      </c>
      <c r="J28" s="127"/>
    </row>
    <row r="29" spans="1:10" s="7" customFormat="1" ht="24.95" customHeight="1">
      <c r="A29" s="149" t="s">
        <v>50</v>
      </c>
      <c r="B29" s="112"/>
      <c r="C29" s="111"/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51</v>
      </c>
      <c r="B30" s="127"/>
      <c r="C30" s="111" t="s">
        <v>52</v>
      </c>
      <c r="D30" s="127"/>
      <c r="E30" s="127"/>
      <c r="F30" s="27" t="s">
        <v>36</v>
      </c>
      <c r="G30" s="126">
        <v>2</v>
      </c>
      <c r="H30" s="127"/>
      <c r="I30" s="126">
        <v>0.02</v>
      </c>
      <c r="J30" s="127"/>
    </row>
    <row r="31" spans="1:10" s="7" customFormat="1" ht="24.95" customHeight="1">
      <c r="A31" s="149" t="s">
        <v>53</v>
      </c>
      <c r="B31" s="112"/>
      <c r="C31" s="111" t="s">
        <v>54</v>
      </c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55</v>
      </c>
      <c r="B32" s="127"/>
      <c r="C32" s="111" t="s">
        <v>56</v>
      </c>
      <c r="D32" s="127"/>
      <c r="E32" s="127"/>
      <c r="F32" s="27"/>
      <c r="G32" s="126">
        <v>22</v>
      </c>
      <c r="H32" s="127"/>
      <c r="I32" s="126">
        <v>0.22</v>
      </c>
      <c r="J32" s="127"/>
    </row>
    <row r="33" spans="1:14" s="7" customFormat="1" ht="24.95" customHeight="1">
      <c r="A33" s="149" t="s">
        <v>57</v>
      </c>
      <c r="B33" s="112"/>
      <c r="C33" s="111" t="s">
        <v>58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 t="s">
        <v>59</v>
      </c>
      <c r="B34" s="127"/>
      <c r="C34" s="111" t="s">
        <v>60</v>
      </c>
      <c r="D34" s="127"/>
      <c r="E34" s="127"/>
      <c r="F34" s="27"/>
      <c r="G34" s="126">
        <v>0.2</v>
      </c>
      <c r="H34" s="127"/>
      <c r="I34" s="126">
        <v>2E-3</v>
      </c>
      <c r="J34" s="127"/>
    </row>
    <row r="35" spans="1:14" s="7" customFormat="1" ht="24.95" customHeight="1">
      <c r="A35" s="149" t="s">
        <v>61</v>
      </c>
      <c r="B35" s="112"/>
      <c r="C35" s="111" t="s">
        <v>62</v>
      </c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63</v>
      </c>
      <c r="B38" s="29" t="s">
        <v>64</v>
      </c>
      <c r="C38" s="113" t="s">
        <v>65</v>
      </c>
      <c r="D38" s="114"/>
      <c r="E38" s="30" t="s">
        <v>66</v>
      </c>
      <c r="F38" s="31" t="s">
        <v>67</v>
      </c>
      <c r="G38" s="32" t="s">
        <v>68</v>
      </c>
      <c r="H38" s="33" t="s">
        <v>69</v>
      </c>
      <c r="I38" s="154" t="s">
        <v>70</v>
      </c>
      <c r="J38" s="155"/>
    </row>
    <row r="39" spans="1:14" s="7" customFormat="1" ht="18" customHeight="1">
      <c r="A39" s="34" t="str">
        <f>_xlfn.XLOOKUP(B3,[1]VFDB2!$A:$A,[1]VFDB2!$J:$J)</f>
        <v>〇</v>
      </c>
      <c r="B39" s="35">
        <f>D3</f>
        <v>888</v>
      </c>
      <c r="C39" s="115" t="str">
        <f>_xlfn.XLOOKUP(B3,[1]VFDB2!$A:$A,[1]VFDB2!$Z:$Z)</f>
        <v>LED-A888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71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72</v>
      </c>
      <c r="B40" s="45" t="s">
        <v>73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74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8" t="s">
        <v>75</v>
      </c>
      <c r="D41" s="119" t="str">
        <f>_xlfn.XLOOKUP(B3,[1]VFDB2!$A:$A,[1]VFDB2!$W:$W)</f>
        <v>L=888用　クラフト紙</v>
      </c>
      <c r="E41" s="119"/>
      <c r="F41" s="120"/>
      <c r="G41" s="37"/>
      <c r="H41" s="38"/>
      <c r="I41" s="39" t="s">
        <v>76</v>
      </c>
      <c r="J41" s="41" t="str">
        <v/>
      </c>
      <c r="K41" s="50"/>
    </row>
    <row r="42" spans="1:14" s="5" customFormat="1" ht="18" customHeight="1">
      <c r="A42" s="51" t="s">
        <v>77</v>
      </c>
      <c r="B42" s="52" t="s">
        <v>78</v>
      </c>
      <c r="C42" s="118"/>
      <c r="D42" s="119" t="str">
        <f>_xlfn.XLOOKUP(B3,[1]VFDB2!$A:$A,[1]VFDB2!$R:$R)</f>
        <v>ラベル１枚　長手無　鉢巻１回</v>
      </c>
      <c r="E42" s="119"/>
      <c r="F42" s="120"/>
      <c r="G42" s="37"/>
      <c r="H42" s="38"/>
      <c r="I42" s="39" t="s">
        <v>79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2</v>
      </c>
      <c r="C43" s="55" t="s">
        <v>80</v>
      </c>
      <c r="D43" s="124" t="str">
        <f>_xlfn.XLOOKUP(B3,[1]VFDB2!$A:$A,[1]VFDB2!$V:$V)</f>
        <v>1箱目の梱包数 目視確認　以降、重量測定</v>
      </c>
      <c r="E43" s="124"/>
      <c r="F43" s="125"/>
      <c r="G43" s="56"/>
      <c r="H43" s="57"/>
      <c r="I43" s="39" t="s">
        <v>81</v>
      </c>
      <c r="J43" s="42" t="str">
        <v/>
      </c>
      <c r="K43" s="50"/>
    </row>
    <row r="44" spans="1:14" s="5" customFormat="1" ht="18" customHeight="1" thickBot="1">
      <c r="A44" s="58" t="s">
        <v>82</v>
      </c>
      <c r="B44" s="59" t="str" cm="1">
        <f t="array" ref="B44">IF(SUM(--(ISTEXT(B45:B55)*(B45:B55&lt;&gt;"")))=0,"計測Lot","計測Lot・加工数")</f>
        <v>計測Lot</v>
      </c>
      <c r="C44" s="60" t="s">
        <v>83</v>
      </c>
      <c r="D44" s="61" t="s">
        <v>84</v>
      </c>
      <c r="E44" s="62" t="s">
        <v>85</v>
      </c>
      <c r="F44" s="63" t="str" cm="1">
        <f t="array" ref="F44">IF(SUM(--(ISTEXT(B45:B55)*(B45:B55&lt;&gt;"")))=0,"記入不要","使用Lot")</f>
        <v>記入不要</v>
      </c>
      <c r="G44" s="64" t="s">
        <v>86</v>
      </c>
      <c r="H44" s="65" t="s">
        <v>87</v>
      </c>
      <c r="I44" s="66" t="s">
        <v>88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89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90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91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92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93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94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95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96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97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98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99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2026-03-11T07:46:12Z</cp:lastPrinted>
  <dcterms:created xsi:type="dcterms:W3CDTF">2024-07-11T02:08:33Z</dcterms:created>
  <dcterms:modified xsi:type="dcterms:W3CDTF">2026-06-05T10:17:17Z</dcterms:modified>
</cp:coreProperties>
</file>