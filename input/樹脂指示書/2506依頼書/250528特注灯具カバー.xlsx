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黒部工業－ＰＣ\Desktop\樹脂指示書\"/>
    </mc:Choice>
  </mc:AlternateContent>
  <xr:revisionPtr revIDLastSave="0" documentId="13_ncr:1_{EF4C5AF5-6FBC-47ED-B47A-F0C8B32830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5" i="1" l="1" a="1"/>
  <c r="A105" i="1" s="1"/>
  <c r="E102" i="1"/>
  <c r="D102" i="1"/>
  <c r="B102" i="1"/>
  <c r="E100" i="1"/>
  <c r="D100" i="1"/>
  <c r="B100" i="1"/>
  <c r="E99" i="1"/>
  <c r="D98" i="1"/>
  <c r="B98" i="1"/>
  <c r="J96" i="1" a="1"/>
  <c r="J96" i="1" s="1"/>
  <c r="H96" i="1" a="1"/>
  <c r="H96" i="1" s="1"/>
  <c r="E96" i="1"/>
  <c r="A96" i="1" a="1"/>
  <c r="A96" i="1" s="1"/>
  <c r="A39" i="1" l="1" a="1"/>
  <c r="A39" i="1" s="1"/>
  <c r="E45" i="1"/>
  <c r="D45" i="1"/>
  <c r="B45" i="1"/>
  <c r="E43" i="1"/>
  <c r="D43" i="1"/>
  <c r="B43" i="1"/>
  <c r="E42" i="1"/>
  <c r="D41" i="1"/>
  <c r="B41" i="1"/>
  <c r="E39" i="1"/>
  <c r="J39" i="1" l="1" a="1"/>
  <c r="J39" i="1" s="1"/>
  <c r="H39" i="1" a="1"/>
  <c r="H39" i="1" s="1"/>
  <c r="A48" i="1" a="1"/>
  <c r="A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<sst xmlns="http://schemas.openxmlformats.org/spreadsheetml/2006/main" count="194" uniqueCount="90">
  <si>
    <t>検査梱包指示書</t>
  </si>
  <si>
    <t>品目番号</t>
  </si>
  <si>
    <t>Ｌ寸</t>
  </si>
  <si>
    <t>名称</t>
  </si>
  <si>
    <t>上長</t>
  </si>
  <si>
    <t>係員</t>
  </si>
  <si>
    <t>製造指図№</t>
  </si>
  <si>
    <t>原料名</t>
  </si>
  <si>
    <t>発注明細№</t>
  </si>
  <si>
    <t>色　名</t>
  </si>
  <si>
    <t>製品Grp</t>
  </si>
  <si>
    <t>開始日</t>
  </si>
  <si>
    <t>入り数</t>
  </si>
  <si>
    <t>終了日</t>
  </si>
  <si>
    <t>梱包数</t>
  </si>
  <si>
    <t>指示数量</t>
  </si>
  <si>
    <t>金　型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</si>
  <si>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</si>
  <si>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</si>
  <si>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</si>
  <si>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</si>
  <si>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</si>
  <si>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</si>
  <si>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</si>
  <si>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</si>
  <si>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</si>
  <si>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</si>
  <si>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</si>
  <si>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</si>
  <si>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</si>
  <si>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</si>
  <si>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V3P13</t>
  </si>
  <si>
    <t>捺印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</si>
  <si>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</si>
  <si>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</si>
  <si>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</si>
  <si>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</si>
  <si>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</si>
  <si>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</si>
  <si>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</si>
  <si>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</si>
  <si>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-</t>
    <phoneticPr fontId="2"/>
  </si>
  <si>
    <t>0000758073</t>
    <phoneticPr fontId="2"/>
  </si>
  <si>
    <t>461300-0050灯具カバーPC</t>
    <rPh sb="11" eb="13">
      <t>トウグ</t>
    </rPh>
    <phoneticPr fontId="2"/>
  </si>
  <si>
    <t>0000758074</t>
    <phoneticPr fontId="2"/>
  </si>
  <si>
    <t>Z001</t>
    <phoneticPr fontId="2"/>
  </si>
  <si>
    <t>Z002</t>
    <phoneticPr fontId="2"/>
  </si>
  <si>
    <t>キズ</t>
    <phoneticPr fontId="2"/>
  </si>
  <si>
    <t>+公差</t>
    <phoneticPr fontId="2"/>
  </si>
  <si>
    <t>メヤニ</t>
    <phoneticPr fontId="2"/>
  </si>
  <si>
    <t>ベコツキ</t>
    <phoneticPr fontId="2"/>
  </si>
  <si>
    <t>D,端材使用</t>
    <rPh sb="2" eb="4">
      <t>ハザイ</t>
    </rPh>
    <rPh sb="4" eb="6">
      <t>シヨウ</t>
    </rPh>
    <phoneticPr fontId="2"/>
  </si>
  <si>
    <t>461300-0040灯具カバーPC</t>
    <rPh sb="11" eb="13">
      <t>トウグ</t>
    </rPh>
    <phoneticPr fontId="2"/>
  </si>
  <si>
    <t>製品名</t>
    <phoneticPr fontId="2"/>
  </si>
  <si>
    <t>梱包箱</t>
    <phoneticPr fontId="2"/>
  </si>
  <si>
    <t>加工結果</t>
    <rPh sb="0" eb="2">
      <t>カコウ</t>
    </rPh>
    <rPh sb="2" eb="4">
      <t>ケッカ</t>
    </rPh>
    <phoneticPr fontId="2"/>
  </si>
  <si>
    <t>不良内訳</t>
    <phoneticPr fontId="2"/>
  </si>
  <si>
    <t>入庫日</t>
    <phoneticPr fontId="2"/>
  </si>
  <si>
    <t>端材使用　　　　　　　　 　有 ・ 無</t>
    <phoneticPr fontId="2"/>
  </si>
  <si>
    <t>入庫数</t>
    <phoneticPr fontId="2"/>
  </si>
  <si>
    <t>凹み</t>
    <phoneticPr fontId="2"/>
  </si>
  <si>
    <t>温度換算</t>
    <phoneticPr fontId="2"/>
  </si>
  <si>
    <t>取数</t>
    <phoneticPr fontId="2"/>
  </si>
  <si>
    <t>備考</t>
    <phoneticPr fontId="2"/>
  </si>
  <si>
    <t>使用基材数</t>
    <phoneticPr fontId="2"/>
  </si>
  <si>
    <t>異物</t>
    <phoneticPr fontId="2"/>
  </si>
  <si>
    <t>基材不良</t>
    <phoneticPr fontId="2"/>
  </si>
  <si>
    <t>欠け</t>
    <phoneticPr fontId="2"/>
  </si>
  <si>
    <t>L寸</t>
    <phoneticPr fontId="2"/>
  </si>
  <si>
    <t>製品不良数</t>
    <phoneticPr fontId="2"/>
  </si>
  <si>
    <t>梱包方法</t>
    <phoneticPr fontId="2"/>
  </si>
  <si>
    <t>端材使用</t>
    <phoneticPr fontId="2"/>
  </si>
  <si>
    <t>切断寸法</t>
    <phoneticPr fontId="2"/>
  </si>
  <si>
    <t>-公差</t>
    <phoneticPr fontId="2"/>
  </si>
  <si>
    <t>切断者</t>
    <phoneticPr fontId="2"/>
  </si>
  <si>
    <t>その他</t>
    <phoneticPr fontId="2"/>
  </si>
  <si>
    <t>検査者</t>
    <phoneticPr fontId="2"/>
  </si>
  <si>
    <t>合計</t>
    <phoneticPr fontId="2"/>
  </si>
  <si>
    <t>作業日</t>
    <phoneticPr fontId="2"/>
  </si>
  <si>
    <t>基材Lot</t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</si>
  <si>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</si>
  <si>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</si>
  <si>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</si>
  <si>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</si>
  <si>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B.加工数</t>
    <phoneticPr fontId="2"/>
  </si>
  <si>
    <t>C.基材換算</t>
    <phoneticPr fontId="2"/>
  </si>
  <si>
    <t>加工Lot</t>
    <phoneticPr fontId="2"/>
  </si>
  <si>
    <t>箱数</t>
    <phoneticPr fontId="2"/>
  </si>
  <si>
    <t>ZZ001</t>
    <phoneticPr fontId="2"/>
  </si>
  <si>
    <t>ZZ002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</si>
</sst>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800]dddd\,\ mmmm\ dd\,\ yyyy"/>
    <numFmt numFmtId="177" formatCode="#,##0.0_ "/>
    <numFmt numFmtId="178" formatCode="#,##0_ "/>
    <numFmt numFmtId="179" formatCode="#"/>
    <numFmt numFmtId="180" formatCode="m/d"/>
    <numFmt numFmtId="181" formatCode="&quot;L=&quot;0.0_ "/>
    <numFmt numFmtId="182" formatCode="0.00_ "/>
    <numFmt numFmtId="183" formatCode="yy\,mm\,dd"/>
    <numFmt numFmtId="184" formatCode="#&quot;箱&quot;"/>
  </numFmts>
  <fonts count="36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2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sz val="28"/>
      <name val="K's BarCodeFont Code39"/>
      <family val="2"/>
    </font>
    <font>
      <sz val="28"/>
      <name val="ＭＳ Ｐゴシック"/>
      <family val="3"/>
      <charset val="128"/>
    </font>
    <font>
      <sz val="26"/>
      <name val="K's BarCodeFont Code39"/>
      <family val="2"/>
    </font>
    <font>
      <sz val="2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1" fillId="0" borderId="0"/>
  </cellStyleXfs>
  <cellXfs count="18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13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9" fillId="0" borderId="0" xfId="1" applyNumberFormat="1" applyFont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26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180" fontId="27" fillId="4" borderId="22" xfId="0" applyNumberFormat="1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15" fillId="0" borderId="0" xfId="0" applyNumberFormat="1" applyFont="1" applyAlignment="1">
      <alignment vertical="top" shrinkToFit="1"/>
    </xf>
    <xf numFmtId="180" fontId="27" fillId="0" borderId="2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83" fontId="27" fillId="0" borderId="22" xfId="0" applyNumberFormat="1" applyFont="1" applyBorder="1" applyAlignment="1">
      <alignment horizontal="center" vertical="center"/>
    </xf>
    <xf numFmtId="184" fontId="27" fillId="0" borderId="24" xfId="0" applyNumberFormat="1" applyFont="1" applyBorder="1" applyAlignment="1">
      <alignment horizontal="center" vertical="center"/>
    </xf>
    <xf numFmtId="180" fontId="27" fillId="0" borderId="26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183" fontId="27" fillId="0" borderId="26" xfId="0" applyNumberFormat="1" applyFont="1" applyBorder="1" applyAlignment="1">
      <alignment horizontal="center" vertical="center"/>
    </xf>
    <xf numFmtId="184" fontId="27" fillId="0" borderId="28" xfId="0" applyNumberFormat="1" applyFont="1" applyBorder="1" applyAlignment="1">
      <alignment horizontal="center" vertical="center"/>
    </xf>
    <xf numFmtId="49" fontId="29" fillId="3" borderId="29" xfId="1" applyNumberFormat="1" applyFont="1" applyFill="1" applyBorder="1" applyAlignment="1">
      <alignment horizontal="left" vertical="center" shrinkToFit="1"/>
    </xf>
    <xf numFmtId="0" fontId="14" fillId="3" borderId="30" xfId="0" applyFont="1" applyFill="1" applyBorder="1">
      <alignment vertical="center"/>
    </xf>
    <xf numFmtId="179" fontId="17" fillId="0" borderId="27" xfId="1" applyNumberFormat="1" applyFont="1" applyBorder="1" applyAlignment="1">
      <alignment horizontal="center" vertical="center" shrinkToFit="1"/>
    </xf>
    <xf numFmtId="49" fontId="15" fillId="0" borderId="17" xfId="1" applyNumberFormat="1" applyFont="1" applyBorder="1" applyAlignment="1">
      <alignment horizontal="center" vertical="center" shrinkToFit="1"/>
    </xf>
    <xf numFmtId="179" fontId="15" fillId="0" borderId="24" xfId="1" applyNumberFormat="1" applyFont="1" applyBorder="1" applyAlignment="1">
      <alignment horizontal="center" vertical="center" shrinkToFit="1"/>
    </xf>
    <xf numFmtId="179" fontId="6" fillId="0" borderId="28" xfId="1" applyNumberFormat="1" applyFont="1" applyBorder="1" applyAlignment="1">
      <alignment horizontal="center" vertical="center" shrinkToFit="1"/>
    </xf>
    <xf numFmtId="49" fontId="4" fillId="0" borderId="40" xfId="1" applyNumberFormat="1" applyFont="1" applyBorder="1" applyAlignment="1">
      <alignment horizontal="center" vertical="center" shrinkToFit="1"/>
    </xf>
    <xf numFmtId="0" fontId="31" fillId="5" borderId="19" xfId="0" applyFont="1" applyFill="1" applyBorder="1" applyAlignment="1">
      <alignment horizontal="center" vertical="center"/>
    </xf>
    <xf numFmtId="49" fontId="31" fillId="5" borderId="20" xfId="1" applyNumberFormat="1" applyFont="1" applyFill="1" applyBorder="1" applyAlignment="1">
      <alignment vertical="center" shrinkToFit="1"/>
    </xf>
    <xf numFmtId="49" fontId="31" fillId="5" borderId="20" xfId="1" applyNumberFormat="1" applyFont="1" applyFill="1" applyBorder="1" applyAlignment="1">
      <alignment horizontal="center" vertical="center" shrinkToFit="1"/>
    </xf>
    <xf numFmtId="49" fontId="31" fillId="5" borderId="21" xfId="0" applyNumberFormat="1" applyFont="1" applyFill="1" applyBorder="1" applyAlignment="1">
      <alignment horizontal="center" vertical="center" shrinkToFit="1"/>
    </xf>
    <xf numFmtId="0" fontId="31" fillId="2" borderId="19" xfId="0" applyFont="1" applyFill="1" applyBorder="1">
      <alignment vertical="center"/>
    </xf>
    <xf numFmtId="0" fontId="17" fillId="3" borderId="41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182" fontId="27" fillId="4" borderId="42" xfId="0" applyNumberFormat="1" applyFont="1" applyFill="1" applyBorder="1" applyAlignment="1">
      <alignment horizontal="center" vertical="center"/>
    </xf>
    <xf numFmtId="0" fontId="27" fillId="4" borderId="22" xfId="0" applyFont="1" applyFill="1" applyBorder="1" applyAlignment="1">
      <alignment horizontal="center" vertical="center"/>
    </xf>
    <xf numFmtId="182" fontId="27" fillId="0" borderId="24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182" fontId="27" fillId="0" borderId="28" xfId="0" applyNumberFormat="1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49" fontId="24" fillId="0" borderId="3" xfId="1" applyNumberFormat="1" applyFont="1" applyBorder="1" applyAlignment="1">
      <alignment vertical="center" shrinkToFit="1"/>
    </xf>
    <xf numFmtId="179" fontId="1" fillId="0" borderId="0" xfId="1" applyNumberFormat="1" applyAlignment="1">
      <alignment horizontal="center" vertical="center" shrinkToFit="1"/>
    </xf>
    <xf numFmtId="179" fontId="1" fillId="0" borderId="1" xfId="1" applyNumberFormat="1" applyBorder="1" applyAlignment="1">
      <alignment horizontal="center" vertical="center" shrinkToFit="1"/>
    </xf>
    <xf numFmtId="179" fontId="3" fillId="0" borderId="0" xfId="1" applyNumberFormat="1" applyFont="1" applyAlignment="1">
      <alignment horizontal="left" vertical="center" shrinkToFit="1"/>
    </xf>
    <xf numFmtId="179" fontId="1" fillId="0" borderId="0" xfId="1" applyNumberFormat="1" applyAlignment="1">
      <alignment vertical="center" shrinkToFit="1"/>
    </xf>
    <xf numFmtId="179" fontId="4" fillId="0" borderId="0" xfId="1" applyNumberFormat="1" applyFont="1" applyAlignment="1">
      <alignment horizontal="left" vertical="center" shrinkToFit="1"/>
    </xf>
    <xf numFmtId="179" fontId="1" fillId="0" borderId="7" xfId="1" applyNumberFormat="1" applyBorder="1" applyAlignment="1">
      <alignment vertical="center" shrinkToFit="1"/>
    </xf>
    <xf numFmtId="179" fontId="15" fillId="0" borderId="22" xfId="1" applyNumberFormat="1" applyFont="1" applyBorder="1" applyAlignment="1">
      <alignment horizontal="center" vertical="center" shrinkToFit="1"/>
    </xf>
    <xf numFmtId="179" fontId="30" fillId="0" borderId="2" xfId="1" applyNumberFormat="1" applyFont="1" applyBorder="1" applyAlignment="1">
      <alignment horizontal="center" vertical="center" shrinkToFit="1"/>
    </xf>
    <xf numFmtId="179" fontId="24" fillId="0" borderId="22" xfId="1" applyNumberFormat="1" applyFont="1" applyBorder="1" applyAlignment="1">
      <alignment horizontal="center" vertical="center" shrinkToFit="1"/>
    </xf>
    <xf numFmtId="179" fontId="15" fillId="0" borderId="26" xfId="1" applyNumberFormat="1" applyFont="1" applyBorder="1" applyAlignment="1">
      <alignment horizontal="center" vertical="center" shrinkToFit="1"/>
    </xf>
    <xf numFmtId="179" fontId="31" fillId="2" borderId="20" xfId="0" applyNumberFormat="1" applyFont="1" applyFill="1" applyBorder="1" applyAlignment="1">
      <alignment horizontal="center" vertical="center" shrinkToFit="1"/>
    </xf>
    <xf numFmtId="179" fontId="31" fillId="2" borderId="21" xfId="0" applyNumberFormat="1" applyFont="1" applyFill="1" applyBorder="1" applyAlignment="1">
      <alignment horizontal="center" vertical="center" shrinkToFit="1"/>
    </xf>
    <xf numFmtId="179" fontId="27" fillId="4" borderId="2" xfId="0" applyNumberFormat="1" applyFont="1" applyFill="1" applyBorder="1" applyAlignment="1">
      <alignment horizontal="center" vertical="center"/>
    </xf>
    <xf numFmtId="179" fontId="27" fillId="4" borderId="24" xfId="0" applyNumberFormat="1" applyFont="1" applyFill="1" applyBorder="1" applyAlignment="1">
      <alignment horizontal="center" vertical="center"/>
    </xf>
    <xf numFmtId="179" fontId="27" fillId="0" borderId="2" xfId="0" applyNumberFormat="1" applyFont="1" applyBorder="1" applyAlignment="1">
      <alignment horizontal="center" vertical="center"/>
    </xf>
    <xf numFmtId="179" fontId="27" fillId="0" borderId="24" xfId="0" applyNumberFormat="1" applyFont="1" applyBorder="1" applyAlignment="1">
      <alignment horizontal="center" vertical="center"/>
    </xf>
    <xf numFmtId="179" fontId="27" fillId="0" borderId="27" xfId="0" applyNumberFormat="1" applyFont="1" applyBorder="1" applyAlignment="1">
      <alignment horizontal="center" vertical="center"/>
    </xf>
    <xf numFmtId="179" fontId="27" fillId="0" borderId="28" xfId="0" applyNumberFormat="1" applyFont="1" applyBorder="1" applyAlignment="1">
      <alignment horizontal="center" vertical="center"/>
    </xf>
    <xf numFmtId="179" fontId="1" fillId="0" borderId="13" xfId="1" applyNumberFormat="1" applyBorder="1" applyAlignment="1">
      <alignment vertical="center" shrinkToFit="1"/>
    </xf>
    <xf numFmtId="179" fontId="1" fillId="0" borderId="1" xfId="1" applyNumberFormat="1" applyBorder="1" applyAlignment="1">
      <alignment vertical="center" shrinkToFit="1"/>
    </xf>
    <xf numFmtId="49" fontId="18" fillId="0" borderId="8" xfId="1" applyNumberFormat="1" applyFont="1" applyBorder="1" applyAlignment="1">
      <alignment horizontal="center" vertical="center" shrinkToFit="1"/>
    </xf>
    <xf numFmtId="49" fontId="18" fillId="0" borderId="30" xfId="1" applyNumberFormat="1" applyFont="1" applyBorder="1" applyAlignment="1">
      <alignment horizontal="center" vertical="center" shrinkToFit="1"/>
    </xf>
    <xf numFmtId="0" fontId="14" fillId="2" borderId="22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182" fontId="20" fillId="0" borderId="3" xfId="0" applyNumberFormat="1" applyFont="1" applyBorder="1" applyAlignment="1">
      <alignment horizontal="center" vertical="center"/>
    </xf>
    <xf numFmtId="182" fontId="20" fillId="0" borderId="37" xfId="0" applyNumberFormat="1" applyFont="1" applyBorder="1" applyAlignment="1">
      <alignment horizontal="center" vertical="center"/>
    </xf>
    <xf numFmtId="49" fontId="23" fillId="2" borderId="18" xfId="1" applyNumberFormat="1" applyFont="1" applyFill="1" applyBorder="1" applyAlignment="1">
      <alignment horizontal="center" vertical="center" shrinkToFit="1"/>
    </xf>
    <xf numFmtId="49" fontId="23" fillId="2" borderId="38" xfId="1" applyNumberFormat="1" applyFont="1" applyFill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179" fontId="25" fillId="0" borderId="22" xfId="0" applyNumberFormat="1" applyFont="1" applyBorder="1" applyAlignment="1">
      <alignment horizontal="left" vertical="center"/>
    </xf>
    <xf numFmtId="179" fontId="25" fillId="0" borderId="24" xfId="0" applyNumberFormat="1" applyFont="1" applyBorder="1" applyAlignment="1">
      <alignment horizontal="left" vertical="center"/>
    </xf>
    <xf numFmtId="49" fontId="4" fillId="0" borderId="26" xfId="1" applyNumberFormat="1" applyFont="1" applyBorder="1" applyAlignment="1">
      <alignment horizontal="left" vertical="center" shrinkToFit="1"/>
    </xf>
    <xf numFmtId="49" fontId="4" fillId="0" borderId="28" xfId="1" applyNumberFormat="1" applyFont="1" applyBorder="1" applyAlignment="1">
      <alignment horizontal="left" vertical="center" shrinkToFit="1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49" fontId="14" fillId="2" borderId="18" xfId="1" applyNumberFormat="1" applyFont="1" applyFill="1" applyBorder="1" applyAlignment="1">
      <alignment horizontal="center" vertical="center" shrinkToFit="1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1" fillId="0" borderId="32" xfId="1" applyFont="1" applyBorder="1" applyAlignment="1">
      <alignment horizontal="center" vertical="center" shrinkToFit="1"/>
    </xf>
    <xf numFmtId="0" fontId="21" fillId="0" borderId="36" xfId="1" applyFont="1" applyBorder="1" applyAlignment="1">
      <alignment horizontal="center" vertical="center" shrinkToFit="1"/>
    </xf>
    <xf numFmtId="0" fontId="27" fillId="3" borderId="22" xfId="0" applyFont="1" applyFill="1" applyBorder="1" applyAlignment="1">
      <alignment horizontal="left" vertical="center" wrapText="1"/>
    </xf>
    <xf numFmtId="0" fontId="27" fillId="3" borderId="24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shrinkToFit="1"/>
    </xf>
    <xf numFmtId="0" fontId="18" fillId="0" borderId="24" xfId="0" applyFont="1" applyBorder="1" applyAlignment="1">
      <alignment horizontal="left" vertical="center" shrinkToFit="1"/>
    </xf>
    <xf numFmtId="49" fontId="14" fillId="2" borderId="22" xfId="1" applyNumberFormat="1" applyFont="1" applyFill="1" applyBorder="1" applyAlignment="1">
      <alignment horizontal="center" vertical="center" shrinkToFit="1"/>
    </xf>
    <xf numFmtId="181" fontId="20" fillId="0" borderId="3" xfId="0" applyNumberFormat="1" applyFont="1" applyBorder="1" applyAlignment="1">
      <alignment horizontal="center" vertical="center"/>
    </xf>
    <xf numFmtId="181" fontId="20" fillId="0" borderId="6" xfId="0" applyNumberFormat="1" applyFont="1" applyBorder="1" applyAlignment="1">
      <alignment horizontal="center" vertical="center"/>
    </xf>
    <xf numFmtId="49" fontId="23" fillId="2" borderId="18" xfId="0" applyNumberFormat="1" applyFont="1" applyFill="1" applyBorder="1" applyAlignment="1">
      <alignment horizontal="center" vertical="center"/>
    </xf>
    <xf numFmtId="49" fontId="23" fillId="2" borderId="16" xfId="0" applyNumberFormat="1" applyFont="1" applyFill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7" fillId="3" borderId="22" xfId="0" applyFont="1" applyFill="1" applyBorder="1" applyAlignment="1">
      <alignment horizontal="left" vertical="center"/>
    </xf>
    <xf numFmtId="0" fontId="27" fillId="3" borderId="24" xfId="0" applyFont="1" applyFill="1" applyBorder="1" applyAlignment="1">
      <alignment horizontal="left" vertical="center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0" fontId="14" fillId="2" borderId="2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6" fillId="0" borderId="31" xfId="1" applyFont="1" applyBorder="1" applyAlignment="1">
      <alignment horizontal="center" vertical="center" shrinkToFit="1"/>
    </xf>
    <xf numFmtId="0" fontId="16" fillId="0" borderId="14" xfId="1" applyFont="1" applyBorder="1" applyAlignment="1">
      <alignment horizontal="center" vertical="center" shrinkToFit="1"/>
    </xf>
    <xf numFmtId="0" fontId="16" fillId="0" borderId="32" xfId="1" applyFont="1" applyBorder="1" applyAlignment="1">
      <alignment horizontal="center" vertical="center" shrinkToFit="1"/>
    </xf>
    <xf numFmtId="0" fontId="16" fillId="0" borderId="35" xfId="1" applyFont="1" applyBorder="1" applyAlignment="1">
      <alignment horizontal="center" vertical="center" shrinkToFit="1"/>
    </xf>
    <xf numFmtId="0" fontId="16" fillId="0" borderId="10" xfId="1" applyFont="1" applyBorder="1" applyAlignment="1">
      <alignment horizontal="center" vertical="center" shrinkToFit="1"/>
    </xf>
    <xf numFmtId="0" fontId="16" fillId="0" borderId="36" xfId="1" applyFont="1" applyBorder="1" applyAlignment="1">
      <alignment horizontal="center" vertical="center" shrinkToFit="1"/>
    </xf>
    <xf numFmtId="179" fontId="17" fillId="0" borderId="33" xfId="0" applyNumberFormat="1" applyFont="1" applyBorder="1" applyAlignment="1">
      <alignment horizontal="left" vertical="center" shrinkToFit="1"/>
    </xf>
    <xf numFmtId="179" fontId="17" fillId="0" borderId="34" xfId="0" applyNumberFormat="1" applyFont="1" applyBorder="1" applyAlignment="1">
      <alignment horizontal="left" vertical="center" shrinkToFit="1"/>
    </xf>
    <xf numFmtId="0" fontId="18" fillId="0" borderId="22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9" fontId="12" fillId="0" borderId="0" xfId="1" applyNumberFormat="1" applyFont="1" applyAlignment="1">
      <alignment horizontal="left" vertical="center" shrinkToFit="1"/>
    </xf>
    <xf numFmtId="179" fontId="4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0" xfId="1" applyNumberForma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2" fillId="0" borderId="0" xfId="1" applyNumberFormat="1" applyFont="1" applyAlignment="1">
      <alignment horizontal="righ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0" fontId="0" fillId="0" borderId="8" xfId="0" applyBorder="1" applyAlignment="1"/>
    <xf numFmtId="0" fontId="12" fillId="0" borderId="0" xfId="0" applyFont="1">
      <alignment vertical="center"/>
    </xf>
    <xf numFmtId="49" fontId="10" fillId="0" borderId="0" xfId="1" applyNumberFormat="1" applyFont="1" applyAlignment="1">
      <alignment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0" fontId="0" fillId="0" borderId="4" xfId="0" applyBorder="1" applyAlignment="1"/>
    <xf numFmtId="49" fontId="3" fillId="0" borderId="0" xfId="1" applyNumberFormat="1" applyFont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49" fontId="3" fillId="0" borderId="4" xfId="1" applyNumberFormat="1" applyFont="1" applyBorder="1" applyAlignment="1">
      <alignment horizontal="left" vertical="center" shrinkToFit="1"/>
    </xf>
    <xf numFmtId="49" fontId="3" fillId="0" borderId="0" xfId="1" applyNumberFormat="1" applyFont="1" applyAlignment="1">
      <alignment horizontal="left" vertical="center" shrinkToFit="1"/>
    </xf>
    <xf numFmtId="178" fontId="11" fillId="0" borderId="2" xfId="1" applyNumberFormat="1" applyFont="1" applyBorder="1" applyAlignment="1">
      <alignment horizontal="center" vertical="center" shrinkToFi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179" fontId="12" fillId="0" borderId="9" xfId="1" applyNumberFormat="1" applyFont="1" applyBorder="1" applyAlignment="1">
      <alignment vertical="center" shrinkToFit="1"/>
    </xf>
    <xf numFmtId="179" fontId="0" fillId="0" borderId="9" xfId="0" applyNumberFormat="1" applyBorder="1" applyAlignment="1"/>
    <xf numFmtId="49" fontId="12" fillId="0" borderId="8" xfId="1" applyNumberFormat="1" applyFont="1" applyBorder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179" fontId="11" fillId="0" borderId="6" xfId="1" applyNumberFormat="1" applyFont="1" applyBorder="1" applyAlignment="1">
      <alignment vertical="center" shrinkToFit="1"/>
    </xf>
    <xf numFmtId="179" fontId="0" fillId="0" borderId="6" xfId="0" applyNumberFormat="1" applyBorder="1" applyAlignment="1"/>
    <xf numFmtId="179" fontId="5" fillId="4" borderId="19" xfId="1" applyNumberFormat="1" applyFont="1" applyFill="1" applyBorder="1" applyAlignment="1">
      <alignment horizontal="center" vertical="center" shrinkToFit="1"/>
    </xf>
    <xf numFmtId="179" fontId="5" fillId="4" borderId="20" xfId="1" applyNumberFormat="1" applyFont="1" applyFill="1" applyBorder="1" applyAlignment="1">
      <alignment horizontal="center" vertical="center" shrinkToFit="1"/>
    </xf>
    <xf numFmtId="49" fontId="11" fillId="0" borderId="12" xfId="1" applyNumberFormat="1" applyFont="1" applyBorder="1" applyAlignment="1">
      <alignment vertical="center" shrinkToFit="1"/>
    </xf>
    <xf numFmtId="179" fontId="11" fillId="0" borderId="11" xfId="1" applyNumberFormat="1" applyFont="1" applyBorder="1" applyAlignment="1">
      <alignment horizontal="center" vertical="center" shrinkToFit="1"/>
    </xf>
    <xf numFmtId="179" fontId="0" fillId="0" borderId="16" xfId="0" applyNumberFormat="1" applyBorder="1" applyAlignment="1"/>
    <xf numFmtId="179" fontId="11" fillId="0" borderId="2" xfId="1" applyNumberFormat="1" applyFont="1" applyBorder="1" applyAlignment="1">
      <alignment vertical="center" shrinkToFit="1"/>
    </xf>
    <xf numFmtId="49" fontId="32" fillId="0" borderId="0" xfId="1" applyNumberFormat="1" applyFont="1" applyAlignment="1">
      <alignment vertical="center" shrinkToFit="1"/>
    </xf>
    <xf numFmtId="49" fontId="33" fillId="0" borderId="0" xfId="1" applyNumberFormat="1" applyFont="1" applyAlignment="1">
      <alignment vertical="center" shrinkToFit="1"/>
    </xf>
    <xf numFmtId="49" fontId="34" fillId="0" borderId="0" xfId="1" applyNumberFormat="1" applyFont="1" applyAlignment="1">
      <alignment vertical="center" shrinkToFit="1"/>
    </xf>
    <xf numFmtId="49" fontId="35" fillId="0" borderId="0" xfId="1" applyNumberFormat="1" applyFont="1" applyAlignment="1">
      <alignment vertical="center" shrinkToFit="1"/>
    </xf>
  </cellXfs>
  <cellStyles count="2">
    <cellStyle name="標準" xfId="0" builtinId="0"/>
    <cellStyle name="標準 2" xfId="1" xr:uid="{00000000-0005-0000-0000-000001000000}"/>
  </cellStyles>
  <dxfs count="4">
    <dxf>
      <font>
        <b/>
        <i val="0"/>
        <color theme="0"/>
      </font>
    </dxf>
    <dxf>
      <font>
        <b/>
        <i val="0"/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0658;&#37096;&#24037;&#26989;&#65293;&#65328;&#65315;\Desktop\sgt.xlsm" TargetMode="External"/><Relationship Id="rId1" Type="http://schemas.openxmlformats.org/officeDocument/2006/relationships/externalLinkPath" Target="/Users/&#40658;&#37096;&#24037;&#26989;&#65293;&#65328;&#65315;/Desktop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M"/>
      <sheetName val="加工記録表"/>
      <sheetName val="納品明細書"/>
      <sheetName val="請求"/>
      <sheetName val="依頼書保管"/>
      <sheetName val="指図書"/>
      <sheetName val="VFDB2"/>
      <sheetName val="温度換算"/>
      <sheetName val="網戸日程"/>
    </sheetNames>
    <sheetDataSet>
      <sheetData sheetId="0"/>
      <sheetData sheetId="1"/>
      <sheetData sheetId="2">
        <row r="2">
          <cell r="D2" t="str">
            <v>作業日</v>
          </cell>
          <cell r="E2" t="str">
            <v>基材Lot</v>
          </cell>
          <cell r="F2" t="str">
            <v>温度</v>
          </cell>
          <cell r="G2" t="str">
            <v>換算すんぽぽ</v>
          </cell>
          <cell r="H2" t="str">
            <v>計測値</v>
          </cell>
          <cell r="I2" t="str">
            <v>使用Lot</v>
          </cell>
          <cell r="J2" t="str">
            <v>加工数</v>
          </cell>
          <cell r="K2" t="str">
            <v>基材換算</v>
          </cell>
          <cell r="L2" t="str">
            <v>加工Lot</v>
          </cell>
          <cell r="M2" t="str">
            <v>箱数</v>
          </cell>
        </row>
        <row r="3">
          <cell r="D3" t="str">
            <v>3/18/</v>
          </cell>
          <cell r="E3" t="str">
            <v>25C11-01</v>
          </cell>
          <cell r="I3" t="str">
            <v>25C11-01</v>
          </cell>
          <cell r="J3">
            <v>3</v>
          </cell>
          <cell r="K3">
            <v>3</v>
          </cell>
          <cell r="O3">
            <v>45811</v>
          </cell>
          <cell r="Q3">
            <v>8</v>
          </cell>
          <cell r="T3" t="str">
            <v>000000000003340</v>
          </cell>
        </row>
        <row r="4">
          <cell r="D4">
            <v>45807</v>
          </cell>
          <cell r="E4" t="str">
            <v>25E17-01</v>
          </cell>
          <cell r="G4" t="str">
            <v/>
          </cell>
          <cell r="I4" t="str">
            <v>25E17-01</v>
          </cell>
          <cell r="J4">
            <v>200</v>
          </cell>
          <cell r="K4">
            <v>200</v>
          </cell>
          <cell r="L4">
            <v>45807</v>
          </cell>
          <cell r="M4">
            <v>7</v>
          </cell>
          <cell r="O4">
            <v>288</v>
          </cell>
          <cell r="Q4">
            <v>87</v>
          </cell>
          <cell r="T4" t="str">
            <v>000000000003340</v>
          </cell>
        </row>
        <row r="5">
          <cell r="D5">
            <v>45810</v>
          </cell>
          <cell r="E5" t="str">
            <v>25E20-02</v>
          </cell>
          <cell r="G5" t="str">
            <v/>
          </cell>
          <cell r="I5" t="str">
            <v>25E20-02</v>
          </cell>
          <cell r="J5">
            <v>187</v>
          </cell>
          <cell r="K5">
            <v>187</v>
          </cell>
          <cell r="L5">
            <v>45810</v>
          </cell>
          <cell r="M5">
            <v>8</v>
          </cell>
          <cell r="O5">
            <v>390</v>
          </cell>
          <cell r="Q5">
            <v>7</v>
          </cell>
          <cell r="T5" t="str">
            <v>000000000003340</v>
          </cell>
        </row>
        <row r="6">
          <cell r="D6">
            <v>45811</v>
          </cell>
          <cell r="E6" t="str">
            <v>25E20-02</v>
          </cell>
          <cell r="G6" t="str">
            <v/>
          </cell>
          <cell r="J6" t="str">
            <v/>
          </cell>
          <cell r="L6">
            <v>45811</v>
          </cell>
          <cell r="M6">
            <v>3</v>
          </cell>
          <cell r="O6">
            <v>102</v>
          </cell>
          <cell r="T6" t="str">
            <v>000000000003340</v>
          </cell>
        </row>
        <row r="7">
          <cell r="G7" t="str">
            <v/>
          </cell>
          <cell r="J7" t="str">
            <v/>
          </cell>
          <cell r="O7">
            <v>102</v>
          </cell>
          <cell r="T7" t="str">
            <v>000000000003340</v>
          </cell>
        </row>
        <row r="8">
          <cell r="G8" t="str">
            <v/>
          </cell>
          <cell r="J8" t="str">
            <v/>
          </cell>
          <cell r="T8" t="str">
            <v>000000000003340</v>
          </cell>
        </row>
        <row r="9">
          <cell r="G9" t="str">
            <v/>
          </cell>
          <cell r="J9" t="str">
            <v/>
          </cell>
          <cell r="O9" t="str">
            <v>水野</v>
          </cell>
          <cell r="T9" t="str">
            <v>000000000003340</v>
          </cell>
        </row>
        <row r="10">
          <cell r="G10" t="str">
            <v/>
          </cell>
          <cell r="J10" t="str">
            <v/>
          </cell>
          <cell r="O10" t="str">
            <v>-</v>
          </cell>
          <cell r="Q10">
            <v>102</v>
          </cell>
          <cell r="T10" t="str">
            <v>000000000003340</v>
          </cell>
        </row>
        <row r="11">
          <cell r="D11">
            <v>45768</v>
          </cell>
          <cell r="E11" t="str">
            <v>25D10-01</v>
          </cell>
          <cell r="I11" t="str">
            <v>25D10-01</v>
          </cell>
          <cell r="J11">
            <v>3</v>
          </cell>
          <cell r="K11">
            <v>3</v>
          </cell>
          <cell r="L11">
            <v>45806</v>
          </cell>
          <cell r="M11">
            <v>2</v>
          </cell>
          <cell r="O11">
            <v>45807</v>
          </cell>
          <cell r="Q11">
            <v>7</v>
          </cell>
          <cell r="T11" t="str">
            <v>000000000003339</v>
          </cell>
        </row>
        <row r="12">
          <cell r="D12">
            <v>45806</v>
          </cell>
          <cell r="E12" t="str">
            <v>25E17-01</v>
          </cell>
          <cell r="G12" t="str">
            <v/>
          </cell>
          <cell r="I12" t="str">
            <v>25E17-01</v>
          </cell>
          <cell r="J12">
            <v>200</v>
          </cell>
          <cell r="K12">
            <v>200</v>
          </cell>
          <cell r="L12">
            <v>45807</v>
          </cell>
          <cell r="M12">
            <v>9</v>
          </cell>
          <cell r="O12">
            <v>176</v>
          </cell>
          <cell r="Q12">
            <v>19</v>
          </cell>
          <cell r="T12" t="str">
            <v>000000000003339</v>
          </cell>
        </row>
        <row r="13">
          <cell r="G13" t="str">
            <v/>
          </cell>
          <cell r="J13" t="str">
            <v/>
          </cell>
          <cell r="O13">
            <v>203</v>
          </cell>
          <cell r="T13" t="str">
            <v>000000000003339</v>
          </cell>
        </row>
        <row r="14">
          <cell r="G14" t="str">
            <v/>
          </cell>
          <cell r="J14" t="str">
            <v/>
          </cell>
          <cell r="O14">
            <v>27</v>
          </cell>
          <cell r="Q14">
            <v>1</v>
          </cell>
          <cell r="T14" t="str">
            <v>000000000003339</v>
          </cell>
        </row>
        <row r="15">
          <cell r="G15" t="str">
            <v/>
          </cell>
          <cell r="J15" t="str">
            <v/>
          </cell>
          <cell r="O15">
            <v>27</v>
          </cell>
          <cell r="T15" t="str">
            <v>000000000003339</v>
          </cell>
        </row>
        <row r="16">
          <cell r="G16" t="str">
            <v/>
          </cell>
          <cell r="J16" t="str">
            <v/>
          </cell>
          <cell r="T16" t="str">
            <v>000000000003339</v>
          </cell>
        </row>
        <row r="17">
          <cell r="G17" t="str">
            <v/>
          </cell>
          <cell r="J17" t="str">
            <v/>
          </cell>
          <cell r="O17" t="str">
            <v>水野</v>
          </cell>
          <cell r="T17" t="str">
            <v>000000000003339</v>
          </cell>
        </row>
        <row r="18">
          <cell r="G18" t="str">
            <v/>
          </cell>
          <cell r="J18" t="str">
            <v/>
          </cell>
          <cell r="O18" t="str">
            <v>-</v>
          </cell>
          <cell r="Q18">
            <v>27</v>
          </cell>
          <cell r="T18" t="str">
            <v>000000000003339</v>
          </cell>
        </row>
        <row r="19">
          <cell r="I19" t="str">
            <v>25D10-01</v>
          </cell>
          <cell r="J19" t="str">
            <v/>
          </cell>
          <cell r="L19">
            <v>45806</v>
          </cell>
          <cell r="M19">
            <v>5</v>
          </cell>
          <cell r="O19">
            <v>45806</v>
          </cell>
          <cell r="T19" t="str">
            <v>Z002</v>
          </cell>
        </row>
        <row r="20">
          <cell r="D20">
            <v>45806</v>
          </cell>
          <cell r="E20" t="str">
            <v>25D10-01</v>
          </cell>
          <cell r="F20">
            <v>22</v>
          </cell>
          <cell r="G20" t="str">
            <v/>
          </cell>
          <cell r="H20">
            <v>670.15</v>
          </cell>
          <cell r="J20" t="str">
            <v/>
          </cell>
          <cell r="K20">
            <v>0</v>
          </cell>
          <cell r="O20">
            <v>10</v>
          </cell>
          <cell r="T20" t="str">
            <v>Z002</v>
          </cell>
        </row>
        <row r="21">
          <cell r="D21">
            <v>45806</v>
          </cell>
          <cell r="E21" t="str">
            <v>25D10-01</v>
          </cell>
          <cell r="F21">
            <v>22</v>
          </cell>
          <cell r="G21" t="str">
            <v/>
          </cell>
          <cell r="H21">
            <v>670.2</v>
          </cell>
          <cell r="J21" t="str">
            <v/>
          </cell>
          <cell r="O21">
            <v>10</v>
          </cell>
          <cell r="T21" t="str">
            <v>Z002</v>
          </cell>
        </row>
        <row r="22">
          <cell r="G22" t="str">
            <v/>
          </cell>
          <cell r="J22" t="str">
            <v/>
          </cell>
          <cell r="O22">
            <v>0</v>
          </cell>
          <cell r="T22" t="str">
            <v>Z002</v>
          </cell>
        </row>
        <row r="23">
          <cell r="G23" t="str">
            <v/>
          </cell>
          <cell r="J23" t="str">
            <v/>
          </cell>
          <cell r="O23">
            <v>0</v>
          </cell>
          <cell r="T23" t="str">
            <v>Z002</v>
          </cell>
        </row>
        <row r="24">
          <cell r="G24" t="str">
            <v/>
          </cell>
          <cell r="J24" t="str">
            <v/>
          </cell>
          <cell r="T24" t="str">
            <v>Z002</v>
          </cell>
        </row>
        <row r="25">
          <cell r="G25" t="str">
            <v/>
          </cell>
          <cell r="J25" t="str">
            <v/>
          </cell>
          <cell r="O25" t="str">
            <v>水野</v>
          </cell>
          <cell r="T25" t="str">
            <v>Z002</v>
          </cell>
        </row>
        <row r="26">
          <cell r="G26" t="str">
            <v/>
          </cell>
          <cell r="J26" t="str">
            <v/>
          </cell>
          <cell r="O26" t="str">
            <v>-</v>
          </cell>
          <cell r="Q26">
            <v>0</v>
          </cell>
          <cell r="T26" t="str">
            <v>Z002</v>
          </cell>
        </row>
        <row r="27">
          <cell r="I27" t="str">
            <v>25D11-01</v>
          </cell>
          <cell r="J27" t="str">
            <v/>
          </cell>
          <cell r="L27">
            <v>45806</v>
          </cell>
          <cell r="M27">
            <v>5</v>
          </cell>
          <cell r="O27">
            <v>45806</v>
          </cell>
          <cell r="T27" t="str">
            <v>Z001</v>
          </cell>
        </row>
        <row r="28">
          <cell r="D28">
            <v>45806</v>
          </cell>
          <cell r="E28" t="str">
            <v>25D11-01</v>
          </cell>
          <cell r="F28">
            <v>22</v>
          </cell>
          <cell r="G28" t="str">
            <v/>
          </cell>
          <cell r="H28">
            <v>503.7</v>
          </cell>
          <cell r="J28" t="str">
            <v/>
          </cell>
          <cell r="K28">
            <v>0</v>
          </cell>
          <cell r="O28">
            <v>10</v>
          </cell>
          <cell r="T28" t="str">
            <v>Z001</v>
          </cell>
        </row>
        <row r="29">
          <cell r="D29">
            <v>45806</v>
          </cell>
          <cell r="E29" t="str">
            <v>25D11-01</v>
          </cell>
          <cell r="F29">
            <v>22</v>
          </cell>
          <cell r="G29" t="str">
            <v/>
          </cell>
          <cell r="H29">
            <v>503.7</v>
          </cell>
          <cell r="J29" t="str">
            <v/>
          </cell>
          <cell r="O29">
            <v>10</v>
          </cell>
          <cell r="T29" t="str">
            <v>Z001</v>
          </cell>
        </row>
        <row r="30">
          <cell r="G30" t="str">
            <v/>
          </cell>
          <cell r="J30" t="str">
            <v/>
          </cell>
          <cell r="O30">
            <v>0</v>
          </cell>
          <cell r="T30" t="str">
            <v>Z001</v>
          </cell>
        </row>
        <row r="31">
          <cell r="G31" t="str">
            <v/>
          </cell>
          <cell r="J31" t="str">
            <v/>
          </cell>
          <cell r="O31">
            <v>0</v>
          </cell>
          <cell r="T31" t="str">
            <v>Z001</v>
          </cell>
        </row>
        <row r="32">
          <cell r="G32" t="str">
            <v/>
          </cell>
          <cell r="J32" t="str">
            <v/>
          </cell>
          <cell r="T32" t="str">
            <v>Z001</v>
          </cell>
        </row>
        <row r="33">
          <cell r="G33" t="str">
            <v/>
          </cell>
          <cell r="J33" t="str">
            <v/>
          </cell>
          <cell r="O33" t="str">
            <v>水野</v>
          </cell>
          <cell r="T33" t="str">
            <v>Z001</v>
          </cell>
        </row>
        <row r="34">
          <cell r="G34" t="str">
            <v/>
          </cell>
          <cell r="J34" t="str">
            <v/>
          </cell>
          <cell r="O34" t="str">
            <v>-</v>
          </cell>
          <cell r="Q34">
            <v>0</v>
          </cell>
          <cell r="T34" t="str">
            <v>Z001</v>
          </cell>
        </row>
        <row r="35">
          <cell r="I35" t="str">
            <v>25A17B</v>
          </cell>
          <cell r="J35">
            <v>200</v>
          </cell>
          <cell r="K35">
            <v>100</v>
          </cell>
          <cell r="L35">
            <v>45810</v>
          </cell>
          <cell r="M35">
            <v>2</v>
          </cell>
          <cell r="O35">
            <v>45810</v>
          </cell>
          <cell r="T35" t="str">
            <v>000000000003627</v>
          </cell>
        </row>
        <row r="36">
          <cell r="D36">
            <v>45810</v>
          </cell>
          <cell r="E36" t="str">
            <v>25A17B</v>
          </cell>
          <cell r="G36">
            <v>714.5</v>
          </cell>
          <cell r="H36">
            <v>715.39</v>
          </cell>
          <cell r="I36" t="str">
            <v>25E26C</v>
          </cell>
          <cell r="J36">
            <v>200</v>
          </cell>
          <cell r="K36">
            <v>100</v>
          </cell>
          <cell r="O36">
            <v>400</v>
          </cell>
          <cell r="T36" t="str">
            <v>000000000003627</v>
          </cell>
        </row>
        <row r="37">
          <cell r="D37">
            <v>45810</v>
          </cell>
          <cell r="E37" t="str">
            <v>25E26C</v>
          </cell>
          <cell r="G37">
            <v>714.5</v>
          </cell>
          <cell r="H37">
            <v>715.21</v>
          </cell>
          <cell r="J37" t="str">
            <v/>
          </cell>
          <cell r="O37">
            <v>200</v>
          </cell>
          <cell r="T37" t="str">
            <v>000000000003627</v>
          </cell>
        </row>
        <row r="38">
          <cell r="G38">
            <v>714.5</v>
          </cell>
          <cell r="J38" t="str">
            <v/>
          </cell>
          <cell r="O38">
            <v>0</v>
          </cell>
          <cell r="T38" t="str">
            <v>000000000003627</v>
          </cell>
        </row>
        <row r="39">
          <cell r="G39">
            <v>714.5</v>
          </cell>
          <cell r="J39" t="str">
            <v/>
          </cell>
          <cell r="O39">
            <v>0</v>
          </cell>
          <cell r="T39" t="str">
            <v>000000000003627</v>
          </cell>
        </row>
        <row r="40">
          <cell r="G40">
            <v>714.5</v>
          </cell>
          <cell r="J40" t="str">
            <v/>
          </cell>
          <cell r="T40" t="str">
            <v>000000000003627</v>
          </cell>
        </row>
        <row r="41">
          <cell r="G41">
            <v>714.5</v>
          </cell>
          <cell r="J41" t="str">
            <v/>
          </cell>
          <cell r="O41" t="str">
            <v>水野</v>
          </cell>
          <cell r="T41" t="str">
            <v>000000000003627</v>
          </cell>
        </row>
        <row r="42">
          <cell r="G42">
            <v>714.5</v>
          </cell>
          <cell r="J42" t="str">
            <v/>
          </cell>
          <cell r="O42" t="str">
            <v>-</v>
          </cell>
          <cell r="Q42">
            <v>0</v>
          </cell>
          <cell r="T42" t="str">
            <v>000000000003627</v>
          </cell>
        </row>
        <row r="43">
          <cell r="I43" t="str">
            <v>25E26C</v>
          </cell>
          <cell r="J43">
            <v>200</v>
          </cell>
          <cell r="K43">
            <v>100</v>
          </cell>
          <cell r="L43">
            <v>45811</v>
          </cell>
          <cell r="M43">
            <v>1</v>
          </cell>
          <cell r="O43">
            <v>45811</v>
          </cell>
          <cell r="T43" t="str">
            <v>000000000003626</v>
          </cell>
        </row>
        <row r="44">
          <cell r="D44">
            <v>45811</v>
          </cell>
          <cell r="E44" t="str">
            <v>25E26C</v>
          </cell>
          <cell r="G44">
            <v>664.5</v>
          </cell>
          <cell r="H44">
            <v>665.19</v>
          </cell>
          <cell r="J44" t="str">
            <v/>
          </cell>
          <cell r="O44">
            <v>200</v>
          </cell>
          <cell r="T44" t="str">
            <v>000000000003626</v>
          </cell>
        </row>
        <row r="45">
          <cell r="D45">
            <v>45811</v>
          </cell>
          <cell r="E45" t="str">
            <v>25E26C</v>
          </cell>
          <cell r="G45">
            <v>664.5</v>
          </cell>
          <cell r="H45">
            <v>665.13</v>
          </cell>
          <cell r="J45" t="str">
            <v/>
          </cell>
          <cell r="O45">
            <v>100</v>
          </cell>
          <cell r="T45" t="str">
            <v>000000000003626</v>
          </cell>
        </row>
        <row r="46">
          <cell r="G46">
            <v>664.5</v>
          </cell>
          <cell r="J46" t="str">
            <v/>
          </cell>
          <cell r="O46">
            <v>0</v>
          </cell>
          <cell r="T46" t="str">
            <v>000000000003626</v>
          </cell>
        </row>
        <row r="47">
          <cell r="G47">
            <v>664.5</v>
          </cell>
          <cell r="J47" t="str">
            <v/>
          </cell>
          <cell r="O47">
            <v>0</v>
          </cell>
          <cell r="T47" t="str">
            <v>000000000003626</v>
          </cell>
        </row>
        <row r="48">
          <cell r="G48">
            <v>664.5</v>
          </cell>
          <cell r="J48" t="str">
            <v/>
          </cell>
          <cell r="T48" t="str">
            <v>000000000003626</v>
          </cell>
        </row>
        <row r="49">
          <cell r="G49">
            <v>664.5</v>
          </cell>
          <cell r="J49" t="str">
            <v/>
          </cell>
          <cell r="O49" t="str">
            <v>水野</v>
          </cell>
          <cell r="T49" t="str">
            <v>000000000003626</v>
          </cell>
        </row>
        <row r="50">
          <cell r="G50">
            <v>664.5</v>
          </cell>
          <cell r="J50" t="str">
            <v/>
          </cell>
          <cell r="O50" t="str">
            <v>-</v>
          </cell>
          <cell r="Q50">
            <v>0</v>
          </cell>
          <cell r="T50" t="str">
            <v>000000000003626</v>
          </cell>
        </row>
        <row r="51">
          <cell r="I51" t="str">
            <v>25E26C</v>
          </cell>
          <cell r="J51">
            <v>1200</v>
          </cell>
          <cell r="K51">
            <v>600</v>
          </cell>
          <cell r="L51">
            <v>45811</v>
          </cell>
          <cell r="M51">
            <v>14</v>
          </cell>
          <cell r="O51">
            <v>45811</v>
          </cell>
          <cell r="T51" t="str">
            <v>000000000003625</v>
          </cell>
        </row>
        <row r="52">
          <cell r="D52">
            <v>45811</v>
          </cell>
          <cell r="E52" t="str">
            <v>25E26C</v>
          </cell>
          <cell r="G52">
            <v>651.5</v>
          </cell>
          <cell r="H52">
            <v>651.97</v>
          </cell>
          <cell r="I52" t="str">
            <v>25E24A</v>
          </cell>
          <cell r="J52">
            <v>900</v>
          </cell>
          <cell r="K52">
            <v>450</v>
          </cell>
          <cell r="O52">
            <v>2700</v>
          </cell>
          <cell r="T52" t="str">
            <v>000000000003625</v>
          </cell>
        </row>
        <row r="53">
          <cell r="D53">
            <v>45811</v>
          </cell>
          <cell r="E53" t="str">
            <v>25E24A</v>
          </cell>
          <cell r="G53">
            <v>651.5</v>
          </cell>
          <cell r="H53">
            <v>652.20000000000005</v>
          </cell>
          <cell r="I53" t="str">
            <v>25E26B</v>
          </cell>
          <cell r="J53">
            <v>600</v>
          </cell>
          <cell r="K53">
            <v>300</v>
          </cell>
          <cell r="O53">
            <v>1350</v>
          </cell>
          <cell r="T53" t="str">
            <v>000000000003625</v>
          </cell>
        </row>
        <row r="54">
          <cell r="D54">
            <v>45811</v>
          </cell>
          <cell r="E54" t="str">
            <v>25E26C</v>
          </cell>
          <cell r="G54">
            <v>651.5</v>
          </cell>
          <cell r="H54">
            <v>652.16999999999996</v>
          </cell>
          <cell r="J54" t="str">
            <v/>
          </cell>
          <cell r="O54">
            <v>0</v>
          </cell>
          <cell r="T54" t="str">
            <v>000000000003625</v>
          </cell>
        </row>
        <row r="55">
          <cell r="D55">
            <v>45811</v>
          </cell>
          <cell r="E55" t="str">
            <v>25E26B</v>
          </cell>
          <cell r="G55">
            <v>651.5</v>
          </cell>
          <cell r="H55">
            <v>652.03</v>
          </cell>
          <cell r="J55" t="str">
            <v/>
          </cell>
          <cell r="O55">
            <v>0</v>
          </cell>
          <cell r="T55" t="str">
            <v>000000000003625</v>
          </cell>
        </row>
        <row r="56">
          <cell r="G56">
            <v>651.5</v>
          </cell>
          <cell r="J56" t="str">
            <v/>
          </cell>
          <cell r="T56" t="str">
            <v>000000000003625</v>
          </cell>
        </row>
        <row r="57">
          <cell r="G57">
            <v>651.5</v>
          </cell>
          <cell r="J57" t="str">
            <v/>
          </cell>
          <cell r="O57" t="str">
            <v>水野</v>
          </cell>
          <cell r="T57" t="str">
            <v>000000000003625</v>
          </cell>
        </row>
        <row r="58">
          <cell r="G58">
            <v>651.5</v>
          </cell>
          <cell r="J58" t="str">
            <v/>
          </cell>
          <cell r="O58" t="str">
            <v>-</v>
          </cell>
          <cell r="Q58">
            <v>0</v>
          </cell>
          <cell r="T58" t="str">
            <v>000000000003625</v>
          </cell>
        </row>
        <row r="59">
          <cell r="I59" t="str">
            <v>25E23C</v>
          </cell>
          <cell r="J59">
            <v>200</v>
          </cell>
          <cell r="K59">
            <v>100</v>
          </cell>
          <cell r="L59">
            <v>45812</v>
          </cell>
          <cell r="M59">
            <v>1</v>
          </cell>
          <cell r="O59">
            <v>45812</v>
          </cell>
          <cell r="T59" t="str">
            <v>000000000003624</v>
          </cell>
        </row>
        <row r="60">
          <cell r="D60">
            <v>45812</v>
          </cell>
          <cell r="E60" t="str">
            <v>25E23C</v>
          </cell>
          <cell r="G60">
            <v>632.5</v>
          </cell>
          <cell r="H60">
            <v>633.41999999999996</v>
          </cell>
          <cell r="J60" t="str">
            <v/>
          </cell>
          <cell r="O60">
            <v>200</v>
          </cell>
          <cell r="T60" t="str">
            <v>000000000003624</v>
          </cell>
        </row>
        <row r="61">
          <cell r="D61">
            <v>45812</v>
          </cell>
          <cell r="E61" t="str">
            <v>25E23C</v>
          </cell>
          <cell r="G61">
            <v>632.5</v>
          </cell>
          <cell r="H61">
            <v>633.45000000000005</v>
          </cell>
          <cell r="J61" t="str">
            <v/>
          </cell>
          <cell r="O61">
            <v>100</v>
          </cell>
          <cell r="T61" t="str">
            <v>000000000003624</v>
          </cell>
        </row>
        <row r="62">
          <cell r="G62">
            <v>632.5</v>
          </cell>
          <cell r="J62" t="str">
            <v/>
          </cell>
          <cell r="O62">
            <v>0</v>
          </cell>
          <cell r="T62" t="str">
            <v>000000000003624</v>
          </cell>
        </row>
        <row r="63">
          <cell r="G63">
            <v>632.5</v>
          </cell>
          <cell r="J63" t="str">
            <v/>
          </cell>
          <cell r="O63">
            <v>0</v>
          </cell>
          <cell r="T63" t="str">
            <v>000000000003624</v>
          </cell>
        </row>
        <row r="64">
          <cell r="G64">
            <v>632.5</v>
          </cell>
          <cell r="J64" t="str">
            <v/>
          </cell>
          <cell r="T64" t="str">
            <v>000000000003624</v>
          </cell>
        </row>
        <row r="65">
          <cell r="G65">
            <v>632.5</v>
          </cell>
          <cell r="J65" t="str">
            <v/>
          </cell>
          <cell r="O65" t="str">
            <v>水野</v>
          </cell>
          <cell r="T65" t="str">
            <v>000000000003624</v>
          </cell>
        </row>
        <row r="66">
          <cell r="G66">
            <v>632.5</v>
          </cell>
          <cell r="J66" t="str">
            <v/>
          </cell>
          <cell r="O66" t="str">
            <v>-</v>
          </cell>
          <cell r="Q66">
            <v>0</v>
          </cell>
          <cell r="T66" t="str">
            <v>000000000003624</v>
          </cell>
        </row>
        <row r="67">
          <cell r="I67" t="str">
            <v>25E23C</v>
          </cell>
          <cell r="J67">
            <v>800</v>
          </cell>
          <cell r="K67">
            <v>400</v>
          </cell>
          <cell r="L67">
            <v>45812</v>
          </cell>
          <cell r="M67">
            <v>4</v>
          </cell>
          <cell r="O67">
            <v>45812</v>
          </cell>
          <cell r="T67" t="str">
            <v>000000000003623</v>
          </cell>
        </row>
        <row r="68">
          <cell r="D68">
            <v>45812</v>
          </cell>
          <cell r="E68" t="str">
            <v>25E23C</v>
          </cell>
          <cell r="G68">
            <v>564.5</v>
          </cell>
          <cell r="H68">
            <v>565.16999999999996</v>
          </cell>
          <cell r="J68" t="str">
            <v/>
          </cell>
          <cell r="O68">
            <v>800</v>
          </cell>
          <cell r="T68" t="str">
            <v>000000000003623</v>
          </cell>
        </row>
        <row r="69">
          <cell r="D69">
            <v>45812</v>
          </cell>
          <cell r="E69" t="str">
            <v>25E23C</v>
          </cell>
          <cell r="G69">
            <v>564.5</v>
          </cell>
          <cell r="H69">
            <v>565.42999999999995</v>
          </cell>
          <cell r="J69" t="str">
            <v/>
          </cell>
          <cell r="O69">
            <v>400</v>
          </cell>
          <cell r="T69" t="str">
            <v>000000000003623</v>
          </cell>
        </row>
        <row r="70">
          <cell r="G70">
            <v>564.5</v>
          </cell>
          <cell r="J70" t="str">
            <v/>
          </cell>
          <cell r="O70">
            <v>0</v>
          </cell>
          <cell r="T70" t="str">
            <v>000000000003623</v>
          </cell>
        </row>
        <row r="71">
          <cell r="G71">
            <v>564.5</v>
          </cell>
          <cell r="J71" t="str">
            <v/>
          </cell>
          <cell r="O71">
            <v>0</v>
          </cell>
          <cell r="T71" t="str">
            <v>000000000003623</v>
          </cell>
        </row>
        <row r="72">
          <cell r="G72">
            <v>564.5</v>
          </cell>
          <cell r="J72" t="str">
            <v/>
          </cell>
          <cell r="T72" t="str">
            <v>000000000003623</v>
          </cell>
        </row>
        <row r="73">
          <cell r="G73">
            <v>564.5</v>
          </cell>
          <cell r="J73" t="str">
            <v/>
          </cell>
          <cell r="O73" t="str">
            <v>水野</v>
          </cell>
          <cell r="T73" t="str">
            <v>000000000003623</v>
          </cell>
        </row>
        <row r="74">
          <cell r="G74">
            <v>564.5</v>
          </cell>
          <cell r="J74" t="str">
            <v/>
          </cell>
          <cell r="O74" t="str">
            <v>-</v>
          </cell>
          <cell r="Q74">
            <v>0</v>
          </cell>
          <cell r="T74" t="str">
            <v>000000000003623</v>
          </cell>
        </row>
        <row r="75">
          <cell r="I75" t="str">
            <v>25E24A</v>
          </cell>
          <cell r="J75">
            <v>100</v>
          </cell>
          <cell r="K75">
            <v>50</v>
          </cell>
          <cell r="L75">
            <v>45812</v>
          </cell>
          <cell r="M75">
            <v>8</v>
          </cell>
          <cell r="O75">
            <v>45813</v>
          </cell>
          <cell r="T75" t="str">
            <v>000000000003622</v>
          </cell>
        </row>
        <row r="76">
          <cell r="D76">
            <v>45812</v>
          </cell>
          <cell r="E76" t="str">
            <v>25E24A</v>
          </cell>
          <cell r="G76">
            <v>507.5</v>
          </cell>
          <cell r="H76">
            <v>508.41</v>
          </cell>
          <cell r="I76" t="str">
            <v>25E23C</v>
          </cell>
          <cell r="J76">
            <v>600</v>
          </cell>
          <cell r="K76">
            <v>300</v>
          </cell>
          <cell r="L76">
            <v>45813</v>
          </cell>
          <cell r="M76">
            <v>1</v>
          </cell>
          <cell r="O76">
            <v>1700</v>
          </cell>
          <cell r="T76" t="str">
            <v>000000000003622</v>
          </cell>
        </row>
        <row r="77">
          <cell r="D77">
            <v>45812</v>
          </cell>
          <cell r="E77" t="str">
            <v>25E23C</v>
          </cell>
          <cell r="G77">
            <v>507.5</v>
          </cell>
          <cell r="I77" t="str">
            <v>25A15B</v>
          </cell>
          <cell r="J77">
            <v>12</v>
          </cell>
          <cell r="K77">
            <v>6</v>
          </cell>
          <cell r="O77">
            <v>856</v>
          </cell>
          <cell r="T77" t="str">
            <v>000000000003622</v>
          </cell>
        </row>
        <row r="78">
          <cell r="D78">
            <v>45812</v>
          </cell>
          <cell r="E78" t="str">
            <v>25A15B</v>
          </cell>
          <cell r="G78">
            <v>507.5</v>
          </cell>
          <cell r="I78" t="str">
            <v>25E22B</v>
          </cell>
          <cell r="J78">
            <v>1000</v>
          </cell>
          <cell r="K78">
            <v>500</v>
          </cell>
          <cell r="O78">
            <v>6</v>
          </cell>
          <cell r="T78" t="str">
            <v>000000000003622</v>
          </cell>
        </row>
        <row r="79">
          <cell r="D79">
            <v>45812</v>
          </cell>
          <cell r="E79" t="str">
            <v>25E22B</v>
          </cell>
          <cell r="G79">
            <v>507.5</v>
          </cell>
          <cell r="H79">
            <v>508.04</v>
          </cell>
          <cell r="J79" t="str">
            <v/>
          </cell>
          <cell r="O79">
            <v>12</v>
          </cell>
          <cell r="T79" t="str">
            <v>000000000003622</v>
          </cell>
        </row>
        <row r="80">
          <cell r="D80">
            <v>45812</v>
          </cell>
          <cell r="E80" t="str">
            <v>25E22B</v>
          </cell>
          <cell r="G80">
            <v>507.5</v>
          </cell>
          <cell r="H80">
            <v>508.02</v>
          </cell>
          <cell r="J80" t="str">
            <v/>
          </cell>
          <cell r="T80" t="str">
            <v>000000000003622</v>
          </cell>
        </row>
        <row r="81">
          <cell r="D81">
            <v>45813</v>
          </cell>
          <cell r="E81" t="str">
            <v>25E22B</v>
          </cell>
          <cell r="G81">
            <v>507.5</v>
          </cell>
          <cell r="H81">
            <v>508.02</v>
          </cell>
          <cell r="J81" t="str">
            <v/>
          </cell>
          <cell r="O81" t="str">
            <v>水野</v>
          </cell>
          <cell r="Q81">
            <v>12</v>
          </cell>
          <cell r="T81" t="str">
            <v>000000000003622</v>
          </cell>
        </row>
        <row r="82">
          <cell r="D82">
            <v>45813</v>
          </cell>
          <cell r="E82" t="str">
            <v>25E22B</v>
          </cell>
          <cell r="G82">
            <v>507.5</v>
          </cell>
          <cell r="H82">
            <v>507.84</v>
          </cell>
          <cell r="J82" t="str">
            <v/>
          </cell>
          <cell r="O82" t="str">
            <v>-</v>
          </cell>
          <cell r="Q82">
            <v>12</v>
          </cell>
          <cell r="T82" t="str">
            <v>000000000003622</v>
          </cell>
        </row>
        <row r="83">
          <cell r="I83" t="str">
            <v>25E22B</v>
          </cell>
          <cell r="J83" t="str">
            <v/>
          </cell>
          <cell r="L83">
            <v>45813</v>
          </cell>
          <cell r="M83">
            <v>8</v>
          </cell>
          <cell r="O83">
            <v>45813</v>
          </cell>
          <cell r="T83" t="str">
            <v>000000000003621</v>
          </cell>
        </row>
        <row r="84">
          <cell r="D84">
            <v>45813</v>
          </cell>
          <cell r="E84" t="str">
            <v>25E22B</v>
          </cell>
          <cell r="G84">
            <v>414.5</v>
          </cell>
          <cell r="H84">
            <v>415.12</v>
          </cell>
          <cell r="I84" t="str">
            <v>25E23C</v>
          </cell>
          <cell r="J84" t="str">
            <v/>
          </cell>
          <cell r="O84">
            <v>1500</v>
          </cell>
          <cell r="T84" t="str">
            <v>000000000003621</v>
          </cell>
        </row>
        <row r="85">
          <cell r="D85">
            <v>45813</v>
          </cell>
          <cell r="E85" t="str">
            <v>25E23C</v>
          </cell>
          <cell r="G85">
            <v>414.5</v>
          </cell>
          <cell r="I85" t="str">
            <v>25E24A</v>
          </cell>
          <cell r="J85" t="str">
            <v/>
          </cell>
          <cell r="O85">
            <v>212</v>
          </cell>
          <cell r="T85" t="str">
            <v>000000000003621</v>
          </cell>
        </row>
        <row r="86">
          <cell r="D86">
            <v>45813</v>
          </cell>
          <cell r="E86" t="str">
            <v>25E24A</v>
          </cell>
          <cell r="G86">
            <v>414.5</v>
          </cell>
          <cell r="I86" t="str">
            <v>25E23B</v>
          </cell>
          <cell r="J86">
            <v>600</v>
          </cell>
          <cell r="K86">
            <v>200</v>
          </cell>
          <cell r="O86">
            <v>1</v>
          </cell>
          <cell r="T86" t="str">
            <v>000000000003621</v>
          </cell>
        </row>
        <row r="87">
          <cell r="D87">
            <v>45813</v>
          </cell>
          <cell r="E87" t="str">
            <v>25E23B</v>
          </cell>
          <cell r="G87">
            <v>414.5</v>
          </cell>
          <cell r="H87">
            <v>415.12</v>
          </cell>
          <cell r="I87" t="str">
            <v>25A15B</v>
          </cell>
          <cell r="J87">
            <v>36</v>
          </cell>
          <cell r="K87">
            <v>12</v>
          </cell>
          <cell r="O87">
            <v>2</v>
          </cell>
          <cell r="T87" t="str">
            <v>000000000003621</v>
          </cell>
        </row>
        <row r="88">
          <cell r="D88">
            <v>45813</v>
          </cell>
          <cell r="E88" t="str">
            <v>25A15B</v>
          </cell>
          <cell r="G88">
            <v>414.5</v>
          </cell>
          <cell r="H88">
            <v>415.21</v>
          </cell>
          <cell r="J88" t="str">
            <v/>
          </cell>
          <cell r="O88">
            <v>866</v>
          </cell>
          <cell r="T88" t="str">
            <v>000000000003621</v>
          </cell>
        </row>
        <row r="89">
          <cell r="G89">
            <v>414.5</v>
          </cell>
          <cell r="J89" t="str">
            <v/>
          </cell>
          <cell r="Q89">
            <v>2</v>
          </cell>
          <cell r="T89" t="str">
            <v>000000000003621</v>
          </cell>
        </row>
        <row r="90">
          <cell r="G90">
            <v>414.5</v>
          </cell>
          <cell r="J90" t="str">
            <v/>
          </cell>
          <cell r="Q90">
            <v>2</v>
          </cell>
          <cell r="T90" t="str">
            <v>000000000003621</v>
          </cell>
        </row>
        <row r="91">
          <cell r="D91">
            <v>45782</v>
          </cell>
          <cell r="E91" t="str">
            <v>25E09-02</v>
          </cell>
          <cell r="I91" t="str">
            <v>25E09-02</v>
          </cell>
          <cell r="J91">
            <v>15</v>
          </cell>
          <cell r="K91">
            <v>15</v>
          </cell>
          <cell r="L91">
            <v>45814</v>
          </cell>
          <cell r="M91">
            <v>4</v>
          </cell>
          <cell r="O91">
            <v>45814</v>
          </cell>
          <cell r="Q91">
            <v>3</v>
          </cell>
          <cell r="T91" t="str">
            <v>000000000003691</v>
          </cell>
        </row>
        <row r="92">
          <cell r="D92">
            <v>45813</v>
          </cell>
          <cell r="E92" t="str">
            <v>25E14-06</v>
          </cell>
          <cell r="F92">
            <v>26</v>
          </cell>
          <cell r="G92">
            <v>1478.58</v>
          </cell>
          <cell r="H92">
            <v>1478.58</v>
          </cell>
          <cell r="I92" t="str">
            <v>25E14-06</v>
          </cell>
          <cell r="J92">
            <v>359</v>
          </cell>
          <cell r="K92">
            <v>359</v>
          </cell>
          <cell r="O92">
            <v>400</v>
          </cell>
          <cell r="T92" t="str">
            <v>000000000003691</v>
          </cell>
        </row>
        <row r="93">
          <cell r="D93">
            <v>45813</v>
          </cell>
          <cell r="E93" t="str">
            <v>25E27-09</v>
          </cell>
          <cell r="F93">
            <v>26</v>
          </cell>
          <cell r="G93">
            <v>1478.58</v>
          </cell>
          <cell r="H93">
            <v>1478.65</v>
          </cell>
          <cell r="I93" t="str">
            <v>25E27-09</v>
          </cell>
          <cell r="J93">
            <v>29</v>
          </cell>
          <cell r="K93">
            <v>29</v>
          </cell>
          <cell r="O93">
            <v>403</v>
          </cell>
          <cell r="T93" t="str">
            <v>000000000003691</v>
          </cell>
        </row>
        <row r="94">
          <cell r="G94" t="str">
            <v/>
          </cell>
          <cell r="J94" t="str">
            <v/>
          </cell>
          <cell r="O94">
            <v>3</v>
          </cell>
          <cell r="T94" t="str">
            <v>000000000003691</v>
          </cell>
        </row>
        <row r="95">
          <cell r="G95" t="str">
            <v/>
          </cell>
          <cell r="J95" t="str">
            <v/>
          </cell>
          <cell r="O95">
            <v>3</v>
          </cell>
          <cell r="T95" t="str">
            <v>000000000003691</v>
          </cell>
        </row>
        <row r="96">
          <cell r="G96" t="str">
            <v/>
          </cell>
          <cell r="J96" t="str">
            <v/>
          </cell>
          <cell r="T96" t="str">
            <v>000000000003691</v>
          </cell>
        </row>
        <row r="97">
          <cell r="G97" t="str">
            <v/>
          </cell>
          <cell r="J97" t="str">
            <v/>
          </cell>
          <cell r="O97" t="str">
            <v>水野</v>
          </cell>
          <cell r="T97" t="str">
            <v>000000000003691</v>
          </cell>
        </row>
        <row r="98">
          <cell r="G98" t="str">
            <v/>
          </cell>
          <cell r="J98" t="str">
            <v/>
          </cell>
          <cell r="O98" t="str">
            <v>高森</v>
          </cell>
          <cell r="Q98">
            <v>3</v>
          </cell>
          <cell r="T98" t="str">
            <v>000000000003691</v>
          </cell>
        </row>
        <row r="99">
          <cell r="D99">
            <v>45792</v>
          </cell>
          <cell r="E99" t="str">
            <v>25E09-02</v>
          </cell>
          <cell r="I99" t="str">
            <v>25E09-02</v>
          </cell>
          <cell r="J99">
            <v>18</v>
          </cell>
          <cell r="K99">
            <v>3</v>
          </cell>
          <cell r="O99">
            <v>0</v>
          </cell>
          <cell r="Q99">
            <v>1</v>
          </cell>
          <cell r="T99" t="str">
            <v>000000000003690</v>
          </cell>
        </row>
        <row r="100">
          <cell r="D100">
            <v>45814</v>
          </cell>
          <cell r="E100" t="str">
            <v>25E27-09</v>
          </cell>
          <cell r="F100">
            <v>26</v>
          </cell>
          <cell r="G100">
            <v>297.12</v>
          </cell>
          <cell r="H100">
            <v>297.22000000000003</v>
          </cell>
          <cell r="I100" t="str">
            <v>25E27-09</v>
          </cell>
          <cell r="J100">
            <v>186</v>
          </cell>
          <cell r="K100">
            <v>31</v>
          </cell>
          <cell r="O100">
            <v>200</v>
          </cell>
          <cell r="T100" t="str">
            <v>000000000003690</v>
          </cell>
        </row>
        <row r="101">
          <cell r="D101">
            <v>45814</v>
          </cell>
          <cell r="E101" t="str">
            <v>25E27-09</v>
          </cell>
          <cell r="F101">
            <v>26</v>
          </cell>
          <cell r="G101">
            <v>297.12</v>
          </cell>
          <cell r="H101">
            <v>297.31</v>
          </cell>
          <cell r="J101" t="str">
            <v/>
          </cell>
          <cell r="O101">
            <v>34</v>
          </cell>
          <cell r="T101" t="str">
            <v>000000000003690</v>
          </cell>
        </row>
        <row r="102">
          <cell r="G102" t="str">
            <v/>
          </cell>
          <cell r="J102" t="str">
            <v/>
          </cell>
          <cell r="O102">
            <v>1</v>
          </cell>
          <cell r="T102" t="str">
            <v>000000000003690</v>
          </cell>
        </row>
        <row r="103">
          <cell r="G103" t="str">
            <v/>
          </cell>
          <cell r="J103" t="str">
            <v/>
          </cell>
          <cell r="O103">
            <v>2</v>
          </cell>
          <cell r="T103" t="str">
            <v>000000000003690</v>
          </cell>
        </row>
        <row r="104">
          <cell r="G104" t="str">
            <v/>
          </cell>
          <cell r="J104" t="str">
            <v/>
          </cell>
          <cell r="T104" t="str">
            <v>000000000003690</v>
          </cell>
        </row>
        <row r="105">
          <cell r="G105" t="str">
            <v/>
          </cell>
          <cell r="J105" t="str">
            <v/>
          </cell>
          <cell r="Q105">
            <v>1</v>
          </cell>
          <cell r="T105" t="str">
            <v>000000000003690</v>
          </cell>
        </row>
        <row r="106">
          <cell r="G106" t="str">
            <v/>
          </cell>
          <cell r="J106" t="str">
            <v/>
          </cell>
          <cell r="Q106">
            <v>2</v>
          </cell>
          <cell r="T106" t="str">
            <v>000000000003690</v>
          </cell>
        </row>
        <row r="107">
          <cell r="I107" t="str">
            <v/>
          </cell>
          <cell r="J107" t="str">
            <v/>
          </cell>
          <cell r="O107">
            <v>0</v>
          </cell>
          <cell r="T107" t="str">
            <v>000000000004070</v>
          </cell>
        </row>
        <row r="108">
          <cell r="G108" t="str">
            <v/>
          </cell>
          <cell r="J108" t="str">
            <v/>
          </cell>
          <cell r="O108">
            <v>300</v>
          </cell>
          <cell r="T108" t="str">
            <v>000000000004070</v>
          </cell>
        </row>
        <row r="109">
          <cell r="G109" t="str">
            <v/>
          </cell>
          <cell r="J109" t="str">
            <v/>
          </cell>
          <cell r="O109">
            <v>50</v>
          </cell>
          <cell r="T109" t="str">
            <v>000000000004070</v>
          </cell>
        </row>
        <row r="110">
          <cell r="G110" t="str">
            <v/>
          </cell>
          <cell r="J110" t="str">
            <v/>
          </cell>
          <cell r="O110">
            <v>0</v>
          </cell>
          <cell r="T110" t="str">
            <v>000000000004070</v>
          </cell>
        </row>
        <row r="111">
          <cell r="G111" t="str">
            <v/>
          </cell>
          <cell r="J111" t="str">
            <v/>
          </cell>
          <cell r="O111">
            <v>0</v>
          </cell>
          <cell r="T111" t="str">
            <v>000000000004070</v>
          </cell>
        </row>
        <row r="112">
          <cell r="G112" t="str">
            <v/>
          </cell>
          <cell r="J112" t="str">
            <v/>
          </cell>
          <cell r="T112" t="str">
            <v>000000000004070</v>
          </cell>
        </row>
        <row r="113">
          <cell r="G113" t="str">
            <v/>
          </cell>
          <cell r="J113" t="str">
            <v/>
          </cell>
          <cell r="T113" t="str">
            <v>000000000004070</v>
          </cell>
        </row>
        <row r="114">
          <cell r="G114" t="str">
            <v/>
          </cell>
          <cell r="J114" t="str">
            <v/>
          </cell>
          <cell r="Q114">
            <v>0</v>
          </cell>
          <cell r="T114" t="str">
            <v>000000000004070</v>
          </cell>
        </row>
        <row r="115">
          <cell r="I115" t="str">
            <v/>
          </cell>
          <cell r="J115" t="str">
            <v/>
          </cell>
          <cell r="O115">
            <v>0</v>
          </cell>
          <cell r="T115" t="str">
            <v>000000000004069</v>
          </cell>
        </row>
        <row r="116">
          <cell r="G116" t="str">
            <v/>
          </cell>
          <cell r="J116" t="str">
            <v/>
          </cell>
          <cell r="O116">
            <v>300</v>
          </cell>
          <cell r="T116" t="str">
            <v>000000000004069</v>
          </cell>
        </row>
        <row r="117">
          <cell r="G117" t="str">
            <v/>
          </cell>
          <cell r="J117" t="str">
            <v/>
          </cell>
          <cell r="O117">
            <v>50</v>
          </cell>
          <cell r="T117" t="str">
            <v>000000000004069</v>
          </cell>
        </row>
        <row r="118">
          <cell r="G118" t="str">
            <v/>
          </cell>
          <cell r="J118" t="str">
            <v/>
          </cell>
          <cell r="O118">
            <v>0</v>
          </cell>
          <cell r="T118" t="str">
            <v>000000000004069</v>
          </cell>
        </row>
        <row r="119">
          <cell r="G119" t="str">
            <v/>
          </cell>
          <cell r="J119" t="str">
            <v/>
          </cell>
          <cell r="O119">
            <v>0</v>
          </cell>
          <cell r="T119" t="str">
            <v>000000000004069</v>
          </cell>
        </row>
        <row r="120">
          <cell r="G120" t="str">
            <v/>
          </cell>
          <cell r="J120" t="str">
            <v/>
          </cell>
          <cell r="T120" t="str">
            <v>000000000004069</v>
          </cell>
        </row>
        <row r="121">
          <cell r="G121" t="str">
            <v/>
          </cell>
          <cell r="J121" t="str">
            <v/>
          </cell>
          <cell r="T121" t="str">
            <v>000000000004069</v>
          </cell>
        </row>
        <row r="122">
          <cell r="G122" t="str">
            <v/>
          </cell>
          <cell r="J122" t="str">
            <v/>
          </cell>
          <cell r="Q122">
            <v>0</v>
          </cell>
          <cell r="T122" t="str">
            <v>000000000004069</v>
          </cell>
        </row>
        <row r="123">
          <cell r="I123" t="str">
            <v/>
          </cell>
          <cell r="J123" t="str">
            <v/>
          </cell>
          <cell r="O123">
            <v>0</v>
          </cell>
          <cell r="T123" t="str">
            <v>000000000004072</v>
          </cell>
        </row>
        <row r="124">
          <cell r="G124" t="str">
            <v/>
          </cell>
          <cell r="J124" t="str">
            <v/>
          </cell>
          <cell r="O124">
            <v>2000</v>
          </cell>
          <cell r="T124" t="str">
            <v>000000000004072</v>
          </cell>
        </row>
        <row r="125">
          <cell r="G125" t="str">
            <v/>
          </cell>
          <cell r="J125" t="str">
            <v/>
          </cell>
          <cell r="O125">
            <v>1000</v>
          </cell>
          <cell r="T125" t="str">
            <v>000000000004072</v>
          </cell>
        </row>
        <row r="126">
          <cell r="G126" t="str">
            <v/>
          </cell>
          <cell r="J126" t="str">
            <v/>
          </cell>
          <cell r="O126">
            <v>0</v>
          </cell>
          <cell r="T126" t="str">
            <v>000000000004072</v>
          </cell>
        </row>
        <row r="127">
          <cell r="G127" t="str">
            <v/>
          </cell>
          <cell r="J127" t="str">
            <v/>
          </cell>
          <cell r="O127">
            <v>0</v>
          </cell>
          <cell r="T127" t="str">
            <v>000000000004072</v>
          </cell>
        </row>
        <row r="128">
          <cell r="G128" t="str">
            <v/>
          </cell>
          <cell r="J128" t="str">
            <v/>
          </cell>
          <cell r="T128" t="str">
            <v>000000000004072</v>
          </cell>
        </row>
        <row r="129">
          <cell r="G129" t="str">
            <v/>
          </cell>
          <cell r="J129" t="str">
            <v/>
          </cell>
          <cell r="T129" t="str">
            <v>000000000004072</v>
          </cell>
        </row>
        <row r="130">
          <cell r="G130" t="str">
            <v/>
          </cell>
          <cell r="J130" t="str">
            <v/>
          </cell>
          <cell r="Q130">
            <v>0</v>
          </cell>
          <cell r="T130" t="str">
            <v>000000000004072</v>
          </cell>
        </row>
        <row r="131">
          <cell r="I131" t="str">
            <v/>
          </cell>
          <cell r="J131" t="str">
            <v/>
          </cell>
          <cell r="O131">
            <v>0</v>
          </cell>
          <cell r="T131" t="str">
            <v>000000000004071</v>
          </cell>
        </row>
        <row r="132">
          <cell r="G132" t="str">
            <v/>
          </cell>
          <cell r="J132" t="str">
            <v/>
          </cell>
          <cell r="O132">
            <v>2000</v>
          </cell>
          <cell r="T132" t="str">
            <v>000000000004071</v>
          </cell>
        </row>
        <row r="133">
          <cell r="G133" t="str">
            <v/>
          </cell>
          <cell r="J133" t="str">
            <v/>
          </cell>
          <cell r="O133">
            <v>1000</v>
          </cell>
          <cell r="T133" t="str">
            <v>000000000004071</v>
          </cell>
        </row>
        <row r="134">
          <cell r="G134" t="str">
            <v/>
          </cell>
          <cell r="J134" t="str">
            <v/>
          </cell>
          <cell r="O134">
            <v>0</v>
          </cell>
          <cell r="T134" t="str">
            <v>000000000004071</v>
          </cell>
        </row>
        <row r="135">
          <cell r="G135" t="str">
            <v/>
          </cell>
          <cell r="J135" t="str">
            <v/>
          </cell>
          <cell r="O135">
            <v>0</v>
          </cell>
          <cell r="T135" t="str">
            <v>000000000004071</v>
          </cell>
        </row>
        <row r="136">
          <cell r="G136" t="str">
            <v/>
          </cell>
          <cell r="J136" t="str">
            <v/>
          </cell>
          <cell r="T136" t="str">
            <v>000000000004071</v>
          </cell>
        </row>
        <row r="137">
          <cell r="G137" t="str">
            <v/>
          </cell>
          <cell r="J137" t="str">
            <v/>
          </cell>
          <cell r="T137" t="str">
            <v>000000000004071</v>
          </cell>
        </row>
        <row r="138">
          <cell r="G138" t="str">
            <v/>
          </cell>
          <cell r="J138" t="str">
            <v/>
          </cell>
          <cell r="Q138">
            <v>0</v>
          </cell>
          <cell r="T138" t="str">
            <v>000000000004071</v>
          </cell>
        </row>
        <row r="139">
          <cell r="I139" t="str">
            <v/>
          </cell>
          <cell r="J139" t="str">
            <v/>
          </cell>
          <cell r="O139">
            <v>0</v>
          </cell>
          <cell r="T139" t="str">
            <v>000000000002882</v>
          </cell>
        </row>
        <row r="140">
          <cell r="G140" t="str">
            <v/>
          </cell>
          <cell r="J140" t="str">
            <v/>
          </cell>
          <cell r="O140">
            <v>1020</v>
          </cell>
          <cell r="T140" t="str">
            <v>000000000002882</v>
          </cell>
        </row>
        <row r="141">
          <cell r="G141" t="str">
            <v/>
          </cell>
          <cell r="J141" t="str">
            <v/>
          </cell>
          <cell r="O141">
            <v>510</v>
          </cell>
          <cell r="T141" t="str">
            <v>000000000002882</v>
          </cell>
        </row>
        <row r="142">
          <cell r="G142" t="str">
            <v/>
          </cell>
          <cell r="J142" t="str">
            <v/>
          </cell>
          <cell r="O142">
            <v>0</v>
          </cell>
          <cell r="T142" t="str">
            <v>000000000002882</v>
          </cell>
        </row>
        <row r="143">
          <cell r="G143" t="str">
            <v/>
          </cell>
          <cell r="J143" t="str">
            <v/>
          </cell>
          <cell r="O143">
            <v>0</v>
          </cell>
          <cell r="T143" t="str">
            <v>000000000002882</v>
          </cell>
        </row>
        <row r="144">
          <cell r="G144" t="str">
            <v/>
          </cell>
          <cell r="J144" t="str">
            <v/>
          </cell>
          <cell r="T144" t="str">
            <v>000000000002882</v>
          </cell>
        </row>
        <row r="145">
          <cell r="G145" t="str">
            <v/>
          </cell>
          <cell r="J145" t="str">
            <v/>
          </cell>
          <cell r="T145" t="str">
            <v>000000000002882</v>
          </cell>
        </row>
        <row r="146">
          <cell r="G146" t="str">
            <v/>
          </cell>
          <cell r="J146" t="str">
            <v/>
          </cell>
          <cell r="Q146">
            <v>0</v>
          </cell>
          <cell r="T146" t="str">
            <v>000000000002882</v>
          </cell>
        </row>
        <row r="147">
          <cell r="T147" t="str">
            <v/>
          </cell>
        </row>
        <row r="148">
          <cell r="T148" t="str">
            <v/>
          </cell>
        </row>
        <row r="149">
          <cell r="T149" t="str">
            <v/>
          </cell>
        </row>
        <row r="150">
          <cell r="T150" t="str">
            <v/>
          </cell>
        </row>
        <row r="151">
          <cell r="T151" t="str">
            <v/>
          </cell>
        </row>
        <row r="152">
          <cell r="T152" t="str">
            <v/>
          </cell>
        </row>
        <row r="153">
          <cell r="T153" t="str">
            <v/>
          </cell>
        </row>
        <row r="154">
          <cell r="T154" t="str">
            <v/>
          </cell>
        </row>
        <row r="155">
          <cell r="T155" t="str">
            <v/>
          </cell>
        </row>
        <row r="156">
          <cell r="T156" t="str">
            <v/>
          </cell>
        </row>
        <row r="157">
          <cell r="T157" t="str">
            <v/>
          </cell>
        </row>
        <row r="158">
          <cell r="T158" t="str">
            <v/>
          </cell>
        </row>
        <row r="159">
          <cell r="T159" t="str">
            <v/>
          </cell>
        </row>
        <row r="160">
          <cell r="T160" t="str">
            <v/>
          </cell>
        </row>
        <row r="161">
          <cell r="T161" t="str">
            <v/>
          </cell>
        </row>
        <row r="162">
          <cell r="T162" t="str">
            <v/>
          </cell>
        </row>
        <row r="163">
          <cell r="T163" t="str">
            <v/>
          </cell>
        </row>
        <row r="164">
          <cell r="T164" t="str">
            <v/>
          </cell>
        </row>
        <row r="165">
          <cell r="T165" t="str">
            <v/>
          </cell>
        </row>
        <row r="166">
          <cell r="T166" t="str">
            <v/>
          </cell>
        </row>
        <row r="167">
          <cell r="T167" t="str">
            <v/>
          </cell>
        </row>
        <row r="168">
          <cell r="T168" t="str">
            <v/>
          </cell>
        </row>
        <row r="169">
          <cell r="T169" t="str">
            <v/>
          </cell>
        </row>
        <row r="170">
          <cell r="T170" t="str">
            <v/>
          </cell>
        </row>
        <row r="171">
          <cell r="T171" t="str">
            <v/>
          </cell>
        </row>
        <row r="172">
          <cell r="T172" t="str">
            <v/>
          </cell>
        </row>
        <row r="173">
          <cell r="T173" t="str">
            <v/>
          </cell>
        </row>
        <row r="174">
          <cell r="T174" t="str">
            <v/>
          </cell>
        </row>
        <row r="175">
          <cell r="T175" t="str">
            <v/>
          </cell>
        </row>
        <row r="176">
          <cell r="T176" t="str">
            <v/>
          </cell>
        </row>
        <row r="177">
          <cell r="T177" t="str">
            <v/>
          </cell>
        </row>
        <row r="178">
          <cell r="T178" t="str">
            <v/>
          </cell>
        </row>
        <row r="179">
          <cell r="T179" t="str">
            <v/>
          </cell>
        </row>
        <row r="180">
          <cell r="T180" t="str">
            <v/>
          </cell>
        </row>
        <row r="181">
          <cell r="T181" t="str">
            <v/>
          </cell>
        </row>
        <row r="182">
          <cell r="T182" t="str">
            <v/>
          </cell>
        </row>
        <row r="183">
          <cell r="T183" t="str">
            <v/>
          </cell>
        </row>
        <row r="184">
          <cell r="T184" t="str">
            <v/>
          </cell>
        </row>
        <row r="185">
          <cell r="T185" t="str">
            <v/>
          </cell>
        </row>
        <row r="186">
          <cell r="T186" t="str">
            <v/>
          </cell>
        </row>
        <row r="187">
          <cell r="T187" t="str">
            <v/>
          </cell>
        </row>
        <row r="188">
          <cell r="T188" t="str">
            <v/>
          </cell>
        </row>
        <row r="189">
          <cell r="T189" t="str">
            <v/>
          </cell>
        </row>
        <row r="190">
          <cell r="T190" t="str">
            <v/>
          </cell>
        </row>
        <row r="191">
          <cell r="T191" t="str">
            <v/>
          </cell>
        </row>
        <row r="192">
          <cell r="T192" t="str">
            <v/>
          </cell>
        </row>
        <row r="193">
          <cell r="T193" t="str">
            <v/>
          </cell>
        </row>
        <row r="194">
          <cell r="T194" t="str">
            <v/>
          </cell>
        </row>
        <row r="195">
          <cell r="T195" t="str">
            <v/>
          </cell>
        </row>
        <row r="196">
          <cell r="T196" t="str">
            <v/>
          </cell>
        </row>
        <row r="197">
          <cell r="T197" t="str">
            <v/>
          </cell>
        </row>
        <row r="198">
          <cell r="T198" t="str">
            <v/>
          </cell>
        </row>
        <row r="199">
          <cell r="T199" t="str">
            <v/>
          </cell>
        </row>
        <row r="200">
          <cell r="T200" t="str">
            <v/>
          </cell>
        </row>
        <row r="201">
          <cell r="T201" t="str">
            <v/>
          </cell>
        </row>
        <row r="202">
          <cell r="T202" t="str">
            <v/>
          </cell>
        </row>
        <row r="203">
          <cell r="T203" t="str">
            <v/>
          </cell>
        </row>
        <row r="204">
          <cell r="T204" t="str">
            <v/>
          </cell>
        </row>
        <row r="205">
          <cell r="T205" t="str">
            <v/>
          </cell>
        </row>
        <row r="206">
          <cell r="T206" t="str">
            <v/>
          </cell>
        </row>
        <row r="207">
          <cell r="T207" t="str">
            <v/>
          </cell>
        </row>
        <row r="208">
          <cell r="T208" t="str">
            <v/>
          </cell>
        </row>
        <row r="209">
          <cell r="T209" t="str">
            <v/>
          </cell>
        </row>
        <row r="210">
          <cell r="T210" t="str">
            <v/>
          </cell>
        </row>
        <row r="211">
          <cell r="T211" t="str">
            <v/>
          </cell>
        </row>
        <row r="212">
          <cell r="T212" t="str">
            <v/>
          </cell>
        </row>
        <row r="213">
          <cell r="T213" t="str">
            <v/>
          </cell>
        </row>
        <row r="214">
          <cell r="T214" t="str">
            <v/>
          </cell>
        </row>
        <row r="215">
          <cell r="T215" t="str">
            <v/>
          </cell>
        </row>
        <row r="216">
          <cell r="T216" t="str">
            <v/>
          </cell>
        </row>
        <row r="217">
          <cell r="T217" t="str">
            <v/>
          </cell>
        </row>
        <row r="218">
          <cell r="T218" t="str">
            <v/>
          </cell>
        </row>
        <row r="219">
          <cell r="T219" t="str">
            <v/>
          </cell>
        </row>
        <row r="220">
          <cell r="T220" t="str">
            <v/>
          </cell>
        </row>
        <row r="221">
          <cell r="T221" t="str">
            <v/>
          </cell>
        </row>
        <row r="222">
          <cell r="T222" t="str">
            <v/>
          </cell>
        </row>
        <row r="223">
          <cell r="T223" t="str">
            <v/>
          </cell>
        </row>
        <row r="224">
          <cell r="T224" t="str">
            <v/>
          </cell>
        </row>
        <row r="225">
          <cell r="T225" t="str">
            <v/>
          </cell>
        </row>
        <row r="226">
          <cell r="T226" t="str">
            <v/>
          </cell>
        </row>
        <row r="227">
          <cell r="T227" t="str">
            <v/>
          </cell>
        </row>
        <row r="228">
          <cell r="T228" t="str">
            <v/>
          </cell>
        </row>
        <row r="229">
          <cell r="T229" t="str">
            <v/>
          </cell>
        </row>
        <row r="230">
          <cell r="T230" t="str">
            <v/>
          </cell>
        </row>
        <row r="231">
          <cell r="T231" t="str">
            <v/>
          </cell>
        </row>
        <row r="232">
          <cell r="T232" t="str">
            <v/>
          </cell>
        </row>
        <row r="233">
          <cell r="T233" t="str">
            <v/>
          </cell>
        </row>
        <row r="234">
          <cell r="T234" t="str">
            <v/>
          </cell>
        </row>
        <row r="235">
          <cell r="T235" t="str">
            <v/>
          </cell>
        </row>
        <row r="236">
          <cell r="T236" t="str">
            <v/>
          </cell>
        </row>
        <row r="237">
          <cell r="T237" t="str">
            <v/>
          </cell>
        </row>
        <row r="238">
          <cell r="T238" t="str">
            <v/>
          </cell>
        </row>
        <row r="239">
          <cell r="T239" t="str">
            <v/>
          </cell>
        </row>
        <row r="240">
          <cell r="T240" t="str">
            <v/>
          </cell>
        </row>
        <row r="241">
          <cell r="T241" t="str">
            <v/>
          </cell>
        </row>
        <row r="242">
          <cell r="T242" t="str">
            <v/>
          </cell>
        </row>
        <row r="243">
          <cell r="T243" t="str">
            <v/>
          </cell>
        </row>
        <row r="244">
          <cell r="T244" t="str">
            <v/>
          </cell>
        </row>
        <row r="245">
          <cell r="T245" t="str">
            <v/>
          </cell>
        </row>
        <row r="246">
          <cell r="T246" t="str">
            <v/>
          </cell>
        </row>
        <row r="247">
          <cell r="T247" t="str">
            <v/>
          </cell>
        </row>
        <row r="248">
          <cell r="T248" t="str">
            <v/>
          </cell>
        </row>
        <row r="249">
          <cell r="T249" t="str">
            <v/>
          </cell>
        </row>
        <row r="250">
          <cell r="T250" t="str">
            <v/>
          </cell>
        </row>
        <row r="251">
          <cell r="T251" t="str">
            <v/>
          </cell>
        </row>
        <row r="252">
          <cell r="T252" t="str">
            <v/>
          </cell>
        </row>
        <row r="253">
          <cell r="T253" t="str">
            <v/>
          </cell>
        </row>
        <row r="254">
          <cell r="T254" t="str">
            <v/>
          </cell>
        </row>
        <row r="255">
          <cell r="T255" t="str">
            <v/>
          </cell>
        </row>
        <row r="256">
          <cell r="T256" t="str">
            <v/>
          </cell>
        </row>
        <row r="257">
          <cell r="T257" t="str">
            <v/>
          </cell>
        </row>
        <row r="258">
          <cell r="T258" t="str">
            <v/>
          </cell>
        </row>
        <row r="259">
          <cell r="T259" t="str">
            <v/>
          </cell>
        </row>
        <row r="260">
          <cell r="T260" t="str">
            <v/>
          </cell>
        </row>
        <row r="261">
          <cell r="T261" t="str">
            <v/>
          </cell>
        </row>
        <row r="262">
          <cell r="T262" t="str">
            <v/>
          </cell>
        </row>
        <row r="263">
          <cell r="T263" t="str">
            <v/>
          </cell>
        </row>
        <row r="264">
          <cell r="T264" t="str">
            <v/>
          </cell>
        </row>
        <row r="265">
          <cell r="T265" t="str">
            <v/>
          </cell>
        </row>
        <row r="266">
          <cell r="T266" t="str">
            <v/>
          </cell>
        </row>
        <row r="267">
          <cell r="T267" t="str">
            <v/>
          </cell>
        </row>
        <row r="268">
          <cell r="T268" t="str">
            <v/>
          </cell>
        </row>
        <row r="269">
          <cell r="T269" t="str">
            <v/>
          </cell>
        </row>
        <row r="270">
          <cell r="T270" t="str">
            <v/>
          </cell>
        </row>
        <row r="271">
          <cell r="T271" t="str">
            <v/>
          </cell>
        </row>
        <row r="272">
          <cell r="T272" t="str">
            <v/>
          </cell>
        </row>
        <row r="273">
          <cell r="T273" t="str">
            <v/>
          </cell>
        </row>
        <row r="274">
          <cell r="T274" t="str">
            <v/>
          </cell>
        </row>
        <row r="275">
          <cell r="T275" t="str">
            <v/>
          </cell>
        </row>
        <row r="276">
          <cell r="T276" t="str">
            <v/>
          </cell>
        </row>
        <row r="277">
          <cell r="T277" t="str">
            <v/>
          </cell>
        </row>
        <row r="278">
          <cell r="T278" t="str">
            <v/>
          </cell>
        </row>
        <row r="279">
          <cell r="T279" t="str">
            <v/>
          </cell>
        </row>
        <row r="280">
          <cell r="T280" t="str">
            <v/>
          </cell>
        </row>
        <row r="281">
          <cell r="T281" t="str">
            <v/>
          </cell>
        </row>
        <row r="282">
          <cell r="T282" t="str">
            <v/>
          </cell>
        </row>
        <row r="283">
          <cell r="T283" t="str">
            <v/>
          </cell>
        </row>
        <row r="284">
          <cell r="T284" t="str">
            <v/>
          </cell>
        </row>
        <row r="285">
          <cell r="T285" t="str">
            <v/>
          </cell>
        </row>
        <row r="286">
          <cell r="T286" t="str">
            <v/>
          </cell>
        </row>
        <row r="287">
          <cell r="T287" t="str">
            <v/>
          </cell>
        </row>
        <row r="288">
          <cell r="T288" t="str">
            <v/>
          </cell>
        </row>
        <row r="289">
          <cell r="T289" t="str">
            <v/>
          </cell>
        </row>
        <row r="290">
          <cell r="T290" t="str">
            <v/>
          </cell>
        </row>
        <row r="291">
          <cell r="T291" t="str">
            <v/>
          </cell>
        </row>
        <row r="292">
          <cell r="T292" t="str">
            <v/>
          </cell>
        </row>
        <row r="293">
          <cell r="T293" t="str">
            <v/>
          </cell>
        </row>
        <row r="294">
          <cell r="T294" t="str">
            <v/>
          </cell>
        </row>
        <row r="295">
          <cell r="T295" t="str">
            <v/>
          </cell>
        </row>
        <row r="296">
          <cell r="T296" t="str">
            <v/>
          </cell>
        </row>
        <row r="297">
          <cell r="T297" t="str">
            <v/>
          </cell>
        </row>
        <row r="298">
          <cell r="T298" t="str">
            <v/>
          </cell>
        </row>
        <row r="299">
          <cell r="T299" t="str">
            <v/>
          </cell>
        </row>
        <row r="300">
          <cell r="T300" t="str">
            <v/>
          </cell>
        </row>
        <row r="301">
          <cell r="T301" t="str">
            <v/>
          </cell>
        </row>
        <row r="302">
          <cell r="T302" t="str">
            <v/>
          </cell>
        </row>
        <row r="303">
          <cell r="T303" t="str">
            <v/>
          </cell>
        </row>
        <row r="304">
          <cell r="T304" t="str">
            <v/>
          </cell>
        </row>
        <row r="305">
          <cell r="T305" t="str">
            <v/>
          </cell>
        </row>
        <row r="306">
          <cell r="T306" t="str">
            <v/>
          </cell>
        </row>
        <row r="307">
          <cell r="T307" t="str">
            <v/>
          </cell>
        </row>
        <row r="308">
          <cell r="T308" t="str">
            <v/>
          </cell>
        </row>
        <row r="309">
          <cell r="T309" t="str">
            <v/>
          </cell>
        </row>
        <row r="310">
          <cell r="T310" t="str">
            <v/>
          </cell>
        </row>
        <row r="311">
          <cell r="T311" t="str">
            <v/>
          </cell>
        </row>
        <row r="312">
          <cell r="T312" t="str">
            <v/>
          </cell>
        </row>
        <row r="313">
          <cell r="T313" t="str">
            <v/>
          </cell>
        </row>
        <row r="314">
          <cell r="T314" t="str">
            <v/>
          </cell>
        </row>
        <row r="315">
          <cell r="T315" t="str">
            <v/>
          </cell>
        </row>
        <row r="316">
          <cell r="T316" t="str">
            <v/>
          </cell>
        </row>
        <row r="317">
          <cell r="T317" t="str">
            <v/>
          </cell>
        </row>
        <row r="318">
          <cell r="T318" t="str">
            <v/>
          </cell>
        </row>
        <row r="319">
          <cell r="T319" t="str">
            <v/>
          </cell>
        </row>
        <row r="320">
          <cell r="T320" t="str">
            <v/>
          </cell>
        </row>
        <row r="321">
          <cell r="T321" t="str">
            <v/>
          </cell>
        </row>
        <row r="322">
          <cell r="T322" t="str">
            <v/>
          </cell>
        </row>
        <row r="323">
          <cell r="T323" t="str">
            <v/>
          </cell>
        </row>
        <row r="324">
          <cell r="T324" t="str">
            <v/>
          </cell>
        </row>
        <row r="325">
          <cell r="T325" t="str">
            <v/>
          </cell>
        </row>
        <row r="326">
          <cell r="T326" t="str">
            <v/>
          </cell>
        </row>
        <row r="327">
          <cell r="T327" t="str">
            <v/>
          </cell>
        </row>
        <row r="328">
          <cell r="T328" t="str">
            <v/>
          </cell>
        </row>
        <row r="329">
          <cell r="T329" t="str">
            <v/>
          </cell>
        </row>
        <row r="330">
          <cell r="T330" t="str">
            <v/>
          </cell>
        </row>
        <row r="331">
          <cell r="T331" t="str">
            <v/>
          </cell>
        </row>
        <row r="332">
          <cell r="T332" t="str">
            <v/>
          </cell>
        </row>
        <row r="333">
          <cell r="T333" t="str">
            <v/>
          </cell>
        </row>
        <row r="334">
          <cell r="T334" t="str">
            <v/>
          </cell>
        </row>
        <row r="335">
          <cell r="T335" t="str">
            <v/>
          </cell>
        </row>
        <row r="336">
          <cell r="T336" t="str">
            <v/>
          </cell>
        </row>
        <row r="337">
          <cell r="T337" t="str">
            <v/>
          </cell>
        </row>
        <row r="338">
          <cell r="T338" t="str">
            <v/>
          </cell>
        </row>
        <row r="339">
          <cell r="T339" t="str">
            <v/>
          </cell>
        </row>
        <row r="340">
          <cell r="T340" t="str">
            <v/>
          </cell>
        </row>
        <row r="341">
          <cell r="T341" t="str">
            <v/>
          </cell>
        </row>
        <row r="342">
          <cell r="T342" t="str">
            <v/>
          </cell>
        </row>
        <row r="343">
          <cell r="T343" t="str">
            <v/>
          </cell>
        </row>
        <row r="344">
          <cell r="T344" t="str">
            <v/>
          </cell>
        </row>
        <row r="345">
          <cell r="T345" t="str">
            <v/>
          </cell>
        </row>
        <row r="346">
          <cell r="T346" t="str">
            <v/>
          </cell>
        </row>
        <row r="347">
          <cell r="T347" t="str">
            <v/>
          </cell>
        </row>
        <row r="348">
          <cell r="T348" t="str">
            <v/>
          </cell>
        </row>
        <row r="349">
          <cell r="T349" t="str">
            <v/>
          </cell>
        </row>
        <row r="350">
          <cell r="T350" t="str">
            <v/>
          </cell>
        </row>
        <row r="351">
          <cell r="T351" t="str">
            <v/>
          </cell>
        </row>
        <row r="352">
          <cell r="T352" t="str">
            <v/>
          </cell>
        </row>
        <row r="353">
          <cell r="T353" t="str">
            <v/>
          </cell>
        </row>
        <row r="354">
          <cell r="T354" t="str">
            <v/>
          </cell>
        </row>
        <row r="355">
          <cell r="T355" t="str">
            <v/>
          </cell>
        </row>
        <row r="356">
          <cell r="T356" t="str">
            <v/>
          </cell>
        </row>
        <row r="357">
          <cell r="T357" t="str">
            <v/>
          </cell>
        </row>
        <row r="358">
          <cell r="T358" t="str">
            <v/>
          </cell>
        </row>
        <row r="359">
          <cell r="T359" t="str">
            <v/>
          </cell>
        </row>
        <row r="360">
          <cell r="T360" t="str">
            <v/>
          </cell>
        </row>
        <row r="361">
          <cell r="T361" t="str">
            <v/>
          </cell>
        </row>
        <row r="362">
          <cell r="T362" t="str">
            <v/>
          </cell>
        </row>
        <row r="363">
          <cell r="T363" t="str">
            <v/>
          </cell>
        </row>
        <row r="364">
          <cell r="T364" t="str">
            <v/>
          </cell>
        </row>
        <row r="365">
          <cell r="T365" t="str">
            <v/>
          </cell>
        </row>
        <row r="366">
          <cell r="T366" t="str">
            <v/>
          </cell>
        </row>
        <row r="367">
          <cell r="T367" t="str">
            <v/>
          </cell>
        </row>
        <row r="368">
          <cell r="T368" t="str">
            <v/>
          </cell>
        </row>
        <row r="369">
          <cell r="T369" t="str">
            <v/>
          </cell>
        </row>
        <row r="370">
          <cell r="T370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黒板灯ﾌﾟﾘｽﾞﾑｶﾊﾞｰ　L=1210</v>
          </cell>
        </row>
        <row r="3">
          <cell r="B3" t="str">
            <v>ｺﾝﾌｫｰﾄ用ﾌﾟﾘｽﾞﾑｶﾊﾞｰL1210</v>
          </cell>
        </row>
        <row r="4">
          <cell r="B4" t="str">
            <v>8FL281304 4810　L=297</v>
          </cell>
        </row>
        <row r="5">
          <cell r="B5" t="str">
            <v>8FL281304 8110　L=444</v>
          </cell>
        </row>
        <row r="6">
          <cell r="B6" t="str">
            <v>8FL281304 4910　L=592</v>
          </cell>
        </row>
        <row r="7">
          <cell r="B7" t="str">
            <v>8FL281304 8310　L=748</v>
          </cell>
        </row>
        <row r="8">
          <cell r="B8" t="str">
            <v>8FL281304 5010　L=888</v>
          </cell>
        </row>
        <row r="9">
          <cell r="B9" t="str">
            <v>8FL281304 5110　L=1183</v>
          </cell>
        </row>
        <row r="10">
          <cell r="B10" t="str">
            <v>8FL281304 8010　L=1329</v>
          </cell>
        </row>
        <row r="11">
          <cell r="B11" t="str">
            <v>8FL281304 6110　L=1478</v>
          </cell>
        </row>
        <row r="12">
          <cell r="B12" t="str">
            <v>8FL281304 4920　L=592　クリア</v>
          </cell>
        </row>
        <row r="13">
          <cell r="B13" t="str">
            <v>8FL281304 5020　L=888　クリア</v>
          </cell>
        </row>
        <row r="14">
          <cell r="B14" t="str">
            <v>8FL281304 5120　L=1183　クリア</v>
          </cell>
        </row>
        <row r="15">
          <cell r="B15" t="str">
            <v>8FL281304 6120　L=1478　クリア</v>
          </cell>
        </row>
        <row r="16">
          <cell r="B16" t="str">
            <v>NNN33000W</v>
          </cell>
        </row>
        <row r="17">
          <cell r="B17" t="str">
            <v>NNN35000W</v>
          </cell>
        </row>
        <row r="18">
          <cell r="B18" t="str">
            <v>NNN36500-3</v>
          </cell>
        </row>
        <row r="19">
          <cell r="B19" t="str">
            <v>NNN36500-3-2</v>
          </cell>
        </row>
        <row r="20">
          <cell r="B20" t="str">
            <v>NNN36500-3-3</v>
          </cell>
        </row>
        <row r="21">
          <cell r="B21" t="str">
            <v>NNN36500-3-4</v>
          </cell>
        </row>
        <row r="22">
          <cell r="B22" t="str">
            <v>灯具カバーPC IN 2070　L=1966</v>
          </cell>
        </row>
        <row r="23">
          <cell r="B23" t="str">
            <v>灯具カバーPC IN 2100　L=1923</v>
          </cell>
        </row>
        <row r="24">
          <cell r="B24" t="str">
            <v>灯具カバーPC IN 2110　L=1815</v>
          </cell>
        </row>
        <row r="25">
          <cell r="B25" t="str">
            <v>灯具カバーPC IN 2080　L=1540</v>
          </cell>
        </row>
        <row r="26">
          <cell r="B26" t="str">
            <v>灯具カバーPC IN 2060　L=1258.5</v>
          </cell>
        </row>
        <row r="27">
          <cell r="B27" t="str">
            <v>灯具カバーPC IN 2050　L=1183.5</v>
          </cell>
        </row>
        <row r="28">
          <cell r="B28" t="str">
            <v>灯具カバーPC IN 2130　L=908</v>
          </cell>
        </row>
        <row r="29">
          <cell r="B29" t="str">
            <v>灯具カバーPC IN 2090　L=840</v>
          </cell>
        </row>
        <row r="30">
          <cell r="B30" t="str">
            <v>灯具カバーPC IN 2140　L=547</v>
          </cell>
        </row>
        <row r="31">
          <cell r="B31" t="str">
            <v>灯具カバーPC IN 2490　L=1264</v>
          </cell>
        </row>
        <row r="32">
          <cell r="B32" t="str">
            <v>灯具カバーPC IN 2500　L=1238</v>
          </cell>
        </row>
        <row r="33">
          <cell r="B33" t="str">
            <v>灯具カバーPC IN 2460　L=1291</v>
          </cell>
        </row>
        <row r="34">
          <cell r="B34" t="str">
            <v>灯具カバーPC IN 2470　L=1648</v>
          </cell>
        </row>
        <row r="35">
          <cell r="B35" t="str">
            <v>灯具カバーPC IN 2480　L=954</v>
          </cell>
        </row>
        <row r="36">
          <cell r="B36" t="str">
            <v>灯具カバーPC 7520  L=1334</v>
          </cell>
        </row>
        <row r="37">
          <cell r="B37" t="str">
            <v>灯具カバーPC 2180  L=1309.5</v>
          </cell>
        </row>
        <row r="38">
          <cell r="B38" t="str">
            <v>灯具カバーPC 2170  L=1279</v>
          </cell>
        </row>
        <row r="39">
          <cell r="B39" t="str">
            <v>灯具カバーPC 2190  L=1240</v>
          </cell>
        </row>
        <row r="40">
          <cell r="B40" t="str">
            <v>灯具カバーPC 2160  L=613.3</v>
          </cell>
        </row>
        <row r="41">
          <cell r="B41" t="str">
            <v>灯具カバーPC 7530  L=565</v>
          </cell>
        </row>
        <row r="42">
          <cell r="B42" t="str">
            <v>灯具カバーPC 2200  L=221.8</v>
          </cell>
        </row>
        <row r="43">
          <cell r="B43" t="str">
            <v>採光ルーバーパネルA　L=1996</v>
          </cell>
        </row>
        <row r="44">
          <cell r="B44" t="str">
            <v>採光ルーバーパネルB　L=1996</v>
          </cell>
        </row>
        <row r="45">
          <cell r="B45" t="str">
            <v>PK-59827 L=500</v>
          </cell>
        </row>
        <row r="46">
          <cell r="B46" t="str">
            <v>PK-59827 L=700</v>
          </cell>
        </row>
        <row r="47">
          <cell r="B47" t="str">
            <v>ハーネスガイド部材　L=275</v>
          </cell>
        </row>
        <row r="48">
          <cell r="B48" t="str">
            <v>MDP-689B L4　L=2574</v>
          </cell>
        </row>
        <row r="49">
          <cell r="B49" t="str">
            <v>MDPQ-689B L4 　L=2574　　</v>
          </cell>
        </row>
        <row r="50">
          <cell r="B50" t="str">
            <v>SRG-60D　L=586</v>
          </cell>
        </row>
        <row r="51">
          <cell r="B51" t="str">
            <v>SRG-90D　L=860</v>
          </cell>
        </row>
        <row r="52">
          <cell r="B52" t="str">
            <v>SRG-60U　L=586</v>
          </cell>
        </row>
        <row r="53">
          <cell r="B53" t="str">
            <v>SRG-90U　L=860</v>
          </cell>
        </row>
        <row r="54">
          <cell r="B54" t="str">
            <v>ﾃﾝｹﾝｺｳ(上)　L=300</v>
          </cell>
        </row>
        <row r="55">
          <cell r="B55" t="str">
            <v>ﾃﾝｹﾝｺｳ(上)　L=498</v>
          </cell>
        </row>
        <row r="56">
          <cell r="B56" t="str">
            <v>ﾃﾝｹﾝｺｳ(上)　L=1168</v>
          </cell>
        </row>
        <row r="57">
          <cell r="B57" t="str">
            <v>ﾏｴｶﾊﾞｰ(17F09810A)　L=874</v>
          </cell>
        </row>
        <row r="58">
          <cell r="B58" t="str">
            <v>ﾏｴｶﾊﾞｰ(17F09810B)　L=1184</v>
          </cell>
        </row>
        <row r="59">
          <cell r="B59" t="str">
            <v>ﾏｴｶﾊﾞｰ(17F09810C)　L=1494</v>
          </cell>
        </row>
        <row r="60">
          <cell r="B60" t="str">
            <v>MDP-688A L4　L=2570</v>
          </cell>
        </row>
        <row r="61">
          <cell r="B61" t="str">
            <v>MDPQ-688A L4　L=2570</v>
          </cell>
        </row>
        <row r="62">
          <cell r="B62" t="str">
            <v>照明ｶﾊﾞｰS15　L=550</v>
          </cell>
        </row>
        <row r="63">
          <cell r="B63" t="str">
            <v>照明ｶﾊﾞｰS　L=560.4</v>
          </cell>
        </row>
        <row r="64">
          <cell r="B64" t="str">
            <v>照明ｶﾊﾞｰL15　L=820</v>
          </cell>
        </row>
        <row r="65">
          <cell r="B65" t="str">
            <v>照明ｶﾊﾞｰL　L=830.4</v>
          </cell>
        </row>
        <row r="66">
          <cell r="B66" t="str">
            <v>L型ｱﾝｸﾞﾙ　WT-28B　L=420</v>
          </cell>
        </row>
        <row r="67">
          <cell r="B67" t="str">
            <v>L型ｱﾝｸﾞﾙ　P-VH-42D　L=520</v>
          </cell>
        </row>
        <row r="68">
          <cell r="B68" t="str">
            <v>GA-770 BK(BD)　L=730.5</v>
          </cell>
        </row>
        <row r="69">
          <cell r="B69" t="str">
            <v>GA-770 BK(BD)　L=745.5</v>
          </cell>
        </row>
        <row r="70">
          <cell r="B70" t="str">
            <v>GA-770 BR　L=730.5</v>
          </cell>
        </row>
        <row r="71">
          <cell r="B71" t="str">
            <v>GA-770 BR　L=745.5</v>
          </cell>
        </row>
        <row r="72">
          <cell r="B72" t="str">
            <v>WD3104A KC L=409</v>
          </cell>
        </row>
        <row r="73">
          <cell r="B73" t="str">
            <v>WD3104A KC　L=500.5</v>
          </cell>
        </row>
        <row r="74">
          <cell r="B74" t="str">
            <v>WD3104A BK　L=409</v>
          </cell>
        </row>
        <row r="75">
          <cell r="B75" t="str">
            <v>WD3104A BR(BK)　L=500.5</v>
          </cell>
        </row>
        <row r="76">
          <cell r="B76" t="str">
            <v>WD3104A BR(BK)　L=900</v>
          </cell>
        </row>
        <row r="77">
          <cell r="B77" t="str">
            <v>WD3104A BR(BK)　L=689</v>
          </cell>
        </row>
        <row r="78">
          <cell r="B78" t="str">
            <v>GA9344/PYTB554K　L=336</v>
          </cell>
        </row>
        <row r="79">
          <cell r="B79" t="str">
            <v>GA9344/PYTB554K　L=386</v>
          </cell>
        </row>
        <row r="80">
          <cell r="B80" t="str">
            <v>ｼﾞｮｲﾝﾄﾁｭ-ﾌﾞ5号　L=710</v>
          </cell>
        </row>
        <row r="81">
          <cell r="B81" t="str">
            <v>ｼﾞｮｲﾝﾄﾁｭ-ﾌﾞ2号　L=340</v>
          </cell>
        </row>
        <row r="82">
          <cell r="B82" t="str">
            <v>ｼﾞｮｲﾝﾄﾁｭ-ﾌﾞ3号　L=420</v>
          </cell>
        </row>
        <row r="83">
          <cell r="B83" t="str">
            <v>ｼﾞｮｲﾝﾄﾁｭ-ﾌﾞ1号　L=250</v>
          </cell>
        </row>
        <row r="84">
          <cell r="B84" t="str">
            <v>L型ｱﾝｸﾞﾙ　P-VH-C　L=530</v>
          </cell>
        </row>
        <row r="85">
          <cell r="B85" t="str">
            <v>L型ｱﾝｸﾞﾙ　WT-42B　L=590</v>
          </cell>
        </row>
        <row r="86">
          <cell r="B86" t="str">
            <v>L型ｱﾝｸﾞﾙ　P-VH-E　L=600</v>
          </cell>
        </row>
        <row r="87">
          <cell r="B87" t="str">
            <v>L型ｱﾝｸﾞﾙ　P-VH-56D　L=690</v>
          </cell>
        </row>
        <row r="88">
          <cell r="B88" t="str">
            <v>L型ｱﾝｸﾞﾙ　WT-56B　L=760　　</v>
          </cell>
        </row>
        <row r="89">
          <cell r="B89" t="str">
            <v>L型ｱﾝｸﾞﾙ　P-VH-A　L=1018</v>
          </cell>
        </row>
        <row r="90">
          <cell r="B90" t="str">
            <v>991HDP　198</v>
          </cell>
        </row>
        <row r="91">
          <cell r="B91" t="str">
            <v>991GPK　264</v>
          </cell>
        </row>
        <row r="92">
          <cell r="B92" t="str">
            <v>991GPK　268</v>
          </cell>
        </row>
        <row r="93">
          <cell r="B93" t="str">
            <v>991GPK　414</v>
          </cell>
        </row>
        <row r="94">
          <cell r="B94" t="str">
            <v>991GPK　418</v>
          </cell>
        </row>
        <row r="95">
          <cell r="B95" t="str">
            <v>991GPK　565</v>
          </cell>
        </row>
        <row r="96">
          <cell r="B96" t="str">
            <v>991GPK　568</v>
          </cell>
        </row>
        <row r="97">
          <cell r="B97" t="str">
            <v>991GPK　715</v>
          </cell>
        </row>
        <row r="98">
          <cell r="B98" t="str">
            <v>991GPK　718</v>
          </cell>
        </row>
        <row r="99">
          <cell r="B99" t="str">
            <v>991GPK　865</v>
          </cell>
        </row>
        <row r="100">
          <cell r="B100" t="str">
            <v>991GPK　868</v>
          </cell>
        </row>
        <row r="101">
          <cell r="B101" t="str">
            <v>991GPK　1015</v>
          </cell>
        </row>
        <row r="102">
          <cell r="B102" t="str">
            <v>991GPK　1018</v>
          </cell>
        </row>
        <row r="103">
          <cell r="B103" t="str">
            <v>752GPSB　265</v>
          </cell>
        </row>
        <row r="104">
          <cell r="B104" t="str">
            <v>752GPSB　415</v>
          </cell>
        </row>
        <row r="105">
          <cell r="B105" t="str">
            <v>752GPSB　565</v>
          </cell>
        </row>
        <row r="106">
          <cell r="B106" t="str">
            <v>752GPSB　665</v>
          </cell>
        </row>
        <row r="107">
          <cell r="B107" t="str">
            <v>752GPSB　715</v>
          </cell>
        </row>
        <row r="108">
          <cell r="B108" t="str">
            <v>752GPSB　865</v>
          </cell>
        </row>
        <row r="109">
          <cell r="B109" t="str">
            <v>003GPDG　414</v>
          </cell>
        </row>
        <row r="110">
          <cell r="B110" t="str">
            <v>002EGAW　519</v>
          </cell>
        </row>
        <row r="111">
          <cell r="B111" t="str">
            <v>002EGAW　631</v>
          </cell>
        </row>
        <row r="112">
          <cell r="B112" t="str">
            <v>002EGDG　204</v>
          </cell>
        </row>
        <row r="113">
          <cell r="B113" t="str">
            <v>051GPW　269(ｽﾀ)　</v>
          </cell>
        </row>
        <row r="114">
          <cell r="B114" t="str">
            <v>051GPW　419(ｽﾀ)</v>
          </cell>
        </row>
        <row r="115">
          <cell r="B115" t="str">
            <v>051GPW　567(ｽﾀ)</v>
          </cell>
        </row>
        <row r="116">
          <cell r="B116" t="str">
            <v>051GPW　569</v>
          </cell>
        </row>
        <row r="117">
          <cell r="B117" t="str">
            <v>051GPW　715</v>
          </cell>
        </row>
        <row r="118">
          <cell r="B118" t="str">
            <v>051GPW　719</v>
          </cell>
        </row>
        <row r="119">
          <cell r="B119" t="str">
            <v>051GPW　868</v>
          </cell>
        </row>
        <row r="120">
          <cell r="B120" t="str">
            <v>051GPW　1014</v>
          </cell>
        </row>
        <row r="121">
          <cell r="B121" t="str">
            <v>051GPW　1018</v>
          </cell>
        </row>
        <row r="122">
          <cell r="B122" t="str">
            <v>051GPW　1164</v>
          </cell>
        </row>
        <row r="123">
          <cell r="B123" t="str">
            <v>001EGAW　415</v>
          </cell>
        </row>
        <row r="124">
          <cell r="B124" t="str">
            <v>001EGAW　508</v>
          </cell>
        </row>
        <row r="125">
          <cell r="B125" t="str">
            <v>001EGAW　565</v>
          </cell>
        </row>
        <row r="126">
          <cell r="B126" t="str">
            <v>001EGAW　633</v>
          </cell>
        </row>
        <row r="127">
          <cell r="B127" t="str">
            <v>001EGAW　652</v>
          </cell>
        </row>
        <row r="128">
          <cell r="B128" t="str">
            <v>001EGAW　665</v>
          </cell>
        </row>
        <row r="129">
          <cell r="B129" t="str">
            <v>001EGAW　715</v>
          </cell>
        </row>
        <row r="130">
          <cell r="B130" t="str">
            <v>MDP-689B L1　L=1608</v>
          </cell>
        </row>
        <row r="131">
          <cell r="B131" t="str">
            <v>MDP-689B L2　L=1662</v>
          </cell>
        </row>
        <row r="132">
          <cell r="B132" t="str">
            <v>MDPQ-689B L1　L=1608</v>
          </cell>
        </row>
        <row r="133">
          <cell r="B133" t="str">
            <v>MDPQ-689B L2　L=1662</v>
          </cell>
        </row>
        <row r="134">
          <cell r="B134" t="str">
            <v>MDP-688A L1　L=1604</v>
          </cell>
        </row>
        <row r="135">
          <cell r="B135" t="str">
            <v>MDP-688A L2　L=1658</v>
          </cell>
        </row>
        <row r="136">
          <cell r="B136" t="str">
            <v>MDPQ-688A L1　L=1604</v>
          </cell>
        </row>
        <row r="137">
          <cell r="B137" t="str">
            <v>MDPQ-688A L2　L=1658</v>
          </cell>
        </row>
        <row r="138">
          <cell r="B138" t="str">
            <v>BMPU-245　L=100</v>
          </cell>
        </row>
        <row r="139">
          <cell r="B139" t="str">
            <v>PRPU-418　L=100</v>
          </cell>
        </row>
        <row r="140">
          <cell r="B140" t="str">
            <v>QDNT-284A L2　L=2281</v>
          </cell>
        </row>
        <row r="141">
          <cell r="B141" t="str">
            <v>QDNT-284A L1　L=2315</v>
          </cell>
        </row>
        <row r="142">
          <cell r="B142" t="str">
            <v>QDNT-284A LT　L=2398</v>
          </cell>
        </row>
        <row r="143">
          <cell r="B143" t="str">
            <v>QDNT-284A LT2　L=2740</v>
          </cell>
        </row>
        <row r="144">
          <cell r="B144" t="str">
            <v>DHCT-147 L1　L=2266</v>
          </cell>
        </row>
        <row r="145">
          <cell r="B145" t="str">
            <v>DHCT-147 L3　L=2297.5</v>
          </cell>
        </row>
        <row r="146">
          <cell r="B146" t="str">
            <v>DHCT-136　L=2267</v>
          </cell>
        </row>
        <row r="147">
          <cell r="B147" t="str">
            <v>DHCT-136 L1　L=2298.5</v>
          </cell>
        </row>
        <row r="148">
          <cell r="B148" t="str">
            <v>DHCT-328RL1　L=1994</v>
          </cell>
        </row>
        <row r="149">
          <cell r="B149" t="str">
            <v>DHCT-329L1　L=79</v>
          </cell>
        </row>
        <row r="150">
          <cell r="B150" t="str">
            <v>DHCT-329L2　L=103</v>
          </cell>
        </row>
        <row r="151">
          <cell r="B151" t="str">
            <v>DHCT-397 L1　L=1995</v>
          </cell>
        </row>
        <row r="152">
          <cell r="B152" t="str">
            <v>DHCT-397 LL2　L=1888</v>
          </cell>
        </row>
        <row r="153">
          <cell r="B153" t="str">
            <v>DHCT-398　L=86</v>
          </cell>
        </row>
        <row r="154">
          <cell r="B154" t="str">
            <v>DHCT-409 L1　L=2308</v>
          </cell>
        </row>
        <row r="155">
          <cell r="B155" t="str">
            <v>DHCT-397 RL2　L=1888</v>
          </cell>
        </row>
        <row r="156">
          <cell r="B156" t="str">
            <v>DHCT-548L3　L=99</v>
          </cell>
        </row>
        <row r="157">
          <cell r="B157" t="str">
            <v>DHCT-548L1　L=107.5</v>
          </cell>
        </row>
        <row r="158">
          <cell r="B158" t="str">
            <v>DHCT-548L4　L=123.5</v>
          </cell>
        </row>
        <row r="159">
          <cell r="B159" t="str">
            <v>DHCT-548L2　L=132</v>
          </cell>
        </row>
        <row r="160">
          <cell r="B160" t="str">
            <v>DHCT-547L1　L=334</v>
          </cell>
        </row>
        <row r="161">
          <cell r="B161" t="str">
            <v>DHCT-547L2　L=346</v>
          </cell>
        </row>
        <row r="162">
          <cell r="B162" t="str">
            <v>DHCT-691 L1　L=224</v>
          </cell>
        </row>
        <row r="163">
          <cell r="B163" t="str">
            <v>DHDT-186　L=2360.5</v>
          </cell>
        </row>
        <row r="164">
          <cell r="B164" t="str">
            <v>QDQT-509 L1　L=116</v>
          </cell>
        </row>
        <row r="165">
          <cell r="B165" t="str">
            <v>QDQT-509 L2　L=238</v>
          </cell>
        </row>
        <row r="166">
          <cell r="B166" t="str">
            <v>QDQT-515 L3   L=78  　　</v>
          </cell>
        </row>
        <row r="167">
          <cell r="B167" t="str">
            <v>QDQT-515 L2   L=128     　　</v>
          </cell>
        </row>
        <row r="168">
          <cell r="B168" t="str">
            <v>QDQT-515 L1　L=544　</v>
          </cell>
        </row>
        <row r="169">
          <cell r="B169" t="str">
            <v>QDN-487　L=200</v>
          </cell>
        </row>
        <row r="170">
          <cell r="B170" t="str">
            <v>AM-O-0744-KC1　L=414</v>
          </cell>
        </row>
        <row r="171">
          <cell r="B171" t="str">
            <v>AM-O-0807-KC1　L=769</v>
          </cell>
        </row>
        <row r="172">
          <cell r="B172" t="str">
            <v>脚ﾊﾟｲﾌﾟPVC　L=525</v>
          </cell>
        </row>
        <row r="173">
          <cell r="B173" t="str">
            <v>脚ﾊﾟｲﾌﾟPVC　L=575</v>
          </cell>
        </row>
        <row r="174">
          <cell r="B174" t="str">
            <v>GA-770 (特注)BR</v>
          </cell>
        </row>
        <row r="175">
          <cell r="B175" t="str">
            <v>GA-770 (特注)BK</v>
          </cell>
        </row>
        <row r="176">
          <cell r="B176" t="str">
            <v>ランプシェード　SL-600</v>
          </cell>
        </row>
        <row r="177">
          <cell r="B177" t="str">
            <v>灯具カバーPC L=503</v>
          </cell>
        </row>
        <row r="178">
          <cell r="B178" t="str">
            <v>灯具カバーPC L=669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"/>
  <sheetViews>
    <sheetView tabSelected="1" topLeftCell="A49" workbookViewId="0">
      <selection activeCell="B64" sqref="B64:B6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69" customWidth="1"/>
    <col min="8" max="8" width="10.625" style="69" customWidth="1"/>
    <col min="9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2"/>
      <c r="B1" s="167" t="s">
        <v>0</v>
      </c>
      <c r="C1" s="140"/>
      <c r="D1" s="140"/>
      <c r="E1" s="12"/>
      <c r="F1" s="12"/>
      <c r="G1" s="66"/>
      <c r="H1" s="66"/>
      <c r="I1" s="12"/>
      <c r="J1" s="12"/>
    </row>
    <row r="2" spans="1:10" ht="14.25" customHeight="1" thickTop="1">
      <c r="A2" s="13"/>
      <c r="B2" s="140"/>
      <c r="C2" s="140"/>
      <c r="D2" s="140"/>
      <c r="E2" s="13"/>
      <c r="F2" s="13"/>
      <c r="G2" s="67"/>
      <c r="H2" s="67"/>
      <c r="I2" s="13"/>
      <c r="J2" s="13"/>
    </row>
    <row r="3" spans="1:10" ht="14.25" customHeight="1">
      <c r="A3" s="147" t="s">
        <v>1</v>
      </c>
      <c r="B3" s="147" t="s">
        <v>88</v>
      </c>
      <c r="C3" s="147" t="s">
        <v>2</v>
      </c>
      <c r="D3" s="151">
        <v>503</v>
      </c>
      <c r="E3" s="147" t="s">
        <v>3</v>
      </c>
      <c r="F3" s="148" t="s">
        <v>43</v>
      </c>
      <c r="G3" s="140"/>
      <c r="H3" s="149"/>
      <c r="I3" s="14" t="s">
        <v>4</v>
      </c>
      <c r="J3" s="14" t="s">
        <v>5</v>
      </c>
    </row>
    <row r="4" spans="1:10" ht="14.25" customHeight="1">
      <c r="A4" s="140"/>
      <c r="B4" s="140"/>
      <c r="C4" s="140"/>
      <c r="D4" s="140"/>
      <c r="E4" s="140"/>
      <c r="F4" s="140"/>
      <c r="G4" s="140"/>
      <c r="H4" s="149"/>
      <c r="I4" s="120"/>
      <c r="J4" s="120"/>
    </row>
    <row r="5" spans="1:10" ht="17.45" customHeight="1">
      <c r="A5" s="139" t="s">
        <v>6</v>
      </c>
      <c r="B5" s="150" t="s">
        <v>45</v>
      </c>
      <c r="E5" s="139" t="s">
        <v>7</v>
      </c>
      <c r="F5" s="153" t="s">
        <v>41</v>
      </c>
      <c r="G5" s="140"/>
      <c r="H5" s="149"/>
      <c r="I5" s="121"/>
      <c r="J5" s="121"/>
    </row>
    <row r="6" spans="1:10" ht="17.45" customHeight="1">
      <c r="A6" s="140"/>
      <c r="B6" s="140"/>
      <c r="E6" s="140"/>
      <c r="F6" s="140"/>
      <c r="G6" s="140"/>
      <c r="H6" s="149"/>
      <c r="I6" s="15"/>
      <c r="J6" s="15"/>
    </row>
    <row r="7" spans="1:10" ht="17.45" customHeight="1">
      <c r="A7" s="139" t="s">
        <v>8</v>
      </c>
      <c r="B7" s="150" t="s">
        <v>42</v>
      </c>
      <c r="E7" s="2" t="s">
        <v>9</v>
      </c>
      <c r="F7" s="154" t="s">
        <v>41</v>
      </c>
      <c r="G7" s="140"/>
      <c r="H7" s="68"/>
    </row>
    <row r="8" spans="1:10" ht="17.45" customHeight="1">
      <c r="A8" s="140"/>
      <c r="B8" s="140"/>
      <c r="E8" s="2" t="s">
        <v>10</v>
      </c>
      <c r="F8" s="22" t="s">
        <v>41</v>
      </c>
      <c r="G8" s="68"/>
      <c r="H8" s="68"/>
    </row>
    <row r="9" spans="1:10" ht="17.45" customHeight="1">
      <c r="A9" s="2" t="s">
        <v>11</v>
      </c>
      <c r="B9" s="4" t="s">
        <v>41</v>
      </c>
      <c r="E9" s="2" t="s">
        <v>12</v>
      </c>
      <c r="F9" s="152">
        <v>2</v>
      </c>
      <c r="G9" s="140"/>
      <c r="H9" s="68"/>
    </row>
    <row r="10" spans="1:10" ht="17.45" customHeight="1">
      <c r="A10" s="2" t="s">
        <v>13</v>
      </c>
      <c r="B10" s="4" t="s">
        <v>41</v>
      </c>
      <c r="E10" s="2" t="s">
        <v>14</v>
      </c>
      <c r="F10" s="22">
        <v>10</v>
      </c>
      <c r="G10" s="173" t="s">
        <v>15</v>
      </c>
      <c r="H10" s="155">
        <v>10</v>
      </c>
      <c r="I10" s="156"/>
      <c r="J10" s="157"/>
    </row>
    <row r="11" spans="1:10" ht="17.45" customHeight="1">
      <c r="A11" s="20"/>
      <c r="B11" s="21"/>
      <c r="C11" s="21"/>
      <c r="D11" s="21"/>
      <c r="E11" s="2" t="s">
        <v>16</v>
      </c>
      <c r="F11" s="22" t="s">
        <v>41</v>
      </c>
      <c r="G11" s="174"/>
      <c r="H11" s="158"/>
      <c r="I11" s="159"/>
      <c r="J11" s="160"/>
    </row>
    <row r="12" spans="1:10" ht="13.5" customHeight="1">
      <c r="A12" s="176" t="s">
        <v>88</v>
      </c>
      <c r="B12" s="177"/>
      <c r="C12" s="177"/>
      <c r="D12" s="21"/>
      <c r="F12" s="3"/>
      <c r="G12" s="175" t="s">
        <v>17</v>
      </c>
      <c r="H12" s="168" t="s">
        <v>18</v>
      </c>
      <c r="I12" s="172" t="s">
        <v>19</v>
      </c>
      <c r="J12" s="149"/>
    </row>
    <row r="13" spans="1:10" ht="13.5" customHeight="1">
      <c r="A13" s="177"/>
      <c r="B13" s="177"/>
      <c r="C13" s="177"/>
      <c r="D13" s="21"/>
      <c r="F13" s="3"/>
      <c r="G13" s="169"/>
      <c r="H13" s="169"/>
      <c r="I13" s="159"/>
      <c r="J13" s="160"/>
    </row>
    <row r="14" spans="1:10" ht="13.5" customHeight="1">
      <c r="A14" s="1" t="s">
        <v>20</v>
      </c>
    </row>
    <row r="15" spans="1:10" ht="63" customHeight="1" thickBot="1">
      <c r="A15" s="161"/>
      <c r="B15" s="162"/>
      <c r="C15" s="162"/>
      <c r="D15" s="162"/>
      <c r="E15" s="162"/>
      <c r="F15" s="162"/>
      <c r="G15" s="162"/>
      <c r="H15" s="162"/>
      <c r="I15" s="162"/>
      <c r="J15" s="162"/>
    </row>
    <row r="16" spans="1:10" ht="18.75">
      <c r="A16" s="24" t="s">
        <v>21</v>
      </c>
      <c r="B16" s="17" t="s">
        <v>22</v>
      </c>
      <c r="C16" s="165" t="s">
        <v>23</v>
      </c>
      <c r="D16" s="145"/>
      <c r="E16" s="17" t="s">
        <v>24</v>
      </c>
      <c r="F16" s="165" t="s">
        <v>25</v>
      </c>
      <c r="G16" s="145"/>
      <c r="H16" s="145"/>
      <c r="I16" s="144" t="s">
        <v>26</v>
      </c>
      <c r="J16" s="145"/>
    </row>
    <row r="17" spans="1:10" s="6" customFormat="1" ht="14.25" customHeight="1">
      <c r="A17" s="5"/>
      <c r="B17" s="5"/>
      <c r="C17" s="5"/>
      <c r="D17" s="5"/>
      <c r="E17" s="5"/>
      <c r="F17" s="5"/>
      <c r="G17" s="70"/>
      <c r="H17" s="70"/>
      <c r="I17" s="5"/>
      <c r="J17" s="5"/>
    </row>
    <row r="18" spans="1:10" s="7" customFormat="1" ht="16.5" customHeight="1">
      <c r="A18" s="23">
        <v>1</v>
      </c>
      <c r="B18" s="25" t="s">
        <v>27</v>
      </c>
      <c r="C18" s="146" t="s">
        <v>28</v>
      </c>
      <c r="D18" s="119"/>
      <c r="E18" s="25" t="s">
        <v>29</v>
      </c>
      <c r="F18" s="146" t="s">
        <v>30</v>
      </c>
      <c r="G18" s="119"/>
      <c r="H18" s="119"/>
      <c r="I18" s="143"/>
      <c r="J18" s="119"/>
    </row>
    <row r="19" spans="1:10" s="7" customFormat="1" ht="16.5" customHeight="1">
      <c r="A19" s="23">
        <v>1</v>
      </c>
      <c r="B19" s="26" t="s">
        <v>27</v>
      </c>
      <c r="C19" s="146" t="s">
        <v>28</v>
      </c>
      <c r="D19" s="119"/>
      <c r="E19" s="25" t="s">
        <v>31</v>
      </c>
      <c r="F19" s="146" t="s">
        <v>32</v>
      </c>
      <c r="G19" s="119"/>
      <c r="H19" s="119"/>
      <c r="I19" s="143"/>
      <c r="J19" s="119"/>
    </row>
    <row r="20" spans="1:10" s="7" customFormat="1" ht="16.5" customHeight="1">
      <c r="A20" s="23">
        <v>1</v>
      </c>
      <c r="B20" s="26" t="s">
        <v>27</v>
      </c>
      <c r="C20" s="146" t="s">
        <v>28</v>
      </c>
      <c r="D20" s="119"/>
      <c r="E20" s="25" t="s">
        <v>33</v>
      </c>
      <c r="F20" s="146" t="s">
        <v>34</v>
      </c>
      <c r="G20" s="119"/>
      <c r="H20" s="119"/>
      <c r="I20" s="143"/>
      <c r="J20" s="119"/>
    </row>
    <row r="21" spans="1:10" s="7" customFormat="1" ht="16.5" customHeight="1">
      <c r="A21" s="23"/>
      <c r="B21" s="26"/>
      <c r="C21" s="146"/>
      <c r="D21" s="119"/>
      <c r="E21" s="25"/>
      <c r="F21" s="146"/>
      <c r="G21" s="119"/>
      <c r="H21" s="119"/>
      <c r="I21" s="143"/>
      <c r="J21" s="119"/>
    </row>
    <row r="22" spans="1:10" s="7" customFormat="1" ht="16.5" customHeight="1">
      <c r="A22" s="23"/>
      <c r="B22" s="26"/>
      <c r="C22" s="146"/>
      <c r="D22" s="119"/>
      <c r="E22" s="25"/>
      <c r="F22" s="146"/>
      <c r="G22" s="119"/>
      <c r="H22" s="119"/>
      <c r="I22" s="143"/>
      <c r="J22" s="119"/>
    </row>
    <row r="23" spans="1:10" s="7" customFormat="1" ht="16.5" customHeight="1">
      <c r="A23" s="23"/>
      <c r="B23" s="26"/>
      <c r="C23" s="146"/>
      <c r="D23" s="119"/>
      <c r="E23" s="25"/>
      <c r="F23" s="146"/>
      <c r="G23" s="119"/>
      <c r="H23" s="119"/>
      <c r="I23" s="143"/>
      <c r="J23" s="119"/>
    </row>
    <row r="24" spans="1:10" ht="16.5" customHeight="1" thickBot="1">
      <c r="A24" s="16"/>
      <c r="B24" s="16"/>
      <c r="C24" s="16"/>
      <c r="D24" s="16"/>
      <c r="E24" s="16"/>
      <c r="F24" s="16"/>
      <c r="G24" s="71"/>
      <c r="H24" s="71"/>
      <c r="I24" s="16"/>
      <c r="J24" s="16"/>
    </row>
    <row r="25" spans="1:10" ht="18.75">
      <c r="A25" s="141" t="s">
        <v>35</v>
      </c>
      <c r="B25" s="142"/>
      <c r="C25" s="141" t="s">
        <v>36</v>
      </c>
      <c r="D25" s="142"/>
      <c r="E25" s="142"/>
      <c r="F25" s="18" t="s">
        <v>37</v>
      </c>
      <c r="G25" s="163" t="s">
        <v>38</v>
      </c>
      <c r="H25" s="164"/>
      <c r="I25" s="141" t="s">
        <v>39</v>
      </c>
      <c r="J25" s="142"/>
    </row>
    <row r="26" spans="1:10" ht="14.25" customHeight="1">
      <c r="A26" s="8"/>
      <c r="B26" s="19"/>
      <c r="C26" s="166" t="s">
        <v>40</v>
      </c>
      <c r="D26" s="159"/>
      <c r="E26" s="19"/>
      <c r="F26" s="166" t="s">
        <v>20</v>
      </c>
      <c r="G26" s="159"/>
      <c r="H26" s="159"/>
      <c r="I26" s="159"/>
      <c r="J26" s="159"/>
    </row>
    <row r="27" spans="1:10">
      <c r="A27" s="9"/>
      <c r="C27" s="7"/>
      <c r="D27" s="7"/>
      <c r="E27" s="7"/>
    </row>
    <row r="28" spans="1:10" s="5" customFormat="1" ht="14.25" customHeight="1">
      <c r="A28" s="146"/>
      <c r="B28" s="136"/>
      <c r="C28" s="146"/>
      <c r="D28" s="136"/>
      <c r="E28" s="136"/>
      <c r="F28" s="27"/>
      <c r="G28" s="137"/>
      <c r="H28" s="138"/>
      <c r="I28" s="135"/>
      <c r="J28" s="136"/>
    </row>
    <row r="29" spans="1:10" s="7" customFormat="1" ht="24.95" customHeight="1">
      <c r="A29" s="118"/>
      <c r="B29" s="119"/>
      <c r="C29" s="146"/>
      <c r="D29" s="119"/>
      <c r="E29" s="119"/>
      <c r="F29" s="146"/>
      <c r="G29" s="119"/>
      <c r="H29" s="119"/>
      <c r="I29" s="119"/>
      <c r="J29" s="119"/>
    </row>
    <row r="30" spans="1:10" s="5" customFormat="1" ht="14.25" customHeight="1">
      <c r="A30" s="146"/>
      <c r="B30" s="136"/>
      <c r="C30" s="146"/>
      <c r="D30" s="136"/>
      <c r="E30" s="136"/>
      <c r="F30" s="27"/>
      <c r="G30" s="137"/>
      <c r="H30" s="138"/>
      <c r="I30" s="135"/>
      <c r="J30" s="136"/>
    </row>
    <row r="31" spans="1:10" s="7" customFormat="1" ht="24.95" customHeight="1">
      <c r="A31" s="118"/>
      <c r="B31" s="119"/>
      <c r="C31" s="146"/>
      <c r="D31" s="119"/>
      <c r="E31" s="119"/>
      <c r="F31" s="146"/>
      <c r="G31" s="119"/>
      <c r="H31" s="119"/>
      <c r="I31" s="119"/>
      <c r="J31" s="119"/>
    </row>
    <row r="32" spans="1:10" s="5" customFormat="1" ht="14.25" customHeight="1">
      <c r="A32" s="146"/>
      <c r="B32" s="136"/>
      <c r="C32" s="146"/>
      <c r="D32" s="136"/>
      <c r="E32" s="136"/>
      <c r="F32" s="27"/>
      <c r="G32" s="137"/>
      <c r="H32" s="138"/>
      <c r="I32" s="135"/>
      <c r="J32" s="136"/>
    </row>
    <row r="33" spans="1:16" s="7" customFormat="1" ht="24.95" customHeight="1">
      <c r="A33" s="118"/>
      <c r="B33" s="119"/>
      <c r="C33" s="146"/>
      <c r="D33" s="119"/>
      <c r="E33" s="119"/>
      <c r="F33" s="146"/>
      <c r="G33" s="119"/>
      <c r="H33" s="119"/>
      <c r="I33" s="119"/>
      <c r="J33" s="119"/>
    </row>
    <row r="34" spans="1:16" s="5" customFormat="1" ht="14.25" customHeight="1">
      <c r="A34" s="146"/>
      <c r="B34" s="136"/>
      <c r="C34" s="146"/>
      <c r="D34" s="136"/>
      <c r="E34" s="136"/>
      <c r="F34" s="27"/>
      <c r="G34" s="137"/>
      <c r="H34" s="138"/>
      <c r="I34" s="135"/>
      <c r="J34" s="136"/>
    </row>
    <row r="35" spans="1:16" s="7" customFormat="1" ht="24.95" customHeight="1">
      <c r="A35" s="118"/>
      <c r="B35" s="119"/>
      <c r="C35" s="146"/>
      <c r="D35" s="119"/>
      <c r="E35" s="119"/>
      <c r="F35" s="146"/>
      <c r="G35" s="119"/>
      <c r="H35" s="119"/>
      <c r="I35" s="119"/>
      <c r="J35" s="119"/>
    </row>
    <row r="36" spans="1:16" s="5" customFormat="1" ht="14.25" customHeight="1">
      <c r="A36" s="146"/>
      <c r="B36" s="136"/>
      <c r="C36" s="146"/>
      <c r="D36" s="136"/>
      <c r="E36" s="136"/>
      <c r="F36" s="27"/>
      <c r="G36" s="137"/>
      <c r="H36" s="138"/>
      <c r="I36" s="135"/>
      <c r="J36" s="136"/>
    </row>
    <row r="37" spans="1:16" s="7" customFormat="1" ht="24.95" customHeight="1" thickBot="1">
      <c r="A37" s="118"/>
      <c r="B37" s="119"/>
      <c r="C37" s="146"/>
      <c r="D37" s="119"/>
      <c r="E37" s="119"/>
      <c r="F37" s="146"/>
      <c r="G37" s="119"/>
      <c r="H37" s="119"/>
      <c r="I37" s="119"/>
      <c r="J37" s="119"/>
    </row>
    <row r="38" spans="1:16" s="5" customFormat="1" ht="18" customHeight="1">
      <c r="A38" s="122" t="s">
        <v>53</v>
      </c>
      <c r="B38" s="123"/>
      <c r="C38" s="123"/>
      <c r="D38" s="124"/>
      <c r="E38" s="45" t="s">
        <v>54</v>
      </c>
      <c r="F38" s="46"/>
      <c r="G38" s="170" t="s">
        <v>55</v>
      </c>
      <c r="H38" s="171"/>
      <c r="I38" s="86" t="s">
        <v>56</v>
      </c>
      <c r="J38" s="87"/>
    </row>
    <row r="39" spans="1:16" s="7" customFormat="1" ht="18" customHeight="1">
      <c r="A39" s="125" t="str" cm="1">
        <f t="array" ref="A39">_xlfn.XLOOKUP(A12,[1]!テーブル5[品目コード],[1]VFDB2!B2:B178,,2)</f>
        <v>灯具カバーPC L=503</v>
      </c>
      <c r="B39" s="126"/>
      <c r="C39" s="126"/>
      <c r="D39" s="127"/>
      <c r="E39" s="131" t="str">
        <f>IFERROR(IF(OR(#REF!="", F9="", F9=0,#REF!/ F9=0), C30&amp;" 　 "&amp;""&amp;"      枚", C30&amp;" 　 "&amp;#REF!/F9&amp;"      枚"), C30&amp;" 　 "&amp;""&amp;"      枚")</f>
        <v xml:space="preserve"> 　       枚</v>
      </c>
      <c r="F39" s="132"/>
      <c r="G39" s="72" t="s">
        <v>57</v>
      </c>
      <c r="H39" s="73" cm="1">
        <f t="array" ref="H39:H46">_xlfn._xlws.FILTER([1]加工記録２!Q:Q,B5=[1]加工記録２!$T:$T)</f>
        <v>0</v>
      </c>
      <c r="I39" s="48" t="s">
        <v>47</v>
      </c>
      <c r="J39" s="49" cm="1">
        <f t="array" ref="J39:J46">_xlfn._xlws.FILTER([1]加工記録２!O:O,B5=[1]加工記録２!$T:$T)</f>
        <v>45806</v>
      </c>
    </row>
    <row r="40" spans="1:16" s="5" customFormat="1" ht="18" customHeight="1">
      <c r="A40" s="128"/>
      <c r="B40" s="129"/>
      <c r="C40" s="129"/>
      <c r="D40" s="130"/>
      <c r="E40" s="133" t="s">
        <v>58</v>
      </c>
      <c r="F40" s="134"/>
      <c r="G40" s="72" t="s">
        <v>59</v>
      </c>
      <c r="H40" s="73">
        <v>0</v>
      </c>
      <c r="I40" s="48" t="s">
        <v>60</v>
      </c>
      <c r="J40" s="49">
        <v>10</v>
      </c>
      <c r="K40" s="28"/>
    </row>
    <row r="41" spans="1:16" s="7" customFormat="1" ht="18" customHeight="1">
      <c r="A41" s="88" t="s">
        <v>61</v>
      </c>
      <c r="B41" s="100" t="str">
        <f>_xlfn.XLOOKUP(A12,[1]!テーブル5[品目コード],[1]!テーブル5[温度換算],,2)</f>
        <v>〇</v>
      </c>
      <c r="C41" s="102" t="s">
        <v>62</v>
      </c>
      <c r="D41" s="104">
        <f>_xlfn.XLOOKUP(A12,[1]!テーブル5[品目コード],[1]!テーブル5[取数],,2)</f>
        <v>1</v>
      </c>
      <c r="E41" s="106" t="s">
        <v>63</v>
      </c>
      <c r="F41" s="107"/>
      <c r="G41" s="74" t="s">
        <v>64</v>
      </c>
      <c r="H41" s="73">
        <v>0</v>
      </c>
      <c r="I41" s="48" t="s">
        <v>65</v>
      </c>
      <c r="J41" s="49">
        <v>10</v>
      </c>
      <c r="K41" s="29"/>
    </row>
    <row r="42" spans="1:16" s="5" customFormat="1" ht="18" customHeight="1">
      <c r="A42" s="88"/>
      <c r="B42" s="101"/>
      <c r="C42" s="103"/>
      <c r="D42" s="105"/>
      <c r="E42" s="108" t="str">
        <f>_xlfn.XLOOKUP(A12,[1]!テーブル5[品目コード],[1]!テーブル5[備考１],,2)</f>
        <v>梱包箱:薄型1334　1/2</v>
      </c>
      <c r="F42" s="109"/>
      <c r="G42" s="74" t="s">
        <v>66</v>
      </c>
      <c r="H42" s="73">
        <v>0</v>
      </c>
      <c r="I42" s="48" t="s">
        <v>67</v>
      </c>
      <c r="J42" s="49">
        <v>0</v>
      </c>
      <c r="K42" s="28"/>
    </row>
    <row r="43" spans="1:16" s="7" customFormat="1" ht="18" customHeight="1">
      <c r="A43" s="110" t="s">
        <v>68</v>
      </c>
      <c r="B43" s="111">
        <f>D3</f>
        <v>503</v>
      </c>
      <c r="C43" s="113" t="s">
        <v>48</v>
      </c>
      <c r="D43" s="94" t="str">
        <f>_xlfn.XLOOKUP(A12,[1]!テーブル5[品目コード],[1]!テーブル5[上限公差],,2)</f>
        <v>+2</v>
      </c>
      <c r="E43" s="108" t="str">
        <f>_xlfn.XLOOKUP(A12,[1]!テーブル5[品目コード],[1]!テーブル5[備考２],,2)</f>
        <v>クラフト紙：1370型　1/2</v>
      </c>
      <c r="F43" s="109"/>
      <c r="G43" s="74" t="s">
        <v>69</v>
      </c>
      <c r="H43" s="73">
        <v>0</v>
      </c>
      <c r="I43" s="48" t="s">
        <v>49</v>
      </c>
      <c r="J43" s="49">
        <v>0</v>
      </c>
      <c r="K43" s="29"/>
    </row>
    <row r="44" spans="1:16" s="5" customFormat="1" ht="18" customHeight="1">
      <c r="A44" s="110"/>
      <c r="B44" s="112"/>
      <c r="C44" s="114"/>
      <c r="D44" s="115"/>
      <c r="E44" s="116" t="s">
        <v>70</v>
      </c>
      <c r="F44" s="117"/>
      <c r="G44" s="74" t="s">
        <v>71</v>
      </c>
      <c r="H44" s="73">
        <v>0</v>
      </c>
      <c r="I44" s="48" t="s">
        <v>50</v>
      </c>
      <c r="J44" s="49">
        <v>0</v>
      </c>
      <c r="K44" s="28"/>
    </row>
    <row r="45" spans="1:16" s="7" customFormat="1" ht="18" customHeight="1">
      <c r="A45" s="88" t="s">
        <v>72</v>
      </c>
      <c r="B45" s="90" t="str">
        <f>_xlfn.XLOOKUP(A12,[1]!テーブル5[品目コード],[1]!テーブル5[切断寸法],,2)</f>
        <v>換算表確認</v>
      </c>
      <c r="C45" s="92" t="s">
        <v>73</v>
      </c>
      <c r="D45" s="94">
        <f>_xlfn.XLOOKUP(A12,[1]!テーブル5[品目コード],[1]!テーブル5[下限公差],,2)</f>
        <v>-2</v>
      </c>
      <c r="E45" s="96" t="str">
        <f>_xlfn.XLOOKUP(A12,[1]!テーブル5[品目コード],[1]!テーブル5[梱包方法],,2)</f>
        <v>ラベル２枚　長手有　鉢巻無</v>
      </c>
      <c r="F45" s="97"/>
      <c r="G45" s="72" t="s">
        <v>74</v>
      </c>
      <c r="H45" s="73">
        <v>0</v>
      </c>
      <c r="I45" s="48" t="s">
        <v>75</v>
      </c>
      <c r="J45" s="49" t="str">
        <v>水野</v>
      </c>
      <c r="K45" s="29"/>
    </row>
    <row r="46" spans="1:16" s="5" customFormat="1" ht="18" customHeight="1" thickBot="1">
      <c r="A46" s="89"/>
      <c r="B46" s="91"/>
      <c r="C46" s="93"/>
      <c r="D46" s="95"/>
      <c r="E46" s="98"/>
      <c r="F46" s="99"/>
      <c r="G46" s="75" t="s">
        <v>76</v>
      </c>
      <c r="H46" s="47">
        <v>0</v>
      </c>
      <c r="I46" s="51" t="s">
        <v>77</v>
      </c>
      <c r="J46" s="50" t="str">
        <v>-</v>
      </c>
    </row>
    <row r="47" spans="1:16" s="31" customFormat="1" ht="18.95" customHeight="1">
      <c r="A47" s="52" t="s">
        <v>78</v>
      </c>
      <c r="B47" s="53" t="s">
        <v>79</v>
      </c>
      <c r="C47" s="54" t="s">
        <v>80</v>
      </c>
      <c r="D47" s="54" t="s">
        <v>81</v>
      </c>
      <c r="E47" s="55" t="s">
        <v>82</v>
      </c>
      <c r="F47" s="56" t="s">
        <v>83</v>
      </c>
      <c r="G47" s="76" t="s">
        <v>84</v>
      </c>
      <c r="H47" s="77" t="s">
        <v>85</v>
      </c>
      <c r="I47" s="57" t="s">
        <v>86</v>
      </c>
      <c r="J47" s="58" t="s">
        <v>87</v>
      </c>
      <c r="K47" s="30"/>
      <c r="L47" s="30"/>
      <c r="M47" s="30"/>
      <c r="N47" s="30"/>
    </row>
    <row r="48" spans="1:16" s="36" customFormat="1" ht="18.95" customHeight="1">
      <c r="A48" s="32" t="str" cm="1">
        <f t="array" ref="A48:J55">_xlfn._xlws.FILTER(IF([1]加工記録２!D:M="","",[1]加工記録２!D:M),B5=[1]加工記録２!$T:$T)</f>
        <v/>
      </c>
      <c r="B48" s="33" t="str">
        <v/>
      </c>
      <c r="C48" s="34" t="str">
        <v/>
      </c>
      <c r="D48" s="34" t="str">
        <v/>
      </c>
      <c r="E48" s="59" t="str">
        <v/>
      </c>
      <c r="F48" s="60" t="str">
        <v>25D11-01</v>
      </c>
      <c r="G48" s="78" t="str">
        <v/>
      </c>
      <c r="H48" s="79" t="str">
        <v/>
      </c>
      <c r="I48" s="39">
        <v>45806</v>
      </c>
      <c r="J48" s="40">
        <v>5</v>
      </c>
      <c r="K48" s="35"/>
      <c r="L48" s="35"/>
      <c r="M48" s="35"/>
      <c r="N48" s="35"/>
      <c r="P48" s="65" t="s">
        <v>51</v>
      </c>
    </row>
    <row r="49" spans="1:14" s="36" customFormat="1" ht="18.95" customHeight="1">
      <c r="A49" s="37">
        <v>45806</v>
      </c>
      <c r="B49" s="38" t="str">
        <v>25D11-01</v>
      </c>
      <c r="C49" s="38">
        <v>22</v>
      </c>
      <c r="D49" s="38" t="str">
        <v/>
      </c>
      <c r="E49" s="61">
        <v>503.7</v>
      </c>
      <c r="F49" s="62" t="str">
        <v/>
      </c>
      <c r="G49" s="80" t="str">
        <v/>
      </c>
      <c r="H49" s="81">
        <v>0</v>
      </c>
      <c r="I49" s="39" t="str">
        <v/>
      </c>
      <c r="J49" s="40" t="str">
        <v/>
      </c>
      <c r="K49" s="35"/>
      <c r="L49" s="35"/>
      <c r="M49" s="35"/>
      <c r="N49" s="35"/>
    </row>
    <row r="50" spans="1:14" s="36" customFormat="1" ht="18.95" customHeight="1">
      <c r="A50" s="37">
        <v>45806</v>
      </c>
      <c r="B50" s="38" t="str">
        <v>25D11-01</v>
      </c>
      <c r="C50" s="38">
        <v>22</v>
      </c>
      <c r="D50" s="38" t="str">
        <v/>
      </c>
      <c r="E50" s="61">
        <v>503.7</v>
      </c>
      <c r="F50" s="62" t="str">
        <v/>
      </c>
      <c r="G50" s="80" t="str">
        <v/>
      </c>
      <c r="H50" s="81" t="str">
        <v/>
      </c>
      <c r="I50" s="39" t="str">
        <v/>
      </c>
      <c r="J50" s="40" t="str">
        <v/>
      </c>
      <c r="K50" s="35"/>
      <c r="L50" s="35"/>
      <c r="M50" s="35"/>
      <c r="N50" s="35"/>
    </row>
    <row r="51" spans="1:14" s="36" customFormat="1" ht="18.95" customHeight="1">
      <c r="A51" s="37" t="str">
        <v/>
      </c>
      <c r="B51" s="38" t="str">
        <v/>
      </c>
      <c r="C51" s="38" t="str">
        <v/>
      </c>
      <c r="D51" s="38" t="str">
        <v/>
      </c>
      <c r="E51" s="61" t="str">
        <v/>
      </c>
      <c r="F51" s="62" t="str">
        <v/>
      </c>
      <c r="G51" s="80" t="str">
        <v/>
      </c>
      <c r="H51" s="81" t="str">
        <v/>
      </c>
      <c r="I51" s="39" t="str">
        <v/>
      </c>
      <c r="J51" s="40" t="str">
        <v/>
      </c>
      <c r="K51" s="35"/>
      <c r="L51" s="35"/>
      <c r="M51" s="35"/>
      <c r="N51" s="35"/>
    </row>
    <row r="52" spans="1:14" s="36" customFormat="1" ht="18.95" customHeight="1">
      <c r="A52" s="37" t="str">
        <v/>
      </c>
      <c r="B52" s="38" t="str">
        <v/>
      </c>
      <c r="C52" s="38" t="str">
        <v/>
      </c>
      <c r="D52" s="38" t="str">
        <v/>
      </c>
      <c r="E52" s="61" t="str">
        <v/>
      </c>
      <c r="F52" s="62" t="str">
        <v/>
      </c>
      <c r="G52" s="80" t="str">
        <v/>
      </c>
      <c r="H52" s="81" t="str">
        <v/>
      </c>
      <c r="I52" s="39" t="str">
        <v/>
      </c>
      <c r="J52" s="40" t="str">
        <v/>
      </c>
      <c r="K52" s="35"/>
      <c r="L52" s="35"/>
      <c r="M52" s="35"/>
      <c r="N52" s="35"/>
    </row>
    <row r="53" spans="1:14" s="36" customFormat="1" ht="18.95" customHeight="1">
      <c r="A53" s="37" t="str">
        <v/>
      </c>
      <c r="B53" s="38" t="str">
        <v/>
      </c>
      <c r="C53" s="38" t="str">
        <v/>
      </c>
      <c r="D53" s="38" t="str">
        <v/>
      </c>
      <c r="E53" s="61" t="str">
        <v/>
      </c>
      <c r="F53" s="62" t="str">
        <v/>
      </c>
      <c r="G53" s="80" t="str">
        <v/>
      </c>
      <c r="H53" s="81" t="str">
        <v/>
      </c>
      <c r="I53" s="39" t="str">
        <v/>
      </c>
      <c r="J53" s="40" t="str">
        <v/>
      </c>
      <c r="K53" s="35"/>
      <c r="L53" s="35"/>
      <c r="M53" s="35"/>
      <c r="N53" s="35"/>
    </row>
    <row r="54" spans="1:14" s="36" customFormat="1" ht="18.95" customHeight="1">
      <c r="A54" s="37" t="str">
        <v/>
      </c>
      <c r="B54" s="38" t="str">
        <v/>
      </c>
      <c r="C54" s="38" t="str">
        <v/>
      </c>
      <c r="D54" s="38" t="str">
        <v/>
      </c>
      <c r="E54" s="61" t="str">
        <v/>
      </c>
      <c r="F54" s="62" t="str">
        <v/>
      </c>
      <c r="G54" s="80" t="str">
        <v/>
      </c>
      <c r="H54" s="81" t="str">
        <v/>
      </c>
      <c r="I54" s="39" t="str">
        <v/>
      </c>
      <c r="J54" s="40" t="str">
        <v/>
      </c>
      <c r="K54" s="35"/>
      <c r="L54" s="35"/>
      <c r="M54" s="35"/>
      <c r="N54" s="35"/>
    </row>
    <row r="55" spans="1:14" s="36" customFormat="1" ht="18.95" customHeight="1" thickBot="1">
      <c r="A55" s="41" t="str">
        <v/>
      </c>
      <c r="B55" s="42" t="str">
        <v/>
      </c>
      <c r="C55" s="42" t="str">
        <v/>
      </c>
      <c r="D55" s="42" t="str">
        <v/>
      </c>
      <c r="E55" s="63" t="str">
        <v/>
      </c>
      <c r="F55" s="64" t="str">
        <v/>
      </c>
      <c r="G55" s="82" t="str">
        <v/>
      </c>
      <c r="H55" s="83" t="str">
        <v/>
      </c>
      <c r="I55" s="43" t="str">
        <v/>
      </c>
      <c r="J55" s="44" t="str">
        <v/>
      </c>
      <c r="K55" s="35"/>
      <c r="L55" s="35"/>
      <c r="M55" s="35"/>
      <c r="N55" s="35"/>
    </row>
    <row r="56" spans="1:14" ht="13.5" customHeight="1" thickBot="1">
      <c r="A56" s="11"/>
      <c r="B56" s="11"/>
      <c r="C56" s="11"/>
      <c r="D56" s="11"/>
      <c r="E56" s="11"/>
      <c r="F56" s="11"/>
      <c r="G56" s="84"/>
      <c r="H56" s="84"/>
      <c r="I56" s="11"/>
      <c r="J56" s="11"/>
    </row>
    <row r="57" spans="1:14" ht="6" customHeight="1" thickTop="1">
      <c r="A57" s="10"/>
      <c r="B57" s="10"/>
      <c r="C57" s="10"/>
      <c r="D57" s="10"/>
      <c r="E57" s="10"/>
      <c r="F57" s="10"/>
      <c r="G57" s="85"/>
      <c r="H57" s="85"/>
      <c r="I57" s="10"/>
      <c r="J57" s="10"/>
    </row>
    <row r="58" spans="1:14" ht="14.25" customHeight="1" thickBot="1">
      <c r="A58" s="12"/>
      <c r="B58" s="167" t="s">
        <v>0</v>
      </c>
      <c r="C58" s="140"/>
      <c r="D58" s="140"/>
      <c r="E58" s="12"/>
      <c r="F58" s="12"/>
      <c r="G58" s="66"/>
      <c r="H58" s="66"/>
      <c r="I58" s="12"/>
      <c r="J58" s="12"/>
    </row>
    <row r="59" spans="1:14" ht="14.25" customHeight="1" thickTop="1">
      <c r="A59" s="13"/>
      <c r="B59" s="140"/>
      <c r="C59" s="140"/>
      <c r="D59" s="140"/>
      <c r="E59" s="13"/>
      <c r="F59" s="13"/>
      <c r="G59" s="67"/>
      <c r="H59" s="67"/>
      <c r="I59" s="13"/>
      <c r="J59" s="13"/>
    </row>
    <row r="60" spans="1:14" ht="14.25" customHeight="1">
      <c r="A60" s="147" t="s">
        <v>1</v>
      </c>
      <c r="B60" s="147" t="s">
        <v>89</v>
      </c>
      <c r="C60" s="147" t="s">
        <v>2</v>
      </c>
      <c r="D60" s="151">
        <v>669</v>
      </c>
      <c r="E60" s="147" t="s">
        <v>3</v>
      </c>
      <c r="F60" s="148" t="s">
        <v>52</v>
      </c>
      <c r="G60" s="140"/>
      <c r="H60" s="149"/>
      <c r="I60" s="14" t="s">
        <v>4</v>
      </c>
      <c r="J60" s="14" t="s">
        <v>5</v>
      </c>
    </row>
    <row r="61" spans="1:14" ht="14.25" customHeight="1">
      <c r="A61" s="140"/>
      <c r="B61" s="140"/>
      <c r="C61" s="140"/>
      <c r="D61" s="140"/>
      <c r="E61" s="140"/>
      <c r="F61" s="140"/>
      <c r="G61" s="140"/>
      <c r="H61" s="149"/>
      <c r="I61" s="120"/>
      <c r="J61" s="120"/>
    </row>
    <row r="62" spans="1:14" ht="17.45" customHeight="1">
      <c r="A62" s="139" t="s">
        <v>6</v>
      </c>
      <c r="B62" s="150" t="s">
        <v>46</v>
      </c>
      <c r="E62" s="139" t="s">
        <v>7</v>
      </c>
      <c r="F62" s="153" t="s">
        <v>41</v>
      </c>
      <c r="G62" s="140"/>
      <c r="H62" s="149"/>
      <c r="I62" s="121"/>
      <c r="J62" s="121"/>
    </row>
    <row r="63" spans="1:14" ht="17.45" customHeight="1">
      <c r="A63" s="140"/>
      <c r="B63" s="140"/>
      <c r="E63" s="140"/>
      <c r="F63" s="140"/>
      <c r="G63" s="140"/>
      <c r="H63" s="149"/>
      <c r="I63" s="15"/>
      <c r="J63" s="15"/>
    </row>
    <row r="64" spans="1:14" ht="17.45" customHeight="1">
      <c r="A64" s="139" t="s">
        <v>8</v>
      </c>
      <c r="B64" s="150" t="s">
        <v>44</v>
      </c>
      <c r="E64" s="2" t="s">
        <v>9</v>
      </c>
      <c r="F64" s="154" t="s">
        <v>41</v>
      </c>
      <c r="G64" s="140"/>
      <c r="H64" s="68"/>
    </row>
    <row r="65" spans="1:10" ht="17.45" customHeight="1">
      <c r="A65" s="140"/>
      <c r="B65" s="140"/>
      <c r="E65" s="2" t="s">
        <v>10</v>
      </c>
      <c r="F65" s="22" t="s">
        <v>41</v>
      </c>
      <c r="G65" s="68"/>
      <c r="H65" s="68"/>
    </row>
    <row r="66" spans="1:10" ht="17.45" customHeight="1">
      <c r="A66" s="2" t="s">
        <v>11</v>
      </c>
      <c r="B66" s="4" t="s">
        <v>41</v>
      </c>
      <c r="E66" s="2" t="s">
        <v>12</v>
      </c>
      <c r="F66" s="152">
        <v>2</v>
      </c>
      <c r="G66" s="140"/>
      <c r="H66" s="68"/>
    </row>
    <row r="67" spans="1:10" ht="17.45" customHeight="1">
      <c r="A67" s="2" t="s">
        <v>13</v>
      </c>
      <c r="B67" s="4" t="s">
        <v>41</v>
      </c>
      <c r="E67" s="2" t="s">
        <v>14</v>
      </c>
      <c r="F67" s="22">
        <v>10</v>
      </c>
      <c r="G67" s="173" t="s">
        <v>15</v>
      </c>
      <c r="H67" s="155">
        <v>10</v>
      </c>
      <c r="I67" s="156"/>
      <c r="J67" s="157"/>
    </row>
    <row r="68" spans="1:10" ht="17.45" customHeight="1">
      <c r="A68" s="20"/>
      <c r="B68" s="21"/>
      <c r="C68" s="21"/>
      <c r="D68" s="21"/>
      <c r="E68" s="2" t="s">
        <v>16</v>
      </c>
      <c r="F68" s="22" t="s">
        <v>41</v>
      </c>
      <c r="G68" s="174"/>
      <c r="H68" s="158"/>
      <c r="I68" s="159"/>
      <c r="J68" s="160"/>
    </row>
    <row r="69" spans="1:10" ht="13.5" customHeight="1">
      <c r="A69" s="178" t="s">
        <v>89</v>
      </c>
      <c r="B69" s="179"/>
      <c r="C69" s="179"/>
      <c r="D69" s="21"/>
      <c r="F69" s="3"/>
      <c r="G69" s="175" t="s">
        <v>17</v>
      </c>
      <c r="H69" s="168" t="s">
        <v>18</v>
      </c>
      <c r="I69" s="172" t="s">
        <v>19</v>
      </c>
      <c r="J69" s="149"/>
    </row>
    <row r="70" spans="1:10" ht="13.5" customHeight="1">
      <c r="A70" s="179"/>
      <c r="B70" s="179"/>
      <c r="C70" s="179"/>
      <c r="D70" s="21"/>
      <c r="F70" s="3"/>
      <c r="G70" s="169"/>
      <c r="H70" s="169"/>
      <c r="I70" s="159"/>
      <c r="J70" s="160"/>
    </row>
    <row r="71" spans="1:10" ht="13.5" customHeight="1">
      <c r="A71" s="1" t="s">
        <v>20</v>
      </c>
    </row>
    <row r="72" spans="1:10" ht="63" customHeight="1" thickBot="1">
      <c r="A72" s="161"/>
      <c r="B72" s="162"/>
      <c r="C72" s="162"/>
      <c r="D72" s="162"/>
      <c r="E72" s="162"/>
      <c r="F72" s="162"/>
      <c r="G72" s="162"/>
      <c r="H72" s="162"/>
      <c r="I72" s="162"/>
      <c r="J72" s="162"/>
    </row>
    <row r="73" spans="1:10" ht="18.75">
      <c r="A73" s="24" t="s">
        <v>21</v>
      </c>
      <c r="B73" s="17" t="s">
        <v>22</v>
      </c>
      <c r="C73" s="165" t="s">
        <v>23</v>
      </c>
      <c r="D73" s="145"/>
      <c r="E73" s="17" t="s">
        <v>24</v>
      </c>
      <c r="F73" s="165" t="s">
        <v>25</v>
      </c>
      <c r="G73" s="145"/>
      <c r="H73" s="145"/>
      <c r="I73" s="144" t="s">
        <v>26</v>
      </c>
      <c r="J73" s="145"/>
    </row>
    <row r="74" spans="1:10" s="6" customFormat="1" ht="14.25" customHeight="1">
      <c r="A74" s="5"/>
      <c r="B74" s="5"/>
      <c r="C74" s="5"/>
      <c r="D74" s="5"/>
      <c r="E74" s="5"/>
      <c r="F74" s="5"/>
      <c r="G74" s="70"/>
      <c r="H74" s="70"/>
      <c r="I74" s="5"/>
      <c r="J74" s="5"/>
    </row>
    <row r="75" spans="1:10" s="7" customFormat="1" ht="16.5" customHeight="1">
      <c r="A75" s="23">
        <v>1</v>
      </c>
      <c r="B75" s="25" t="s">
        <v>27</v>
      </c>
      <c r="C75" s="146" t="s">
        <v>28</v>
      </c>
      <c r="D75" s="119"/>
      <c r="E75" s="25" t="s">
        <v>29</v>
      </c>
      <c r="F75" s="146" t="s">
        <v>30</v>
      </c>
      <c r="G75" s="119"/>
      <c r="H75" s="119"/>
      <c r="I75" s="143"/>
      <c r="J75" s="119"/>
    </row>
    <row r="76" spans="1:10" s="7" customFormat="1" ht="16.5" customHeight="1">
      <c r="A76" s="23">
        <v>1</v>
      </c>
      <c r="B76" s="26" t="s">
        <v>27</v>
      </c>
      <c r="C76" s="146" t="s">
        <v>28</v>
      </c>
      <c r="D76" s="119"/>
      <c r="E76" s="25" t="s">
        <v>31</v>
      </c>
      <c r="F76" s="146" t="s">
        <v>32</v>
      </c>
      <c r="G76" s="119"/>
      <c r="H76" s="119"/>
      <c r="I76" s="143"/>
      <c r="J76" s="119"/>
    </row>
    <row r="77" spans="1:10" s="7" customFormat="1" ht="16.5" customHeight="1">
      <c r="A77" s="23">
        <v>1</v>
      </c>
      <c r="B77" s="26" t="s">
        <v>27</v>
      </c>
      <c r="C77" s="146" t="s">
        <v>28</v>
      </c>
      <c r="D77" s="119"/>
      <c r="E77" s="25" t="s">
        <v>33</v>
      </c>
      <c r="F77" s="146" t="s">
        <v>34</v>
      </c>
      <c r="G77" s="119"/>
      <c r="H77" s="119"/>
      <c r="I77" s="143"/>
      <c r="J77" s="119"/>
    </row>
    <row r="78" spans="1:10" s="7" customFormat="1" ht="16.5" customHeight="1">
      <c r="A78" s="23"/>
      <c r="B78" s="26"/>
      <c r="C78" s="146"/>
      <c r="D78" s="119"/>
      <c r="E78" s="25"/>
      <c r="F78" s="146"/>
      <c r="G78" s="119"/>
      <c r="H78" s="119"/>
      <c r="I78" s="143"/>
      <c r="J78" s="119"/>
    </row>
    <row r="79" spans="1:10" s="7" customFormat="1" ht="16.5" customHeight="1">
      <c r="A79" s="23"/>
      <c r="B79" s="26"/>
      <c r="C79" s="146"/>
      <c r="D79" s="119"/>
      <c r="E79" s="25"/>
      <c r="F79" s="146"/>
      <c r="G79" s="119"/>
      <c r="H79" s="119"/>
      <c r="I79" s="143"/>
      <c r="J79" s="119"/>
    </row>
    <row r="80" spans="1:10" s="7" customFormat="1" ht="16.5" customHeight="1">
      <c r="A80" s="23"/>
      <c r="B80" s="26"/>
      <c r="C80" s="146"/>
      <c r="D80" s="119"/>
      <c r="E80" s="25"/>
      <c r="F80" s="146"/>
      <c r="G80" s="119"/>
      <c r="H80" s="119"/>
      <c r="I80" s="143"/>
      <c r="J80" s="119"/>
    </row>
    <row r="81" spans="1:10" ht="16.5" customHeight="1" thickBot="1">
      <c r="A81" s="16"/>
      <c r="B81" s="16"/>
      <c r="C81" s="16"/>
      <c r="D81" s="16"/>
      <c r="E81" s="16"/>
      <c r="F81" s="16"/>
      <c r="G81" s="71"/>
      <c r="H81" s="71"/>
      <c r="I81" s="16"/>
      <c r="J81" s="16"/>
    </row>
    <row r="82" spans="1:10" ht="18.75">
      <c r="A82" s="141" t="s">
        <v>35</v>
      </c>
      <c r="B82" s="142"/>
      <c r="C82" s="141" t="s">
        <v>36</v>
      </c>
      <c r="D82" s="142"/>
      <c r="E82" s="142"/>
      <c r="F82" s="18" t="s">
        <v>37</v>
      </c>
      <c r="G82" s="163" t="s">
        <v>38</v>
      </c>
      <c r="H82" s="164"/>
      <c r="I82" s="141" t="s">
        <v>39</v>
      </c>
      <c r="J82" s="142"/>
    </row>
    <row r="83" spans="1:10" ht="14.25" customHeight="1">
      <c r="A83" s="8"/>
      <c r="B83" s="19"/>
      <c r="C83" s="166" t="s">
        <v>40</v>
      </c>
      <c r="D83" s="159"/>
      <c r="E83" s="19"/>
      <c r="F83" s="166" t="s">
        <v>20</v>
      </c>
      <c r="G83" s="159"/>
      <c r="H83" s="159"/>
      <c r="I83" s="159"/>
      <c r="J83" s="159"/>
    </row>
    <row r="84" spans="1:10">
      <c r="A84" s="9"/>
      <c r="C84" s="7"/>
      <c r="D84" s="7"/>
      <c r="E84" s="7"/>
    </row>
    <row r="85" spans="1:10" s="5" customFormat="1" ht="14.25" customHeight="1">
      <c r="A85" s="146"/>
      <c r="B85" s="136"/>
      <c r="C85" s="146"/>
      <c r="D85" s="136"/>
      <c r="E85" s="136"/>
      <c r="F85" s="27"/>
      <c r="G85" s="137"/>
      <c r="H85" s="138"/>
      <c r="I85" s="135"/>
      <c r="J85" s="136"/>
    </row>
    <row r="86" spans="1:10" s="7" customFormat="1" ht="24.95" customHeight="1">
      <c r="A86" s="118"/>
      <c r="B86" s="119"/>
      <c r="C86" s="146"/>
      <c r="D86" s="119"/>
      <c r="E86" s="119"/>
      <c r="F86" s="146"/>
      <c r="G86" s="119"/>
      <c r="H86" s="119"/>
      <c r="I86" s="119"/>
      <c r="J86" s="119"/>
    </row>
    <row r="87" spans="1:10" s="5" customFormat="1" ht="14.25" customHeight="1">
      <c r="A87" s="146"/>
      <c r="B87" s="136"/>
      <c r="C87" s="146"/>
      <c r="D87" s="136"/>
      <c r="E87" s="136"/>
      <c r="F87" s="27"/>
      <c r="G87" s="137"/>
      <c r="H87" s="138"/>
      <c r="I87" s="135"/>
      <c r="J87" s="136"/>
    </row>
    <row r="88" spans="1:10" s="7" customFormat="1" ht="24.95" customHeight="1">
      <c r="A88" s="118"/>
      <c r="B88" s="119"/>
      <c r="C88" s="146"/>
      <c r="D88" s="119"/>
      <c r="E88" s="119"/>
      <c r="F88" s="146"/>
      <c r="G88" s="119"/>
      <c r="H88" s="119"/>
      <c r="I88" s="119"/>
      <c r="J88" s="119"/>
    </row>
    <row r="89" spans="1:10" s="5" customFormat="1" ht="14.25" customHeight="1">
      <c r="A89" s="146"/>
      <c r="B89" s="136"/>
      <c r="C89" s="146"/>
      <c r="D89" s="136"/>
      <c r="E89" s="136"/>
      <c r="F89" s="27"/>
      <c r="G89" s="137"/>
      <c r="H89" s="138"/>
      <c r="I89" s="135"/>
      <c r="J89" s="136"/>
    </row>
    <row r="90" spans="1:10" s="7" customFormat="1" ht="24.95" customHeight="1">
      <c r="A90" s="118"/>
      <c r="B90" s="119"/>
      <c r="C90" s="146"/>
      <c r="D90" s="119"/>
      <c r="E90" s="119"/>
      <c r="F90" s="146"/>
      <c r="G90" s="119"/>
      <c r="H90" s="119"/>
      <c r="I90" s="119"/>
      <c r="J90" s="119"/>
    </row>
    <row r="91" spans="1:10" s="5" customFormat="1" ht="14.25" customHeight="1">
      <c r="A91" s="146"/>
      <c r="B91" s="136"/>
      <c r="C91" s="146"/>
      <c r="D91" s="136"/>
      <c r="E91" s="136"/>
      <c r="F91" s="27"/>
      <c r="G91" s="137"/>
      <c r="H91" s="138"/>
      <c r="I91" s="135"/>
      <c r="J91" s="136"/>
    </row>
    <row r="92" spans="1:10" s="7" customFormat="1" ht="24.95" customHeight="1">
      <c r="A92" s="118"/>
      <c r="B92" s="119"/>
      <c r="C92" s="146"/>
      <c r="D92" s="119"/>
      <c r="E92" s="119"/>
      <c r="F92" s="146"/>
      <c r="G92" s="119"/>
      <c r="H92" s="119"/>
      <c r="I92" s="119"/>
      <c r="J92" s="119"/>
    </row>
    <row r="93" spans="1:10" s="5" customFormat="1" ht="14.25" customHeight="1">
      <c r="A93" s="146"/>
      <c r="B93" s="136"/>
      <c r="C93" s="146"/>
      <c r="D93" s="136"/>
      <c r="E93" s="136"/>
      <c r="F93" s="27"/>
      <c r="G93" s="137"/>
      <c r="H93" s="138"/>
      <c r="I93" s="135"/>
      <c r="J93" s="136"/>
    </row>
    <row r="94" spans="1:10" s="7" customFormat="1" ht="24.95" customHeight="1" thickBot="1">
      <c r="A94" s="118"/>
      <c r="B94" s="119"/>
      <c r="C94" s="146"/>
      <c r="D94" s="119"/>
      <c r="E94" s="119"/>
      <c r="F94" s="146"/>
      <c r="G94" s="119"/>
      <c r="H94" s="119"/>
      <c r="I94" s="119"/>
      <c r="J94" s="119"/>
    </row>
    <row r="95" spans="1:10" s="5" customFormat="1" ht="18" customHeight="1">
      <c r="A95" s="122" t="s">
        <v>53</v>
      </c>
      <c r="B95" s="123"/>
      <c r="C95" s="123"/>
      <c r="D95" s="124"/>
      <c r="E95" s="45" t="s">
        <v>54</v>
      </c>
      <c r="F95" s="46"/>
      <c r="G95" s="170" t="s">
        <v>55</v>
      </c>
      <c r="H95" s="171"/>
      <c r="I95" s="86" t="s">
        <v>56</v>
      </c>
      <c r="J95" s="87"/>
    </row>
    <row r="96" spans="1:10" s="7" customFormat="1" ht="18" customHeight="1">
      <c r="A96" s="125" cm="1">
        <f t="array" ref="A96">_xlfn.XLOOKUP(A69,[1]!テーブル5[品目コード],[1]VFDB2!B59:B235,,2)</f>
        <v>0</v>
      </c>
      <c r="B96" s="126"/>
      <c r="C96" s="126"/>
      <c r="D96" s="127"/>
      <c r="E96" s="131" t="str">
        <f>IFERROR(IF(OR(#REF!="", F66="", F66=0,#REF!/ F66=0), C87&amp;" 　 "&amp;""&amp;"      枚", C87&amp;" 　 "&amp;#REF!/F66&amp;"      枚"), C87&amp;" 　 "&amp;""&amp;"      枚")</f>
        <v xml:space="preserve"> 　       枚</v>
      </c>
      <c r="F96" s="132"/>
      <c r="G96" s="72" t="s">
        <v>57</v>
      </c>
      <c r="H96" s="73" cm="1">
        <f t="array" ref="H96:H103">_xlfn._xlws.FILTER([1]加工記録２!Q:Q,B62=[1]加工記録２!$T:$T)</f>
        <v>0</v>
      </c>
      <c r="I96" s="48" t="s">
        <v>47</v>
      </c>
      <c r="J96" s="49" cm="1">
        <f t="array" ref="J96:J103">_xlfn._xlws.FILTER([1]加工記録２!O:O,B62=[1]加工記録２!$T:$T)</f>
        <v>45806</v>
      </c>
    </row>
    <row r="97" spans="1:16" s="5" customFormat="1" ht="18" customHeight="1">
      <c r="A97" s="128"/>
      <c r="B97" s="129"/>
      <c r="C97" s="129"/>
      <c r="D97" s="130"/>
      <c r="E97" s="133" t="s">
        <v>58</v>
      </c>
      <c r="F97" s="134"/>
      <c r="G97" s="72" t="s">
        <v>59</v>
      </c>
      <c r="H97" s="73">
        <v>0</v>
      </c>
      <c r="I97" s="48" t="s">
        <v>60</v>
      </c>
      <c r="J97" s="49">
        <v>10</v>
      </c>
      <c r="K97" s="28"/>
    </row>
    <row r="98" spans="1:16" s="7" customFormat="1" ht="18" customHeight="1">
      <c r="A98" s="88" t="s">
        <v>61</v>
      </c>
      <c r="B98" s="100" t="str">
        <f>_xlfn.XLOOKUP(A69,[1]!テーブル5[品目コード],[1]!テーブル5[温度換算],,2)</f>
        <v>〇</v>
      </c>
      <c r="C98" s="102" t="s">
        <v>62</v>
      </c>
      <c r="D98" s="104">
        <f>_xlfn.XLOOKUP(A69,[1]!テーブル5[品目コード],[1]!テーブル5[取数],,2)</f>
        <v>1</v>
      </c>
      <c r="E98" s="106" t="s">
        <v>63</v>
      </c>
      <c r="F98" s="107"/>
      <c r="G98" s="74" t="s">
        <v>64</v>
      </c>
      <c r="H98" s="73">
        <v>0</v>
      </c>
      <c r="I98" s="48" t="s">
        <v>65</v>
      </c>
      <c r="J98" s="49">
        <v>10</v>
      </c>
      <c r="K98" s="29"/>
    </row>
    <row r="99" spans="1:16" s="5" customFormat="1" ht="18" customHeight="1">
      <c r="A99" s="88"/>
      <c r="B99" s="101"/>
      <c r="C99" s="103"/>
      <c r="D99" s="105"/>
      <c r="E99" s="108" t="str">
        <f>_xlfn.XLOOKUP(A69,[1]!テーブル5[品目コード],[1]!テーブル5[備考１],,2)</f>
        <v>梱包箱:薄型1334　1/2</v>
      </c>
      <c r="F99" s="109"/>
      <c r="G99" s="74" t="s">
        <v>66</v>
      </c>
      <c r="H99" s="73">
        <v>0</v>
      </c>
      <c r="I99" s="48" t="s">
        <v>67</v>
      </c>
      <c r="J99" s="49">
        <v>0</v>
      </c>
      <c r="K99" s="28"/>
    </row>
    <row r="100" spans="1:16" s="7" customFormat="1" ht="18" customHeight="1">
      <c r="A100" s="110" t="s">
        <v>68</v>
      </c>
      <c r="B100" s="111">
        <f>D60</f>
        <v>669</v>
      </c>
      <c r="C100" s="113" t="s">
        <v>48</v>
      </c>
      <c r="D100" s="94" t="str">
        <f>_xlfn.XLOOKUP(A69,[1]!テーブル5[品目コード],[1]!テーブル5[上限公差],,2)</f>
        <v>+2</v>
      </c>
      <c r="E100" s="108" t="str">
        <f>_xlfn.XLOOKUP(A69,[1]!テーブル5[品目コード],[1]!テーブル5[備考２],,2)</f>
        <v>クラフト紙：1370型　1/2</v>
      </c>
      <c r="F100" s="109"/>
      <c r="G100" s="74" t="s">
        <v>69</v>
      </c>
      <c r="H100" s="73">
        <v>0</v>
      </c>
      <c r="I100" s="48" t="s">
        <v>49</v>
      </c>
      <c r="J100" s="49">
        <v>0</v>
      </c>
      <c r="K100" s="29"/>
    </row>
    <row r="101" spans="1:16" s="5" customFormat="1" ht="18" customHeight="1">
      <c r="A101" s="110"/>
      <c r="B101" s="112"/>
      <c r="C101" s="114"/>
      <c r="D101" s="115"/>
      <c r="E101" s="116" t="s">
        <v>70</v>
      </c>
      <c r="F101" s="117"/>
      <c r="G101" s="74" t="s">
        <v>71</v>
      </c>
      <c r="H101" s="73">
        <v>0</v>
      </c>
      <c r="I101" s="48" t="s">
        <v>50</v>
      </c>
      <c r="J101" s="49">
        <v>0</v>
      </c>
      <c r="K101" s="28"/>
    </row>
    <row r="102" spans="1:16" s="7" customFormat="1" ht="18" customHeight="1">
      <c r="A102" s="88" t="s">
        <v>72</v>
      </c>
      <c r="B102" s="90" t="str">
        <f>_xlfn.XLOOKUP(A69,[1]!テーブル5[品目コード],[1]!テーブル5[切断寸法],,2)</f>
        <v>換算表確認</v>
      </c>
      <c r="C102" s="92" t="s">
        <v>73</v>
      </c>
      <c r="D102" s="94">
        <f>_xlfn.XLOOKUP(A69,[1]!テーブル5[品目コード],[1]!テーブル5[下限公差],,2)</f>
        <v>-2</v>
      </c>
      <c r="E102" s="96" t="str">
        <f>_xlfn.XLOOKUP(A69,[1]!テーブル5[品目コード],[1]!テーブル5[梱包方法],,2)</f>
        <v>ラベル２枚　長手有　鉢巻無</v>
      </c>
      <c r="F102" s="97"/>
      <c r="G102" s="72" t="s">
        <v>74</v>
      </c>
      <c r="H102" s="73">
        <v>0</v>
      </c>
      <c r="I102" s="48" t="s">
        <v>75</v>
      </c>
      <c r="J102" s="49" t="str">
        <v>水野</v>
      </c>
      <c r="K102" s="29"/>
    </row>
    <row r="103" spans="1:16" s="5" customFormat="1" ht="18" customHeight="1" thickBot="1">
      <c r="A103" s="89"/>
      <c r="B103" s="91"/>
      <c r="C103" s="93"/>
      <c r="D103" s="95"/>
      <c r="E103" s="98"/>
      <c r="F103" s="99"/>
      <c r="G103" s="75" t="s">
        <v>76</v>
      </c>
      <c r="H103" s="47">
        <v>0</v>
      </c>
      <c r="I103" s="51" t="s">
        <v>77</v>
      </c>
      <c r="J103" s="50" t="str">
        <v>-</v>
      </c>
    </row>
    <row r="104" spans="1:16" s="31" customFormat="1" ht="18.95" customHeight="1">
      <c r="A104" s="52" t="s">
        <v>78</v>
      </c>
      <c r="B104" s="53" t="s">
        <v>79</v>
      </c>
      <c r="C104" s="54" t="s">
        <v>80</v>
      </c>
      <c r="D104" s="54" t="s">
        <v>81</v>
      </c>
      <c r="E104" s="55" t="s">
        <v>82</v>
      </c>
      <c r="F104" s="56" t="s">
        <v>83</v>
      </c>
      <c r="G104" s="76" t="s">
        <v>84</v>
      </c>
      <c r="H104" s="77" t="s">
        <v>85</v>
      </c>
      <c r="I104" s="57" t="s">
        <v>86</v>
      </c>
      <c r="J104" s="58" t="s">
        <v>87</v>
      </c>
      <c r="K104" s="30"/>
      <c r="L104" s="30"/>
      <c r="M104" s="30"/>
      <c r="N104" s="30"/>
    </row>
    <row r="105" spans="1:16" s="36" customFormat="1" ht="18.95" customHeight="1">
      <c r="A105" s="32" t="str" cm="1">
        <f t="array" ref="A105:J112">_xlfn._xlws.FILTER(IF([1]加工記録２!D:M="","",[1]加工記録２!D:M),B62=[1]加工記録２!$T:$T)</f>
        <v/>
      </c>
      <c r="B105" s="33" t="str">
        <v/>
      </c>
      <c r="C105" s="34" t="str">
        <v/>
      </c>
      <c r="D105" s="34" t="str">
        <v/>
      </c>
      <c r="E105" s="59" t="str">
        <v/>
      </c>
      <c r="F105" s="60" t="str">
        <v>25D10-01</v>
      </c>
      <c r="G105" s="78" t="str">
        <v/>
      </c>
      <c r="H105" s="79" t="str">
        <v/>
      </c>
      <c r="I105" s="39">
        <v>45806</v>
      </c>
      <c r="J105" s="40">
        <v>5</v>
      </c>
      <c r="K105" s="35"/>
      <c r="L105" s="35"/>
      <c r="M105" s="35"/>
      <c r="N105" s="35"/>
      <c r="P105" s="65" t="s">
        <v>51</v>
      </c>
    </row>
    <row r="106" spans="1:16" s="36" customFormat="1" ht="18.95" customHeight="1">
      <c r="A106" s="37">
        <v>45806</v>
      </c>
      <c r="B106" s="38" t="str">
        <v>25D10-01</v>
      </c>
      <c r="C106" s="38">
        <v>22</v>
      </c>
      <c r="D106" s="38" t="str">
        <v/>
      </c>
      <c r="E106" s="61">
        <v>670.15</v>
      </c>
      <c r="F106" s="62" t="str">
        <v/>
      </c>
      <c r="G106" s="80" t="str">
        <v/>
      </c>
      <c r="H106" s="81">
        <v>0</v>
      </c>
      <c r="I106" s="39" t="str">
        <v/>
      </c>
      <c r="J106" s="40" t="str">
        <v/>
      </c>
      <c r="K106" s="35"/>
      <c r="L106" s="35"/>
      <c r="M106" s="35"/>
      <c r="N106" s="35"/>
    </row>
    <row r="107" spans="1:16" s="36" customFormat="1" ht="18.95" customHeight="1">
      <c r="A107" s="37">
        <v>45806</v>
      </c>
      <c r="B107" s="38" t="str">
        <v>25D10-01</v>
      </c>
      <c r="C107" s="38">
        <v>22</v>
      </c>
      <c r="D107" s="38" t="str">
        <v/>
      </c>
      <c r="E107" s="61">
        <v>670.2</v>
      </c>
      <c r="F107" s="62" t="str">
        <v/>
      </c>
      <c r="G107" s="80" t="str">
        <v/>
      </c>
      <c r="H107" s="81" t="str">
        <v/>
      </c>
      <c r="I107" s="39" t="str">
        <v/>
      </c>
      <c r="J107" s="40" t="str">
        <v/>
      </c>
      <c r="K107" s="35"/>
      <c r="L107" s="35"/>
      <c r="M107" s="35"/>
      <c r="N107" s="35"/>
    </row>
    <row r="108" spans="1:16" s="36" customFormat="1" ht="18.95" customHeight="1">
      <c r="A108" s="37" t="str">
        <v/>
      </c>
      <c r="B108" s="38" t="str">
        <v/>
      </c>
      <c r="C108" s="38" t="str">
        <v/>
      </c>
      <c r="D108" s="38" t="str">
        <v/>
      </c>
      <c r="E108" s="61" t="str">
        <v/>
      </c>
      <c r="F108" s="62" t="str">
        <v/>
      </c>
      <c r="G108" s="80" t="str">
        <v/>
      </c>
      <c r="H108" s="81" t="str">
        <v/>
      </c>
      <c r="I108" s="39" t="str">
        <v/>
      </c>
      <c r="J108" s="40" t="str">
        <v/>
      </c>
      <c r="K108" s="35"/>
      <c r="L108" s="35"/>
      <c r="M108" s="35"/>
      <c r="N108" s="35"/>
    </row>
    <row r="109" spans="1:16" s="36" customFormat="1" ht="18.95" customHeight="1">
      <c r="A109" s="37" t="str">
        <v/>
      </c>
      <c r="B109" s="38" t="str">
        <v/>
      </c>
      <c r="C109" s="38" t="str">
        <v/>
      </c>
      <c r="D109" s="38" t="str">
        <v/>
      </c>
      <c r="E109" s="61" t="str">
        <v/>
      </c>
      <c r="F109" s="62" t="str">
        <v/>
      </c>
      <c r="G109" s="80" t="str">
        <v/>
      </c>
      <c r="H109" s="81" t="str">
        <v/>
      </c>
      <c r="I109" s="39" t="str">
        <v/>
      </c>
      <c r="J109" s="40" t="str">
        <v/>
      </c>
      <c r="K109" s="35"/>
      <c r="L109" s="35"/>
      <c r="M109" s="35"/>
      <c r="N109" s="35"/>
    </row>
    <row r="110" spans="1:16" s="36" customFormat="1" ht="18.95" customHeight="1">
      <c r="A110" s="37" t="str">
        <v/>
      </c>
      <c r="B110" s="38" t="str">
        <v/>
      </c>
      <c r="C110" s="38" t="str">
        <v/>
      </c>
      <c r="D110" s="38" t="str">
        <v/>
      </c>
      <c r="E110" s="61" t="str">
        <v/>
      </c>
      <c r="F110" s="62" t="str">
        <v/>
      </c>
      <c r="G110" s="80" t="str">
        <v/>
      </c>
      <c r="H110" s="81" t="str">
        <v/>
      </c>
      <c r="I110" s="39" t="str">
        <v/>
      </c>
      <c r="J110" s="40" t="str">
        <v/>
      </c>
      <c r="K110" s="35"/>
      <c r="L110" s="35"/>
      <c r="M110" s="35"/>
      <c r="N110" s="35"/>
    </row>
    <row r="111" spans="1:16" s="36" customFormat="1" ht="18.95" customHeight="1">
      <c r="A111" s="37" t="str">
        <v/>
      </c>
      <c r="B111" s="38" t="str">
        <v/>
      </c>
      <c r="C111" s="38" t="str">
        <v/>
      </c>
      <c r="D111" s="38" t="str">
        <v/>
      </c>
      <c r="E111" s="61" t="str">
        <v/>
      </c>
      <c r="F111" s="62" t="str">
        <v/>
      </c>
      <c r="G111" s="80" t="str">
        <v/>
      </c>
      <c r="H111" s="81" t="str">
        <v/>
      </c>
      <c r="I111" s="39" t="str">
        <v/>
      </c>
      <c r="J111" s="40" t="str">
        <v/>
      </c>
      <c r="K111" s="35"/>
      <c r="L111" s="35"/>
      <c r="M111" s="35"/>
      <c r="N111" s="35"/>
    </row>
    <row r="112" spans="1:16" s="36" customFormat="1" ht="18.95" customHeight="1" thickBot="1">
      <c r="A112" s="41" t="str">
        <v/>
      </c>
      <c r="B112" s="42" t="str">
        <v/>
      </c>
      <c r="C112" s="42" t="str">
        <v/>
      </c>
      <c r="D112" s="42" t="str">
        <v/>
      </c>
      <c r="E112" s="63" t="str">
        <v/>
      </c>
      <c r="F112" s="64" t="str">
        <v/>
      </c>
      <c r="G112" s="82" t="str">
        <v/>
      </c>
      <c r="H112" s="83" t="str">
        <v/>
      </c>
      <c r="I112" s="43" t="str">
        <v/>
      </c>
      <c r="J112" s="44" t="str">
        <v/>
      </c>
      <c r="K112" s="35"/>
      <c r="L112" s="35"/>
      <c r="M112" s="35"/>
      <c r="N112" s="35"/>
    </row>
    <row r="113" spans="1:10" ht="13.5" customHeight="1" thickBot="1">
      <c r="A113" s="11"/>
      <c r="B113" s="11"/>
      <c r="C113" s="11"/>
      <c r="D113" s="11"/>
      <c r="E113" s="11"/>
      <c r="F113" s="11"/>
      <c r="G113" s="84"/>
      <c r="H113" s="84"/>
      <c r="I113" s="11"/>
      <c r="J113" s="11"/>
    </row>
    <row r="114" spans="1:10" ht="6" customHeight="1" thickTop="1">
      <c r="A114" s="10"/>
      <c r="B114" s="10"/>
      <c r="C114" s="10"/>
      <c r="D114" s="10"/>
      <c r="E114" s="10"/>
      <c r="F114" s="10"/>
      <c r="G114" s="85"/>
      <c r="H114" s="85"/>
      <c r="I114" s="10"/>
      <c r="J114" s="10"/>
    </row>
  </sheetData>
  <mergeCells count="220">
    <mergeCell ref="A3:A4"/>
    <mergeCell ref="E3:E4"/>
    <mergeCell ref="E5:E6"/>
    <mergeCell ref="G67:G68"/>
    <mergeCell ref="G69:G70"/>
    <mergeCell ref="F16:H16"/>
    <mergeCell ref="C73:D73"/>
    <mergeCell ref="F22:H22"/>
    <mergeCell ref="A33:B33"/>
    <mergeCell ref="A35:B35"/>
    <mergeCell ref="A28:B28"/>
    <mergeCell ref="A30:B30"/>
    <mergeCell ref="G36:H36"/>
    <mergeCell ref="B3:B4"/>
    <mergeCell ref="H69:H70"/>
    <mergeCell ref="G10:G11"/>
    <mergeCell ref="D3:D4"/>
    <mergeCell ref="G12:G13"/>
    <mergeCell ref="A34:B34"/>
    <mergeCell ref="A36:B36"/>
    <mergeCell ref="C26:D26"/>
    <mergeCell ref="F37:J37"/>
    <mergeCell ref="I20:J20"/>
    <mergeCell ref="A32:B32"/>
    <mergeCell ref="G25:H25"/>
    <mergeCell ref="G28:H28"/>
    <mergeCell ref="A5:A6"/>
    <mergeCell ref="B5:B6"/>
    <mergeCell ref="F5:H6"/>
    <mergeCell ref="C19:D19"/>
    <mergeCell ref="C92:E92"/>
    <mergeCell ref="A82:B82"/>
    <mergeCell ref="F88:J88"/>
    <mergeCell ref="F83:J83"/>
    <mergeCell ref="C82:E82"/>
    <mergeCell ref="I25:J25"/>
    <mergeCell ref="F21:H21"/>
    <mergeCell ref="I19:J19"/>
    <mergeCell ref="A12:C13"/>
    <mergeCell ref="F19:H19"/>
    <mergeCell ref="C16:D16"/>
    <mergeCell ref="F18:H18"/>
    <mergeCell ref="C34:E34"/>
    <mergeCell ref="A94:B94"/>
    <mergeCell ref="J4:J5"/>
    <mergeCell ref="C90:E90"/>
    <mergeCell ref="F80:H80"/>
    <mergeCell ref="F77:H77"/>
    <mergeCell ref="C3:C4"/>
    <mergeCell ref="C75:D75"/>
    <mergeCell ref="C86:E86"/>
    <mergeCell ref="C22:D22"/>
    <mergeCell ref="C79:D79"/>
    <mergeCell ref="E46:F46"/>
    <mergeCell ref="F3:H4"/>
    <mergeCell ref="C76:D76"/>
    <mergeCell ref="F29:J29"/>
    <mergeCell ref="C18:D18"/>
    <mergeCell ref="I69:J70"/>
    <mergeCell ref="C80:D80"/>
    <mergeCell ref="I87:J87"/>
    <mergeCell ref="C37:E37"/>
    <mergeCell ref="F78:H78"/>
    <mergeCell ref="I80:J80"/>
    <mergeCell ref="G38:H38"/>
    <mergeCell ref="H10:J11"/>
    <mergeCell ref="I34:J34"/>
    <mergeCell ref="F20:H20"/>
    <mergeCell ref="G95:H95"/>
    <mergeCell ref="G89:H89"/>
    <mergeCell ref="F75:H75"/>
    <mergeCell ref="C87:E87"/>
    <mergeCell ref="G91:H91"/>
    <mergeCell ref="I12:J13"/>
    <mergeCell ref="F23:H23"/>
    <mergeCell ref="C20:D20"/>
    <mergeCell ref="I89:J89"/>
    <mergeCell ref="F26:J26"/>
    <mergeCell ref="I21:J21"/>
    <mergeCell ref="I23:J23"/>
    <mergeCell ref="J61:J62"/>
    <mergeCell ref="F94:J94"/>
    <mergeCell ref="C94:E94"/>
    <mergeCell ref="C93:E93"/>
    <mergeCell ref="B58:D59"/>
    <mergeCell ref="C77:D77"/>
    <mergeCell ref="F79:H79"/>
    <mergeCell ref="E60:E61"/>
    <mergeCell ref="C36:E36"/>
    <mergeCell ref="C25:E25"/>
    <mergeCell ref="C78:D78"/>
    <mergeCell ref="C91:E91"/>
    <mergeCell ref="B1:D2"/>
    <mergeCell ref="G85:H85"/>
    <mergeCell ref="A87:B87"/>
    <mergeCell ref="A89:B89"/>
    <mergeCell ref="C21:D21"/>
    <mergeCell ref="F90:J90"/>
    <mergeCell ref="C23:D23"/>
    <mergeCell ref="I78:J78"/>
    <mergeCell ref="A72:J72"/>
    <mergeCell ref="F9:G9"/>
    <mergeCell ref="C89:E89"/>
    <mergeCell ref="C88:E88"/>
    <mergeCell ref="F64:G64"/>
    <mergeCell ref="A62:A63"/>
    <mergeCell ref="A29:B29"/>
    <mergeCell ref="A64:A65"/>
    <mergeCell ref="A31:B31"/>
    <mergeCell ref="F33:J33"/>
    <mergeCell ref="C32:E32"/>
    <mergeCell ref="F35:J35"/>
    <mergeCell ref="H12:H13"/>
    <mergeCell ref="F86:J86"/>
    <mergeCell ref="I75:J75"/>
    <mergeCell ref="A37:B37"/>
    <mergeCell ref="B7:B8"/>
    <mergeCell ref="A93:B93"/>
    <mergeCell ref="F7:G7"/>
    <mergeCell ref="E62:E63"/>
    <mergeCell ref="G32:H32"/>
    <mergeCell ref="H67:J68"/>
    <mergeCell ref="I91:J91"/>
    <mergeCell ref="I85:J85"/>
    <mergeCell ref="I93:J93"/>
    <mergeCell ref="I30:J30"/>
    <mergeCell ref="A15:J15"/>
    <mergeCell ref="G82:H82"/>
    <mergeCell ref="C85:E85"/>
    <mergeCell ref="C33:E33"/>
    <mergeCell ref="C35:E35"/>
    <mergeCell ref="I28:J28"/>
    <mergeCell ref="F73:H73"/>
    <mergeCell ref="C29:E29"/>
    <mergeCell ref="F76:H76"/>
    <mergeCell ref="C31:E31"/>
    <mergeCell ref="I76:J76"/>
    <mergeCell ref="F31:J31"/>
    <mergeCell ref="C83:D83"/>
    <mergeCell ref="I61:I62"/>
    <mergeCell ref="B62:B63"/>
    <mergeCell ref="D43:D44"/>
    <mergeCell ref="E43:F43"/>
    <mergeCell ref="E44:F44"/>
    <mergeCell ref="A45:A46"/>
    <mergeCell ref="B45:B46"/>
    <mergeCell ref="C45:C46"/>
    <mergeCell ref="D45:D46"/>
    <mergeCell ref="E45:F45"/>
    <mergeCell ref="I18:J18"/>
    <mergeCell ref="A85:B85"/>
    <mergeCell ref="A60:A61"/>
    <mergeCell ref="G93:H93"/>
    <mergeCell ref="C28:E28"/>
    <mergeCell ref="C30:E30"/>
    <mergeCell ref="I79:J79"/>
    <mergeCell ref="I73:J73"/>
    <mergeCell ref="B60:B61"/>
    <mergeCell ref="A69:C70"/>
    <mergeCell ref="G87:H87"/>
    <mergeCell ref="A86:B86"/>
    <mergeCell ref="F60:H61"/>
    <mergeCell ref="B64:B65"/>
    <mergeCell ref="D60:D61"/>
    <mergeCell ref="C60:C61"/>
    <mergeCell ref="F66:G66"/>
    <mergeCell ref="I77:J77"/>
    <mergeCell ref="A91:B91"/>
    <mergeCell ref="A88:B88"/>
    <mergeCell ref="I32:J32"/>
    <mergeCell ref="G30:H30"/>
    <mergeCell ref="I82:J82"/>
    <mergeCell ref="F62:H63"/>
    <mergeCell ref="A92:B92"/>
    <mergeCell ref="I4:I5"/>
    <mergeCell ref="A38:D38"/>
    <mergeCell ref="A39:D40"/>
    <mergeCell ref="E39:F39"/>
    <mergeCell ref="E40:F40"/>
    <mergeCell ref="A41:A42"/>
    <mergeCell ref="B41:B42"/>
    <mergeCell ref="C41:C42"/>
    <mergeCell ref="D41:D42"/>
    <mergeCell ref="E41:F41"/>
    <mergeCell ref="E42:F42"/>
    <mergeCell ref="A43:A44"/>
    <mergeCell ref="B43:B44"/>
    <mergeCell ref="C43:C44"/>
    <mergeCell ref="I36:J36"/>
    <mergeCell ref="G34:H34"/>
    <mergeCell ref="A7:A8"/>
    <mergeCell ref="A25:B25"/>
    <mergeCell ref="I22:J22"/>
    <mergeCell ref="I16:J16"/>
    <mergeCell ref="F92:J92"/>
    <mergeCell ref="I38:J38"/>
    <mergeCell ref="A90:B90"/>
    <mergeCell ref="I95:J95"/>
    <mergeCell ref="A102:A103"/>
    <mergeCell ref="B102:B103"/>
    <mergeCell ref="C102:C103"/>
    <mergeCell ref="D102:D103"/>
    <mergeCell ref="E102:F102"/>
    <mergeCell ref="E103:F103"/>
    <mergeCell ref="A98:A99"/>
    <mergeCell ref="B98:B99"/>
    <mergeCell ref="C98:C99"/>
    <mergeCell ref="D98:D99"/>
    <mergeCell ref="E98:F98"/>
    <mergeCell ref="E99:F99"/>
    <mergeCell ref="A100:A101"/>
    <mergeCell ref="B100:B101"/>
    <mergeCell ref="C100:C101"/>
    <mergeCell ref="D100:D101"/>
    <mergeCell ref="E100:F100"/>
    <mergeCell ref="E101:F101"/>
    <mergeCell ref="A95:D95"/>
    <mergeCell ref="A96:D97"/>
    <mergeCell ref="E96:F96"/>
    <mergeCell ref="E97:F97"/>
  </mergeCells>
  <phoneticPr fontId="2"/>
  <conditionalFormatting sqref="D50:D55">
    <cfRule type="cellIs" dxfId="3" priority="3" operator="equal">
      <formula>$D$49</formula>
    </cfRule>
  </conditionalFormatting>
  <conditionalFormatting sqref="D107:D112">
    <cfRule type="cellIs" dxfId="2" priority="1" operator="equal">
      <formula>$D$49</formula>
    </cfRule>
  </conditionalFormatting>
  <conditionalFormatting sqref="G40:G41">
    <cfRule type="cellIs" dxfId="1" priority="4" operator="lessThan">
      <formula>45658</formula>
    </cfRule>
  </conditionalFormatting>
  <conditionalFormatting sqref="G97:G98">
    <cfRule type="cellIs" dxfId="0" priority="2" operator="lessThan">
      <formula>45658</formula>
    </cfRule>
  </conditionalFormatting>
  <pageMargins left="0" right="0" top="0" bottom="0" header="0.51181102362204722" footer="0.51181102362204722"/>
  <pageSetup paperSize="9" scale="75" orientation="portrait"/>
  <headerFooter>
    <oddFooter>&amp;R&amp;P/&amp;N</oddFooter>
  </headerFooter>
  <rowBreaks count="1" manualBreakCount="1"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teppei tomita</cp:lastModifiedBy>
  <cp:lastPrinted>2024-07-22T04:35:10Z</cp:lastPrinted>
  <dcterms:created xsi:type="dcterms:W3CDTF">2024-07-11T02:08:33Z</dcterms:created>
  <dcterms:modified xsi:type="dcterms:W3CDTF">2025-06-09T02:50:25Z</dcterms:modified>
</cp:coreProperties>
</file>