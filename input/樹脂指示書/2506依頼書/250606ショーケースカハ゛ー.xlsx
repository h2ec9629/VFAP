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黒部工業－ＰＣ\Desktop\樹脂指示書\"/>
    </mc:Choice>
  </mc:AlternateContent>
  <xr:revisionPtr revIDLastSave="0" documentId="13_ncr:1_{39486C1A-E40B-49CA-BA54-4CA6741A71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9" i="1" l="1"/>
  <c r="D159" i="1"/>
  <c r="B159" i="1"/>
  <c r="E157" i="1"/>
  <c r="D157" i="1"/>
  <c r="B157" i="1"/>
  <c r="E155" i="1"/>
  <c r="D155" i="1"/>
  <c r="B155" i="1"/>
  <c r="A153" i="1"/>
  <c r="E216" i="1"/>
  <c r="D216" i="1"/>
  <c r="B216" i="1"/>
  <c r="E214" i="1"/>
  <c r="D214" i="1"/>
  <c r="B214" i="1"/>
  <c r="E212" i="1"/>
  <c r="D212" i="1"/>
  <c r="B212" i="1"/>
  <c r="G210" i="1" a="1"/>
  <c r="G210" i="1" s="1"/>
  <c r="A210" i="1"/>
  <c r="E45" i="1"/>
  <c r="D45" i="1"/>
  <c r="B45" i="1"/>
  <c r="E43" i="1"/>
  <c r="D43" i="1"/>
  <c r="B43" i="1"/>
  <c r="E41" i="1"/>
  <c r="D41" i="1"/>
  <c r="B41" i="1"/>
  <c r="E39" i="1"/>
  <c r="A39" i="1"/>
  <c r="E102" i="1"/>
  <c r="D102" i="1"/>
  <c r="B102" i="1"/>
  <c r="E100" i="1"/>
  <c r="D100" i="1"/>
  <c r="B100" i="1"/>
  <c r="E98" i="1"/>
  <c r="D98" i="1"/>
  <c r="B98" i="1"/>
  <c r="E96" i="1"/>
  <c r="A96" i="1"/>
  <c r="E210" i="1" l="1" a="1"/>
  <c r="E210" i="1" s="1"/>
  <c r="G153" i="1" l="1" a="1"/>
  <c r="G153" i="1" s="1"/>
  <c r="E153" i="1" a="1"/>
  <c r="E153" i="1" s="1"/>
  <c r="I43" i="1" l="1" a="1"/>
  <c r="I43" i="1" s="1"/>
  <c r="I42" i="1" a="1"/>
  <c r="I42" i="1" s="1"/>
  <c r="I45" i="1" a="1"/>
  <c r="I45" i="1" s="1"/>
  <c r="I44" i="1" a="1"/>
  <c r="I44" i="1" s="1"/>
  <c r="I41" i="1" a="1"/>
  <c r="I41" i="1" s="1"/>
  <c r="I40" i="1" a="1"/>
  <c r="I40" i="1" s="1"/>
  <c r="I46" i="1" a="1"/>
  <c r="I46" i="1" s="1"/>
  <c r="I39" i="1" a="1"/>
  <c r="I39" i="1" s="1"/>
  <c r="I215" i="1" a="1"/>
  <c r="I215" i="1" s="1"/>
  <c r="I211" i="1" a="1"/>
  <c r="I211" i="1" s="1"/>
  <c r="I212" i="1" a="1"/>
  <c r="I212" i="1" s="1"/>
  <c r="I214" i="1" a="1"/>
  <c r="I214" i="1" s="1"/>
  <c r="I210" i="1" a="1"/>
  <c r="I210" i="1" s="1"/>
  <c r="I217" i="1" a="1"/>
  <c r="I217" i="1" s="1"/>
  <c r="I213" i="1" a="1"/>
  <c r="I213" i="1" s="1"/>
  <c r="I216" i="1" a="1"/>
  <c r="I216" i="1" s="1"/>
  <c r="I157" i="1" a="1"/>
  <c r="I157" i="1" s="1"/>
  <c r="I156" i="1" a="1"/>
  <c r="I156" i="1" s="1"/>
  <c r="I160" i="1" a="1"/>
  <c r="I160" i="1" s="1"/>
  <c r="I155" i="1" a="1"/>
  <c r="I155" i="1" s="1"/>
  <c r="I154" i="1" a="1"/>
  <c r="I154" i="1" s="1"/>
  <c r="I158" i="1" a="1"/>
  <c r="I158" i="1" s="1"/>
  <c r="I159" i="1" a="1"/>
  <c r="I159" i="1" s="1"/>
  <c r="I153" i="1" a="1"/>
  <c r="I153" i="1" s="1"/>
  <c r="I102" i="1" l="1" a="1"/>
  <c r="I102" i="1" s="1"/>
  <c r="I101" i="1" a="1"/>
  <c r="I101" i="1" s="1"/>
  <c r="I96" i="1" a="1"/>
  <c r="I96" i="1" s="1"/>
  <c r="I97" i="1" a="1"/>
  <c r="I97" i="1" s="1"/>
  <c r="I103" i="1" a="1"/>
  <c r="I103" i="1" s="1"/>
  <c r="I98" i="1" a="1"/>
  <c r="I98" i="1" s="1"/>
  <c r="I100" i="1" a="1"/>
  <c r="I100" i="1" s="1"/>
  <c r="I99" i="1" a="1"/>
  <c r="I99" i="1" s="1"/>
  <c r="A166" i="1" l="1" a="1"/>
  <c r="A166" i="1" s="1"/>
  <c r="A162" i="1" a="1"/>
  <c r="A162" i="1" s="1"/>
  <c r="A163" i="1" a="1"/>
  <c r="A163" i="1" s="1"/>
  <c r="A169" i="1" a="1"/>
  <c r="A169" i="1" s="1"/>
  <c r="A165" i="1" a="1"/>
  <c r="A165" i="1" s="1"/>
  <c r="A168" i="1" a="1"/>
  <c r="A168" i="1" s="1"/>
  <c r="A164" i="1" a="1"/>
  <c r="A164" i="1" s="1"/>
  <c r="A167" i="1" a="1"/>
  <c r="A167" i="1" s="1"/>
  <c r="A224" i="1" a="1"/>
  <c r="A224" i="1" s="1"/>
  <c r="A220" i="1" a="1"/>
  <c r="A220" i="1" s="1"/>
  <c r="A225" i="1" a="1"/>
  <c r="A225" i="1" s="1"/>
  <c r="A223" i="1" a="1"/>
  <c r="A223" i="1" s="1"/>
  <c r="A219" i="1" a="1"/>
  <c r="A219" i="1" s="1"/>
  <c r="A221" i="1" a="1"/>
  <c r="A221" i="1" s="1"/>
  <c r="A226" i="1" a="1"/>
  <c r="A226" i="1" s="1"/>
  <c r="A222" i="1" a="1"/>
  <c r="A222" i="1" s="1"/>
  <c r="A55" i="1" a="1"/>
  <c r="A55" i="1" s="1"/>
  <c r="A51" i="1" a="1"/>
  <c r="A51" i="1" s="1"/>
  <c r="A54" i="1" a="1"/>
  <c r="A54" i="1" s="1"/>
  <c r="A50" i="1" a="1"/>
  <c r="A50" i="1" s="1"/>
  <c r="A53" i="1" a="1"/>
  <c r="A53" i="1" s="1"/>
  <c r="A48" i="1" a="1"/>
  <c r="A49" i="1" a="1"/>
  <c r="A49" i="1" s="1"/>
  <c r="A52" i="1" a="1"/>
  <c r="A52" i="1" s="1"/>
  <c r="G39" i="1" l="1"/>
  <c r="A48" i="1"/>
  <c r="A110" i="1" l="1" a="1"/>
  <c r="A110" i="1" s="1"/>
  <c r="A112" i="1" a="1"/>
  <c r="A112" i="1" s="1"/>
  <c r="A109" i="1" a="1"/>
  <c r="A109" i="1" s="1"/>
  <c r="A111" i="1" a="1"/>
  <c r="A111" i="1" s="1"/>
  <c r="A106" i="1" a="1"/>
  <c r="A106" i="1" s="1"/>
  <c r="A108" i="1" a="1"/>
  <c r="A108" i="1" s="1"/>
  <c r="A107" i="1" a="1"/>
  <c r="A107" i="1" s="1"/>
  <c r="A105" i="1" a="1"/>
  <c r="A105" i="1" l="1"/>
  <c r="G9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<sst xmlns="http://schemas.openxmlformats.org/spreadsheetml/2006/main" count="386" uniqueCount="113">
  <si>
    <t>検査梱包指示書</t>
  </si>
  <si>
    <t>品目番号</t>
  </si>
  <si>
    <t>J1JAZZB10802970</t>
  </si>
  <si>
    <t>Ｌ寸</t>
  </si>
  <si>
    <t>名称</t>
  </si>
  <si>
    <t>8FL2813044810</t>
  </si>
  <si>
    <t>上長</t>
  </si>
  <si>
    <t>係員</t>
  </si>
  <si>
    <t>製造指図№</t>
  </si>
  <si>
    <t>000000000004069</t>
  </si>
  <si>
    <t>原料名</t>
  </si>
  <si>
    <t>(CASE 297MILK-W4)</t>
  </si>
  <si>
    <t>発注明細№</t>
  </si>
  <si>
    <t>000000000761437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</si>
  <si>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</si>
  <si>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</si>
  <si>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</si>
  <si>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</si>
  <si>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</si>
  <si>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</si>
  <si>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</si>
  <si>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</si>
  <si>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</si>
  <si>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</si>
  <si>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</si>
  <si>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*J1JAZZB10802970*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</si>
  <si>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</si>
  <si>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</si>
  <si>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</si>
  <si>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</si>
  <si>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</si>
  <si>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</si>
  <si>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</si>
  <si>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</si>
  <si>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</si>
  <si>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</si>
  <si>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</si>
  <si>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</si>
  <si>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</si>
  <si>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</si>
  <si>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</si>
  <si>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</si>
  <si>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</si>
  <si>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</si>
  <si>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</si>
  <si>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</si>
  <si>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</si>
  <si>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</si>
  <si>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</si>
  <si>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</si>
  <si>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*J1JAZZA10818200*</t>
  </si>
  <si>
    <t>J6DW0086</t>
  </si>
  <si>
    <t>LED-A300（旧LED-A297）</t>
  </si>
  <si>
    <t>V3W04</t>
  </si>
  <si>
    <t>*J6DW0086*</t>
  </si>
  <si>
    <t>L300×W275×H166</t>
  </si>
  <si>
    <t>J6XX0050</t>
  </si>
  <si>
    <t>(管理外)筋入ｸﾗﾌﾄ紙</t>
  </si>
  <si>
    <t>*J6XX0050*</t>
  </si>
  <si>
    <t>300＊100</t>
  </si>
  <si>
    <t>J6XX0051</t>
  </si>
  <si>
    <t>(管理外)LLDPE規格ｼｰﾄ0.02×950×100m</t>
  </si>
  <si>
    <t>*J6XX0051*</t>
  </si>
  <si>
    <t>0.02×950×100m</t>
  </si>
  <si>
    <t>000000000004070</t>
  </si>
  <si>
    <t>000000000761438</t>
  </si>
  <si>
    <t>J1JAZZB10808880</t>
  </si>
  <si>
    <t>8FL2813045010</t>
  </si>
  <si>
    <t>000000000004071</t>
  </si>
  <si>
    <t>(CASE 888MILK-W4)</t>
  </si>
  <si>
    <t>000000000761439</t>
  </si>
  <si>
    <t>*J1JAZZB10808880*</t>
  </si>
  <si>
    <t>J6DW0089</t>
  </si>
  <si>
    <t>LED-A888</t>
  </si>
  <si>
    <t>*J6DW0089*</t>
  </si>
  <si>
    <t>L888×W275×H166</t>
  </si>
  <si>
    <t>J6XX0044</t>
  </si>
  <si>
    <t>*J6XX0044*</t>
  </si>
  <si>
    <t>400＊900</t>
  </si>
  <si>
    <t>000000000004072</t>
  </si>
  <si>
    <t>000000000761440</t>
  </si>
  <si>
    <t>J6DW0086</t>
    <phoneticPr fontId="2"/>
  </si>
  <si>
    <t>製品名</t>
    <phoneticPr fontId="2"/>
  </si>
  <si>
    <t>温度換算</t>
    <phoneticPr fontId="2"/>
  </si>
  <si>
    <t>取数</t>
    <phoneticPr fontId="2"/>
  </si>
  <si>
    <t>L寸</t>
    <phoneticPr fontId="2"/>
  </si>
  <si>
    <t>+公差</t>
    <phoneticPr fontId="2"/>
  </si>
  <si>
    <t>切断寸法</t>
    <phoneticPr fontId="2"/>
  </si>
  <si>
    <t>-公差</t>
    <phoneticPr fontId="2"/>
  </si>
  <si>
    <t>作業日</t>
    <phoneticPr fontId="2"/>
  </si>
  <si>
    <t>基材Lot</t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</si>
  <si>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</si>
  <si>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</si>
  <si>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</si>
  <si>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</si>
  <si>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B.加工数</t>
    <phoneticPr fontId="2"/>
  </si>
  <si>
    <t>C.基材換算</t>
    <phoneticPr fontId="2"/>
  </si>
  <si>
    <t>加工Lot</t>
    <phoneticPr fontId="2"/>
  </si>
  <si>
    <t>箱数</t>
    <phoneticPr fontId="2"/>
  </si>
  <si>
    <t>加工内容</t>
    <rPh sb="0" eb="2">
      <t>カコウ</t>
    </rPh>
    <rPh sb="2" eb="4">
      <t>ナイヨウ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</si>
  <si>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</si>
  <si>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</si>
  <si>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</si>
  <si>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</si>
  <si>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</si>
  <si>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</si>
  <si>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</si>
  <si>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</si>
  <si>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</si>
  <si>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不良内訳</t>
    <rPh sb="0" eb="2">
      <t>フリョウ</t>
    </rPh>
    <rPh sb="2" eb="4">
      <t>ウチワケ</t>
    </rPh>
    <phoneticPr fontId="2"/>
  </si>
  <si>
    <t>使用数</t>
    <rPh sb="0" eb="2">
      <t>シヨウ</t>
    </rPh>
    <rPh sb="2" eb="3">
      <t>スウ</t>
    </rPh>
    <phoneticPr fontId="2"/>
  </si>
  <si>
    <t>加工数</t>
    <phoneticPr fontId="2"/>
  </si>
  <si>
    <t>基材換算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</si>
</sst>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76" formatCode="[$-F800]dddd\,\ mmmm\ dd\,\ yyyy"/>
    <numFmt numFmtId="177" formatCode="#,##0.0_ "/>
    <numFmt numFmtId="178" formatCode="#,##0_ "/>
    <numFmt numFmtId="179" formatCode="#"/>
    <numFmt numFmtId="180" formatCode="&quot;L=&quot;0.0_ "/>
    <numFmt numFmtId="181" formatCode="0.00_ "/>
    <numFmt numFmtId="182" formatCode="m/d"/>
    <numFmt numFmtId="183" formatCode="yy\,mm\,dd"/>
    <numFmt numFmtId="184" formatCode="#&quot;箱&quot;"/>
    <numFmt numFmtId="185" formatCode="m&quot;月&quot;d&quot;日&quot;;@"/>
    <numFmt numFmtId="186" formatCode="&quot;キズ &quot;#"/>
    <numFmt numFmtId="187" formatCode="&quot;凹み &quot;#"/>
    <numFmt numFmtId="188" formatCode="&quot;異物 &quot;#"/>
    <numFmt numFmtId="189" formatCode="&quot;欠け &quot;#"/>
    <numFmt numFmtId="190" formatCode="&quot;ﾒﾔﾆ &quot;#"/>
    <numFmt numFmtId="191" formatCode="&quot;ﾍﾞｺﾂｷ &quot;#"/>
    <numFmt numFmtId="192" formatCode="&quot;その他 &quot;#"/>
    <numFmt numFmtId="193" formatCode="#&quot;枚使用&quot;"/>
    <numFmt numFmtId="194" formatCode="&quot;合計 &quot;0"/>
    <numFmt numFmtId="195" formatCode="#&quot;枚&quot;"/>
  </numFmts>
  <fonts count="30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b/>
      <sz val="16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6"/>
      <name val="游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91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13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179" fontId="19" fillId="0" borderId="24" xfId="1" applyNumberFormat="1" applyFont="1" applyBorder="1" applyAlignment="1">
      <alignment horizontal="center" vertical="center" shrinkToFit="1"/>
    </xf>
    <xf numFmtId="49" fontId="20" fillId="0" borderId="0" xfId="1" applyNumberFormat="1" applyFont="1" applyAlignment="1">
      <alignment horizontal="left" vertical="center" shrinkToFit="1"/>
    </xf>
    <xf numFmtId="49" fontId="23" fillId="0" borderId="0" xfId="1" applyNumberFormat="1" applyFont="1" applyAlignment="1">
      <alignment horizontal="left" vertical="center" shrinkToFit="1"/>
    </xf>
    <xf numFmtId="0" fontId="25" fillId="5" borderId="19" xfId="0" applyFont="1" applyFill="1" applyBorder="1" applyAlignment="1">
      <alignment horizontal="center" vertical="center"/>
    </xf>
    <xf numFmtId="49" fontId="25" fillId="5" borderId="20" xfId="1" applyNumberFormat="1" applyFont="1" applyFill="1" applyBorder="1" applyAlignment="1">
      <alignment vertical="center" shrinkToFit="1"/>
    </xf>
    <xf numFmtId="49" fontId="25" fillId="5" borderId="20" xfId="1" applyNumberFormat="1" applyFont="1" applyFill="1" applyBorder="1" applyAlignment="1">
      <alignment horizontal="center" vertical="center" shrinkToFit="1"/>
    </xf>
    <xf numFmtId="49" fontId="25" fillId="5" borderId="34" xfId="0" applyNumberFormat="1" applyFont="1" applyFill="1" applyBorder="1" applyAlignment="1">
      <alignment horizontal="center" vertical="center" shrinkToFit="1"/>
    </xf>
    <xf numFmtId="0" fontId="26" fillId="0" borderId="0" xfId="0" applyFont="1">
      <alignment vertical="center"/>
    </xf>
    <xf numFmtId="49" fontId="15" fillId="0" borderId="0" xfId="0" applyNumberFormat="1" applyFont="1" applyAlignment="1">
      <alignment vertical="top" shrinkToFit="1"/>
    </xf>
    <xf numFmtId="0" fontId="19" fillId="4" borderId="2" xfId="0" applyFont="1" applyFill="1" applyBorder="1" applyAlignment="1">
      <alignment horizontal="center" vertical="center"/>
    </xf>
    <xf numFmtId="0" fontId="19" fillId="4" borderId="35" xfId="0" applyFont="1" applyFill="1" applyBorder="1" applyAlignment="1">
      <alignment horizontal="center" vertical="center"/>
    </xf>
    <xf numFmtId="181" fontId="19" fillId="4" borderId="36" xfId="0" applyNumberFormat="1" applyFont="1" applyFill="1" applyBorder="1" applyAlignment="1">
      <alignment horizontal="center" vertical="center"/>
    </xf>
    <xf numFmtId="183" fontId="19" fillId="0" borderId="23" xfId="0" applyNumberFormat="1" applyFont="1" applyBorder="1" applyAlignment="1">
      <alignment horizontal="center" vertical="center"/>
    </xf>
    <xf numFmtId="184" fontId="19" fillId="0" borderId="25" xfId="0" applyNumberFormat="1" applyFont="1" applyBorder="1" applyAlignment="1">
      <alignment horizontal="center" vertical="center"/>
    </xf>
    <xf numFmtId="182" fontId="19" fillId="0" borderId="23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81" fontId="19" fillId="0" borderId="25" xfId="0" applyNumberFormat="1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182" fontId="19" fillId="0" borderId="30" xfId="0" applyNumberFormat="1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181" fontId="19" fillId="0" borderId="26" xfId="0" applyNumberFormat="1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183" fontId="19" fillId="0" borderId="30" xfId="0" applyNumberFormat="1" applyFont="1" applyBorder="1" applyAlignment="1">
      <alignment horizontal="center" vertical="center"/>
    </xf>
    <xf numFmtId="184" fontId="19" fillId="0" borderId="26" xfId="0" applyNumberFormat="1" applyFont="1" applyBorder="1" applyAlignment="1">
      <alignment horizontal="center" vertical="center"/>
    </xf>
    <xf numFmtId="0" fontId="27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0" fontId="5" fillId="0" borderId="2" xfId="1" applyFont="1" applyBorder="1" applyAlignment="1">
      <alignment horizontal="center" vertical="center" shrinkToFit="1"/>
    </xf>
    <xf numFmtId="49" fontId="25" fillId="2" borderId="6" xfId="0" applyNumberFormat="1" applyFont="1" applyFill="1" applyBorder="1" applyAlignment="1">
      <alignment horizontal="center" vertical="center" shrinkToFit="1"/>
    </xf>
    <xf numFmtId="49" fontId="25" fillId="2" borderId="38" xfId="0" applyNumberFormat="1" applyFont="1" applyFill="1" applyBorder="1" applyAlignment="1">
      <alignment horizontal="center" vertical="center" shrinkToFit="1"/>
    </xf>
    <xf numFmtId="185" fontId="5" fillId="0" borderId="2" xfId="1" applyNumberFormat="1" applyFont="1" applyBorder="1" applyAlignment="1">
      <alignment horizontal="center" vertical="center" shrinkToFit="1"/>
    </xf>
    <xf numFmtId="187" fontId="28" fillId="0" borderId="25" xfId="0" applyNumberFormat="1" applyFont="1" applyBorder="1" applyAlignment="1">
      <alignment horizontal="left" vertical="center" shrinkToFit="1"/>
    </xf>
    <xf numFmtId="188" fontId="28" fillId="0" borderId="25" xfId="0" applyNumberFormat="1" applyFont="1" applyBorder="1" applyAlignment="1">
      <alignment horizontal="left" vertical="center" shrinkToFit="1"/>
    </xf>
    <xf numFmtId="189" fontId="28" fillId="0" borderId="25" xfId="0" applyNumberFormat="1" applyFont="1" applyBorder="1" applyAlignment="1">
      <alignment horizontal="left" vertical="center" shrinkToFit="1"/>
    </xf>
    <xf numFmtId="190" fontId="28" fillId="0" borderId="25" xfId="0" applyNumberFormat="1" applyFont="1" applyBorder="1" applyAlignment="1">
      <alignment horizontal="left" vertical="center" shrinkToFit="1"/>
    </xf>
    <xf numFmtId="191" fontId="28" fillId="0" borderId="25" xfId="0" applyNumberFormat="1" applyFont="1" applyBorder="1" applyAlignment="1">
      <alignment horizontal="left" vertical="center" shrinkToFit="1"/>
    </xf>
    <xf numFmtId="192" fontId="28" fillId="0" borderId="25" xfId="0" applyNumberFormat="1" applyFont="1" applyBorder="1" applyAlignment="1">
      <alignment horizontal="left" vertical="center" shrinkToFit="1"/>
    </xf>
    <xf numFmtId="0" fontId="25" fillId="2" borderId="41" xfId="0" applyFont="1" applyFill="1" applyBorder="1">
      <alignment vertical="center"/>
    </xf>
    <xf numFmtId="0" fontId="17" fillId="3" borderId="44" xfId="0" applyFont="1" applyFill="1" applyBorder="1" applyAlignment="1">
      <alignment horizontal="center" vertical="center"/>
    </xf>
    <xf numFmtId="0" fontId="17" fillId="3" borderId="45" xfId="0" applyFont="1" applyFill="1" applyBorder="1" applyAlignment="1">
      <alignment horizontal="center" vertical="center"/>
    </xf>
    <xf numFmtId="183" fontId="19" fillId="0" borderId="40" xfId="0" applyNumberFormat="1" applyFont="1" applyBorder="1" applyAlignment="1">
      <alignment horizontal="center" vertical="center"/>
    </xf>
    <xf numFmtId="184" fontId="19" fillId="0" borderId="39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194" fontId="28" fillId="0" borderId="26" xfId="0" applyNumberFormat="1" applyFont="1" applyBorder="1" applyAlignment="1">
      <alignment horizontal="left" vertical="center"/>
    </xf>
    <xf numFmtId="186" fontId="28" fillId="0" borderId="38" xfId="0" applyNumberFormat="1" applyFont="1" applyBorder="1" applyAlignment="1">
      <alignment horizontal="left" vertical="center" shrinkToFit="1"/>
    </xf>
    <xf numFmtId="49" fontId="6" fillId="4" borderId="34" xfId="1" applyNumberFormat="1" applyFont="1" applyFill="1" applyBorder="1" applyAlignment="1">
      <alignment horizontal="center" vertical="center" shrinkToFit="1"/>
    </xf>
    <xf numFmtId="179" fontId="28" fillId="0" borderId="23" xfId="0" applyNumberFormat="1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0" fontId="14" fillId="2" borderId="30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183" fontId="19" fillId="3" borderId="30" xfId="0" applyNumberFormat="1" applyFont="1" applyFill="1" applyBorder="1" applyAlignment="1">
      <alignment horizontal="center" vertical="center"/>
    </xf>
    <xf numFmtId="184" fontId="19" fillId="3" borderId="26" xfId="0" applyNumberFormat="1" applyFont="1" applyFill="1" applyBorder="1" applyAlignment="1">
      <alignment horizontal="center" vertical="center"/>
    </xf>
    <xf numFmtId="179" fontId="21" fillId="6" borderId="21" xfId="0" applyNumberFormat="1" applyFont="1" applyFill="1" applyBorder="1" applyAlignment="1">
      <alignment horizontal="left" vertical="center" shrinkToFit="1"/>
    </xf>
    <xf numFmtId="179" fontId="21" fillId="6" borderId="14" xfId="0" applyNumberFormat="1" applyFont="1" applyFill="1" applyBorder="1" applyAlignment="1">
      <alignment horizontal="left" vertical="center" shrinkToFit="1"/>
    </xf>
    <xf numFmtId="179" fontId="21" fillId="6" borderId="22" xfId="0" applyNumberFormat="1" applyFont="1" applyFill="1" applyBorder="1" applyAlignment="1">
      <alignment horizontal="left" vertical="center" shrinkToFit="1"/>
    </xf>
    <xf numFmtId="179" fontId="21" fillId="6" borderId="27" xfId="0" applyNumberFormat="1" applyFont="1" applyFill="1" applyBorder="1" applyAlignment="1">
      <alignment horizontal="left" vertical="center" shrinkToFit="1"/>
    </xf>
    <xf numFmtId="179" fontId="21" fillId="6" borderId="10" xfId="0" applyNumberFormat="1" applyFont="1" applyFill="1" applyBorder="1" applyAlignment="1">
      <alignment horizontal="left" vertical="center" shrinkToFit="1"/>
    </xf>
    <xf numFmtId="179" fontId="21" fillId="6" borderId="28" xfId="0" applyNumberFormat="1" applyFont="1" applyFill="1" applyBorder="1" applyAlignment="1">
      <alignment horizontal="left" vertical="center" shrinkToFit="1"/>
    </xf>
    <xf numFmtId="179" fontId="21" fillId="6" borderId="43" xfId="0" applyNumberFormat="1" applyFont="1" applyFill="1" applyBorder="1" applyAlignment="1">
      <alignment horizontal="left" vertical="center" shrinkToFit="1"/>
    </xf>
    <xf numFmtId="179" fontId="21" fillId="6" borderId="7" xfId="0" applyNumberFormat="1" applyFont="1" applyFill="1" applyBorder="1" applyAlignment="1">
      <alignment horizontal="left" vertical="center" shrinkToFit="1"/>
    </xf>
    <xf numFmtId="179" fontId="21" fillId="6" borderId="33" xfId="0" applyNumberFormat="1" applyFont="1" applyFill="1" applyBorder="1" applyAlignment="1">
      <alignment horizontal="left" vertical="center" shrinkToFit="1"/>
    </xf>
    <xf numFmtId="49" fontId="6" fillId="4" borderId="17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179" fontId="21" fillId="6" borderId="15" xfId="0" applyNumberFormat="1" applyFont="1" applyFill="1" applyBorder="1" applyAlignment="1">
      <alignment horizontal="left" vertical="center" shrinkToFit="1"/>
    </xf>
    <xf numFmtId="179" fontId="21" fillId="6" borderId="12" xfId="0" applyNumberFormat="1" applyFont="1" applyFill="1" applyBorder="1" applyAlignment="1">
      <alignment horizontal="left" vertical="center" shrinkToFit="1"/>
    </xf>
    <xf numFmtId="193" fontId="5" fillId="0" borderId="39" xfId="1" applyNumberFormat="1" applyFont="1" applyBorder="1" applyAlignment="1">
      <alignment horizontal="center" vertical="center" shrinkToFit="1"/>
    </xf>
    <xf numFmtId="193" fontId="5" fillId="0" borderId="38" xfId="1" applyNumberFormat="1" applyFont="1" applyBorder="1" applyAlignment="1">
      <alignment horizontal="center" vertical="center" shrinkToFit="1"/>
    </xf>
    <xf numFmtId="0" fontId="19" fillId="3" borderId="1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/>
    </xf>
    <xf numFmtId="49" fontId="12" fillId="0" borderId="0" xfId="1" applyNumberFormat="1" applyFont="1" applyAlignment="1">
      <alignment horizontal="right" vertical="center" shrinkToFit="1"/>
    </xf>
    <xf numFmtId="49" fontId="1" fillId="0" borderId="0" xfId="1" applyNumberFormat="1" applyAlignment="1">
      <alignment vertical="center" shrinkToFit="1"/>
    </xf>
    <xf numFmtId="0" fontId="12" fillId="0" borderId="0" xfId="0" applyFont="1">
      <alignment vertical="center"/>
    </xf>
    <xf numFmtId="49" fontId="12" fillId="0" borderId="10" xfId="1" applyNumberFormat="1" applyFont="1" applyBorder="1" applyAlignment="1">
      <alignment vertical="center" shrinkToFit="1"/>
    </xf>
    <xf numFmtId="0" fontId="0" fillId="0" borderId="10" xfId="0" applyBorder="1" applyAlignment="1"/>
    <xf numFmtId="177" fontId="12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0" fontId="14" fillId="2" borderId="1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4" fillId="2" borderId="40" xfId="0" applyFont="1" applyFill="1" applyBorder="1" applyAlignment="1">
      <alignment horizontal="center" vertical="center"/>
    </xf>
    <xf numFmtId="0" fontId="14" fillId="2" borderId="42" xfId="0" applyFont="1" applyFill="1" applyBorder="1" applyAlignment="1">
      <alignment horizontal="center" vertical="center"/>
    </xf>
    <xf numFmtId="181" fontId="21" fillId="0" borderId="3" xfId="0" applyNumberFormat="1" applyFont="1" applyBorder="1" applyAlignment="1">
      <alignment horizontal="center" vertical="center"/>
    </xf>
    <xf numFmtId="181" fontId="21" fillId="0" borderId="31" xfId="0" applyNumberFormat="1" applyFont="1" applyBorder="1" applyAlignment="1">
      <alignment horizontal="center" vertical="center"/>
    </xf>
    <xf numFmtId="49" fontId="24" fillId="2" borderId="29" xfId="1" applyNumberFormat="1" applyFont="1" applyFill="1" applyBorder="1" applyAlignment="1">
      <alignment horizontal="center" vertical="center" shrinkToFit="1"/>
    </xf>
    <xf numFmtId="49" fontId="24" fillId="2" borderId="32" xfId="1" applyNumberFormat="1" applyFont="1" applyFill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49" fontId="11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2" xfId="0" applyBorder="1" applyAlignment="1"/>
    <xf numFmtId="0" fontId="16" fillId="0" borderId="21" xfId="1" applyFont="1" applyBorder="1" applyAlignment="1">
      <alignment horizontal="left" vertical="center" shrinkToFit="1"/>
    </xf>
    <xf numFmtId="0" fontId="16" fillId="0" borderId="14" xfId="1" applyFont="1" applyBorder="1" applyAlignment="1">
      <alignment horizontal="left" vertical="center" shrinkToFit="1"/>
    </xf>
    <xf numFmtId="0" fontId="16" fillId="0" borderId="22" xfId="1" applyFont="1" applyBorder="1" applyAlignment="1">
      <alignment horizontal="left" vertical="center" shrinkToFit="1"/>
    </xf>
    <xf numFmtId="0" fontId="16" fillId="0" borderId="27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0" fontId="16" fillId="0" borderId="28" xfId="1" applyFont="1" applyBorder="1" applyAlignment="1">
      <alignment horizontal="left" vertical="center" shrinkToFit="1"/>
    </xf>
    <xf numFmtId="0" fontId="14" fillId="2" borderId="41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49" fontId="14" fillId="2" borderId="29" xfId="1" applyNumberFormat="1" applyFont="1" applyFill="1" applyBorder="1" applyAlignment="1">
      <alignment horizontal="center" vertical="center" shrinkToFit="1"/>
    </xf>
    <xf numFmtId="49" fontId="14" fillId="2" borderId="16" xfId="1" applyNumberFormat="1" applyFont="1" applyFill="1" applyBorder="1" applyAlignment="1">
      <alignment horizontal="center" vertical="center" shrinkToFit="1"/>
    </xf>
    <xf numFmtId="0" fontId="22" fillId="0" borderId="22" xfId="1" applyFont="1" applyBorder="1" applyAlignment="1">
      <alignment horizontal="center" vertical="center" shrinkToFit="1"/>
    </xf>
    <xf numFmtId="0" fontId="22" fillId="0" borderId="28" xfId="1" applyFont="1" applyBorder="1" applyAlignment="1">
      <alignment horizontal="center" vertical="center" shrinkToFit="1"/>
    </xf>
    <xf numFmtId="49" fontId="14" fillId="2" borderId="40" xfId="1" applyNumberFormat="1" applyFont="1" applyFill="1" applyBorder="1" applyAlignment="1">
      <alignment horizontal="center" vertical="center" shrinkToFit="1"/>
    </xf>
    <xf numFmtId="49" fontId="14" fillId="2" borderId="41" xfId="1" applyNumberFormat="1" applyFont="1" applyFill="1" applyBorder="1" applyAlignment="1">
      <alignment horizontal="center" vertical="center" shrinkToFit="1"/>
    </xf>
    <xf numFmtId="180" fontId="21" fillId="0" borderId="3" xfId="0" applyNumberFormat="1" applyFont="1" applyBorder="1" applyAlignment="1">
      <alignment horizontal="center" vertical="center"/>
    </xf>
    <xf numFmtId="180" fontId="21" fillId="0" borderId="6" xfId="0" applyNumberFormat="1" applyFont="1" applyBorder="1" applyAlignment="1">
      <alignment horizontal="center" vertical="center"/>
    </xf>
    <xf numFmtId="49" fontId="24" fillId="2" borderId="29" xfId="0" applyNumberFormat="1" applyFont="1" applyFill="1" applyBorder="1" applyAlignment="1">
      <alignment horizontal="center" vertical="center"/>
    </xf>
    <xf numFmtId="49" fontId="24" fillId="2" borderId="16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49" fontId="1" fillId="0" borderId="0" xfId="1" applyNumberFormat="1" applyAlignment="1">
      <alignment horizontal="left"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0" fontId="1" fillId="0" borderId="0" xfId="0" applyFont="1">
      <alignment vertical="center"/>
    </xf>
    <xf numFmtId="49" fontId="4" fillId="0" borderId="0" xfId="1" applyNumberFormat="1" applyFont="1" applyAlignment="1">
      <alignment horizontal="left"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49" fontId="11" fillId="0" borderId="11" xfId="1" applyNumberFormat="1" applyFont="1" applyBorder="1" applyAlignment="1">
      <alignment horizontal="center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8" xfId="1" applyNumberFormat="1" applyFont="1" applyBorder="1" applyAlignment="1">
      <alignment horizontal="right" vertical="center" shrinkToFit="1"/>
    </xf>
    <xf numFmtId="49" fontId="11" fillId="0" borderId="4" xfId="1" applyNumberFormat="1" applyFont="1" applyBorder="1" applyAlignment="1">
      <alignment horizontal="left" vertical="center" shrinkToFit="1"/>
    </xf>
    <xf numFmtId="49" fontId="7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11" fillId="0" borderId="6" xfId="1" applyNumberFormat="1" applyFont="1" applyBorder="1" applyAlignment="1">
      <alignment vertical="center" shrinkToFit="1"/>
    </xf>
    <xf numFmtId="49" fontId="10" fillId="0" borderId="4" xfId="1" applyNumberFormat="1" applyFont="1" applyBorder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177" fontId="10" fillId="0" borderId="0" xfId="1" applyNumberFormat="1" applyFont="1" applyAlignment="1">
      <alignment vertical="center" shrinkToFit="1"/>
    </xf>
    <xf numFmtId="0" fontId="19" fillId="3" borderId="19" xfId="0" applyFont="1" applyFill="1" applyBorder="1" applyAlignment="1">
      <alignment horizontal="center" vertical="center"/>
    </xf>
    <xf numFmtId="0" fontId="19" fillId="3" borderId="20" xfId="0" applyFont="1" applyFill="1" applyBorder="1" applyAlignment="1">
      <alignment horizontal="center" vertical="center"/>
    </xf>
    <xf numFmtId="0" fontId="19" fillId="3" borderId="34" xfId="0" applyFont="1" applyFill="1" applyBorder="1" applyAlignment="1">
      <alignment horizontal="center" vertical="center"/>
    </xf>
    <xf numFmtId="179" fontId="21" fillId="6" borderId="23" xfId="0" applyNumberFormat="1" applyFont="1" applyFill="1" applyBorder="1" applyAlignment="1">
      <alignment horizontal="left" vertical="center" shrinkToFit="1"/>
    </xf>
    <xf numFmtId="179" fontId="21" fillId="6" borderId="2" xfId="0" applyNumberFormat="1" applyFont="1" applyFill="1" applyBorder="1" applyAlignment="1">
      <alignment horizontal="left" vertical="center" shrinkToFit="1"/>
    </xf>
    <xf numFmtId="195" fontId="29" fillId="0" borderId="25" xfId="1" applyNumberFormat="1" applyFont="1" applyBorder="1" applyAlignment="1">
      <alignment horizontal="center" vertical="center" shrinkToFit="1"/>
    </xf>
    <xf numFmtId="179" fontId="28" fillId="0" borderId="46" xfId="0" applyNumberFormat="1" applyFont="1" applyBorder="1" applyAlignment="1">
      <alignment horizontal="left" vertical="center"/>
    </xf>
    <xf numFmtId="182" fontId="5" fillId="0" borderId="2" xfId="1" applyNumberFormat="1" applyFont="1" applyBorder="1" applyAlignment="1">
      <alignment horizontal="center" vertical="center" shrinkToFit="1"/>
    </xf>
    <xf numFmtId="0" fontId="22" fillId="0" borderId="14" xfId="1" applyFont="1" applyBorder="1" applyAlignment="1">
      <alignment horizontal="center" vertical="center" shrinkToFit="1"/>
    </xf>
    <xf numFmtId="179" fontId="21" fillId="6" borderId="25" xfId="0" applyNumberFormat="1" applyFont="1" applyFill="1" applyBorder="1" applyAlignment="1">
      <alignment horizontal="left" vertical="center" shrinkToFit="1"/>
    </xf>
    <xf numFmtId="0" fontId="28" fillId="0" borderId="46" xfId="0" applyFont="1" applyBorder="1" applyAlignment="1">
      <alignment horizontal="left" vertical="center" wrapText="1"/>
    </xf>
    <xf numFmtId="0" fontId="22" fillId="0" borderId="10" xfId="1" applyFont="1" applyBorder="1" applyAlignment="1">
      <alignment horizontal="center" vertical="center" shrinkToFit="1"/>
    </xf>
    <xf numFmtId="0" fontId="21" fillId="0" borderId="14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179" fontId="21" fillId="6" borderId="30" xfId="0" applyNumberFormat="1" applyFont="1" applyFill="1" applyBorder="1" applyAlignment="1">
      <alignment horizontal="left" vertical="center" shrinkToFit="1"/>
    </xf>
    <xf numFmtId="179" fontId="21" fillId="6" borderId="24" xfId="0" applyNumberFormat="1" applyFont="1" applyFill="1" applyBorder="1" applyAlignment="1">
      <alignment horizontal="left" vertical="center" shrinkToFit="1"/>
    </xf>
    <xf numFmtId="179" fontId="21" fillId="6" borderId="26" xfId="0" applyNumberFormat="1" applyFont="1" applyFill="1" applyBorder="1" applyAlignment="1">
      <alignment horizontal="left" vertical="center" shrinkToFit="1"/>
    </xf>
    <xf numFmtId="0" fontId="28" fillId="0" borderId="47" xfId="0" applyFont="1" applyBorder="1" applyAlignment="1">
      <alignment horizontal="left" vertical="center" wrapText="1"/>
    </xf>
    <xf numFmtId="194" fontId="28" fillId="0" borderId="26" xfId="0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10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142875</xdr:colOff>
      <xdr:row>3</xdr:row>
      <xdr:rowOff>95250</xdr:rowOff>
    </xdr:from>
    <xdr:to>
      <xdr:col>9</xdr:col>
      <xdr:colOff>628650</xdr:colOff>
      <xdr:row>5</xdr:row>
      <xdr:rowOff>180975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D4BE47B-0610-491A-AC74-696EC2F98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0" y="63817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171451</xdr:colOff>
      <xdr:row>60</xdr:row>
      <xdr:rowOff>85726</xdr:rowOff>
    </xdr:from>
    <xdr:to>
      <xdr:col>9</xdr:col>
      <xdr:colOff>666751</xdr:colOff>
      <xdr:row>62</xdr:row>
      <xdr:rowOff>180976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531B34C-E498-8ADA-7C74-537CE79C0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6" y="13858876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117</xdr:row>
      <xdr:rowOff>57150</xdr:rowOff>
    </xdr:from>
    <xdr:to>
      <xdr:col>9</xdr:col>
      <xdr:colOff>638175</xdr:colOff>
      <xdr:row>119</xdr:row>
      <xdr:rowOff>152400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4152415-A835-4B4F-B82C-E53D9195E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0" y="270605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174</xdr:row>
      <xdr:rowOff>85725</xdr:rowOff>
    </xdr:from>
    <xdr:to>
      <xdr:col>9</xdr:col>
      <xdr:colOff>647700</xdr:colOff>
      <xdr:row>176</xdr:row>
      <xdr:rowOff>180975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9216E57-A892-4302-8B3F-CC039C0C7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7275" y="403193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171451</xdr:colOff>
      <xdr:row>174</xdr:row>
      <xdr:rowOff>85726</xdr:rowOff>
    </xdr:from>
    <xdr:to>
      <xdr:col>8</xdr:col>
      <xdr:colOff>666751</xdr:colOff>
      <xdr:row>176</xdr:row>
      <xdr:rowOff>180976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453AF18-0474-97ED-DC09-769C64038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1" y="40319326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117</xdr:row>
      <xdr:rowOff>57150</xdr:rowOff>
    </xdr:from>
    <xdr:to>
      <xdr:col>8</xdr:col>
      <xdr:colOff>666750</xdr:colOff>
      <xdr:row>119</xdr:row>
      <xdr:rowOff>152400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DA27330-138E-425F-AC93-3CE9ADF88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0" y="270605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60</xdr:row>
      <xdr:rowOff>95250</xdr:rowOff>
    </xdr:from>
    <xdr:to>
      <xdr:col>8</xdr:col>
      <xdr:colOff>638175</xdr:colOff>
      <xdr:row>62</xdr:row>
      <xdr:rowOff>190500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B6423F96-90D9-434D-B1DE-1B38C42A5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13868400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3</xdr:row>
      <xdr:rowOff>85725</xdr:rowOff>
    </xdr:from>
    <xdr:to>
      <xdr:col>8</xdr:col>
      <xdr:colOff>619125</xdr:colOff>
      <xdr:row>5</xdr:row>
      <xdr:rowOff>180975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19101B2-30A2-4791-B0D1-DAC218305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9075" y="628650"/>
          <a:ext cx="4953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658;&#37096;&#24037;&#26989;&#65293;&#65328;&#65315;\Desktop\sgt.xlsm" TargetMode="External"/><Relationship Id="rId1" Type="http://schemas.openxmlformats.org/officeDocument/2006/relationships/externalLinkPath" Target="/Users/&#40658;&#37096;&#24037;&#26989;&#65293;&#65328;&#65315;/Desktop/sg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M"/>
      <sheetName val="加工記録表"/>
      <sheetName val="納品明細書"/>
      <sheetName val="請求"/>
      <sheetName val="依頼書保管"/>
      <sheetName val="指図書"/>
      <sheetName val="VFDB2"/>
      <sheetName val="温度換算"/>
      <sheetName val="網戸日程"/>
    </sheetNames>
    <sheetDataSet>
      <sheetData sheetId="0"/>
      <sheetData sheetId="1"/>
      <sheetData sheetId="2">
        <row r="3">
          <cell r="B3" t="str">
            <v>00754613</v>
          </cell>
          <cell r="C3" t="str">
            <v>灯具カバーPC IN 2050　L=1183.5</v>
          </cell>
          <cell r="D3">
            <v>45734</v>
          </cell>
          <cell r="E3" t="str">
            <v>25C11-01</v>
          </cell>
          <cell r="I3" t="str">
            <v>25C11-01</v>
          </cell>
          <cell r="J3">
            <v>3</v>
          </cell>
          <cell r="K3">
            <v>3</v>
          </cell>
          <cell r="O3">
            <v>45811</v>
          </cell>
          <cell r="P3">
            <v>8</v>
          </cell>
          <cell r="T3" t="str">
            <v>000000000003340</v>
          </cell>
        </row>
        <row r="4">
          <cell r="D4">
            <v>45807</v>
          </cell>
          <cell r="E4" t="str">
            <v>25E17-01</v>
          </cell>
          <cell r="G4" t="str">
            <v/>
          </cell>
          <cell r="I4" t="str">
            <v>25E17-01</v>
          </cell>
          <cell r="J4">
            <v>200</v>
          </cell>
          <cell r="K4">
            <v>200</v>
          </cell>
          <cell r="L4">
            <v>45807</v>
          </cell>
          <cell r="M4">
            <v>7</v>
          </cell>
          <cell r="O4">
            <v>288</v>
          </cell>
          <cell r="P4">
            <v>87</v>
          </cell>
          <cell r="T4" t="str">
            <v>000000000003340</v>
          </cell>
        </row>
        <row r="5">
          <cell r="B5" t="str">
            <v>+公差</v>
          </cell>
          <cell r="C5">
            <v>288</v>
          </cell>
          <cell r="D5">
            <v>45810</v>
          </cell>
          <cell r="E5" t="str">
            <v>25E20-02</v>
          </cell>
          <cell r="G5" t="str">
            <v/>
          </cell>
          <cell r="I5" t="str">
            <v>25E20-02</v>
          </cell>
          <cell r="J5">
            <v>187</v>
          </cell>
          <cell r="K5">
            <v>187</v>
          </cell>
          <cell r="L5">
            <v>45810</v>
          </cell>
          <cell r="M5">
            <v>8</v>
          </cell>
          <cell r="O5">
            <v>393</v>
          </cell>
          <cell r="P5">
            <v>7</v>
          </cell>
          <cell r="T5" t="str">
            <v>000000000003340</v>
          </cell>
        </row>
        <row r="6">
          <cell r="D6">
            <v>45811</v>
          </cell>
          <cell r="E6" t="str">
            <v>25E20-02</v>
          </cell>
          <cell r="G6" t="str">
            <v/>
          </cell>
          <cell r="J6" t="str">
            <v/>
          </cell>
          <cell r="L6">
            <v>45811</v>
          </cell>
          <cell r="M6">
            <v>3</v>
          </cell>
          <cell r="O6">
            <v>105</v>
          </cell>
          <cell r="T6" t="str">
            <v>000000000003340</v>
          </cell>
        </row>
        <row r="7">
          <cell r="B7" t="str">
            <v>+2</v>
          </cell>
          <cell r="C7">
            <v>1</v>
          </cell>
          <cell r="G7" t="str">
            <v/>
          </cell>
          <cell r="J7" t="str">
            <v/>
          </cell>
          <cell r="O7">
            <v>105</v>
          </cell>
          <cell r="P7">
            <v>1</v>
          </cell>
          <cell r="T7" t="str">
            <v>000000000003340</v>
          </cell>
        </row>
        <row r="8">
          <cell r="B8" t="str">
            <v>使用数</v>
          </cell>
          <cell r="C8" t="str">
            <v>灯具-1　L=1370</v>
          </cell>
          <cell r="G8" t="str">
            <v/>
          </cell>
          <cell r="J8" t="str">
            <v/>
          </cell>
          <cell r="P8">
            <v>1</v>
          </cell>
          <cell r="T8" t="str">
            <v>000000000003340</v>
          </cell>
        </row>
        <row r="9">
          <cell r="B9">
            <v>18</v>
          </cell>
          <cell r="C9">
            <v>18</v>
          </cell>
          <cell r="G9" t="str">
            <v/>
          </cell>
          <cell r="J9" t="str">
            <v/>
          </cell>
          <cell r="O9" t="str">
            <v>水野</v>
          </cell>
          <cell r="P9">
            <v>1</v>
          </cell>
          <cell r="T9" t="str">
            <v>000000000003340</v>
          </cell>
        </row>
        <row r="10">
          <cell r="G10" t="str">
            <v/>
          </cell>
          <cell r="J10" t="str">
            <v/>
          </cell>
          <cell r="P10">
            <v>105</v>
          </cell>
          <cell r="T10" t="str">
            <v>000000000003340</v>
          </cell>
        </row>
        <row r="11">
          <cell r="B11" t="str">
            <v>00754612</v>
          </cell>
          <cell r="C11" t="str">
            <v>灯具カバーPC IN 2130　L=908</v>
          </cell>
          <cell r="D11">
            <v>45768</v>
          </cell>
          <cell r="E11" t="str">
            <v>25D10-01</v>
          </cell>
          <cell r="I11" t="str">
            <v>25D10-01</v>
          </cell>
          <cell r="J11">
            <v>3</v>
          </cell>
          <cell r="K11">
            <v>3</v>
          </cell>
          <cell r="L11">
            <v>45806</v>
          </cell>
          <cell r="M11">
            <v>2</v>
          </cell>
          <cell r="O11">
            <v>45807</v>
          </cell>
          <cell r="P11">
            <v>7</v>
          </cell>
          <cell r="T11" t="str">
            <v>000000000003339</v>
          </cell>
        </row>
        <row r="12">
          <cell r="D12">
            <v>45806</v>
          </cell>
          <cell r="E12" t="str">
            <v>25E17-01</v>
          </cell>
          <cell r="G12" t="str">
            <v/>
          </cell>
          <cell r="I12" t="str">
            <v>25E17-01</v>
          </cell>
          <cell r="J12">
            <v>200</v>
          </cell>
          <cell r="K12">
            <v>200</v>
          </cell>
          <cell r="L12">
            <v>45807</v>
          </cell>
          <cell r="M12">
            <v>9</v>
          </cell>
          <cell r="O12">
            <v>176</v>
          </cell>
          <cell r="P12">
            <v>19</v>
          </cell>
          <cell r="T12" t="str">
            <v>000000000003339</v>
          </cell>
        </row>
        <row r="13">
          <cell r="B13" t="str">
            <v>+公差</v>
          </cell>
          <cell r="C13">
            <v>176</v>
          </cell>
          <cell r="G13" t="str">
            <v/>
          </cell>
          <cell r="J13" t="str">
            <v/>
          </cell>
          <cell r="O13">
            <v>203</v>
          </cell>
          <cell r="T13" t="str">
            <v>000000000003339</v>
          </cell>
        </row>
        <row r="14">
          <cell r="G14" t="str">
            <v/>
          </cell>
          <cell r="J14" t="str">
            <v/>
          </cell>
          <cell r="O14">
            <v>27</v>
          </cell>
          <cell r="P14">
            <v>1</v>
          </cell>
          <cell r="T14" t="str">
            <v>000000000003339</v>
          </cell>
        </row>
        <row r="15">
          <cell r="B15" t="str">
            <v>+2</v>
          </cell>
          <cell r="C15">
            <v>1</v>
          </cell>
          <cell r="G15" t="str">
            <v/>
          </cell>
          <cell r="J15" t="str">
            <v/>
          </cell>
          <cell r="O15">
            <v>27</v>
          </cell>
          <cell r="T15" t="str">
            <v>000000000003339</v>
          </cell>
        </row>
        <row r="16">
          <cell r="B16" t="str">
            <v>使用数</v>
          </cell>
          <cell r="C16" t="str">
            <v>灯具-1　L=1370</v>
          </cell>
          <cell r="G16" t="str">
            <v/>
          </cell>
          <cell r="J16" t="str">
            <v/>
          </cell>
          <cell r="T16" t="str">
            <v>000000000003339</v>
          </cell>
        </row>
        <row r="17">
          <cell r="B17">
            <v>11</v>
          </cell>
          <cell r="C17">
            <v>11</v>
          </cell>
          <cell r="G17" t="str">
            <v/>
          </cell>
          <cell r="J17" t="str">
            <v/>
          </cell>
          <cell r="O17" t="str">
            <v>水野</v>
          </cell>
          <cell r="T17" t="str">
            <v>000000000003339</v>
          </cell>
        </row>
        <row r="18">
          <cell r="G18" t="str">
            <v/>
          </cell>
          <cell r="J18" t="str">
            <v/>
          </cell>
          <cell r="P18">
            <v>27</v>
          </cell>
          <cell r="T18" t="str">
            <v>000000000003339</v>
          </cell>
        </row>
        <row r="19">
          <cell r="B19" t="str">
            <v>00758074</v>
          </cell>
          <cell r="C19" t="str">
            <v>灯具カバーPC　L=669</v>
          </cell>
          <cell r="I19" t="str">
            <v>25D10-01</v>
          </cell>
          <cell r="J19" t="str">
            <v/>
          </cell>
          <cell r="K19">
            <v>0</v>
          </cell>
          <cell r="L19">
            <v>45806</v>
          </cell>
          <cell r="M19">
            <v>5</v>
          </cell>
          <cell r="O19">
            <v>45806</v>
          </cell>
          <cell r="T19" t="str">
            <v>Z002</v>
          </cell>
        </row>
        <row r="20">
          <cell r="D20">
            <v>45806</v>
          </cell>
          <cell r="E20" t="str">
            <v>25D10-01</v>
          </cell>
          <cell r="F20">
            <v>22</v>
          </cell>
          <cell r="G20" t="str">
            <v/>
          </cell>
          <cell r="H20">
            <v>670.15</v>
          </cell>
          <cell r="J20" t="str">
            <v/>
          </cell>
          <cell r="O20">
            <v>10</v>
          </cell>
          <cell r="T20" t="str">
            <v>Z002</v>
          </cell>
        </row>
        <row r="21">
          <cell r="B21" t="str">
            <v>+公差</v>
          </cell>
          <cell r="C21">
            <v>10</v>
          </cell>
          <cell r="D21">
            <v>45806</v>
          </cell>
          <cell r="E21" t="str">
            <v>25D10-01</v>
          </cell>
          <cell r="F21">
            <v>22</v>
          </cell>
          <cell r="G21" t="str">
            <v/>
          </cell>
          <cell r="H21">
            <v>670.2</v>
          </cell>
          <cell r="J21" t="str">
            <v/>
          </cell>
          <cell r="O21">
            <v>10</v>
          </cell>
          <cell r="T21" t="str">
            <v>Z002</v>
          </cell>
        </row>
        <row r="22">
          <cell r="G22" t="str">
            <v/>
          </cell>
          <cell r="J22" t="str">
            <v/>
          </cell>
          <cell r="O22">
            <v>0</v>
          </cell>
          <cell r="T22" t="str">
            <v>Z002</v>
          </cell>
        </row>
        <row r="23">
          <cell r="B23" t="str">
            <v>+2</v>
          </cell>
          <cell r="C23">
            <v>1</v>
          </cell>
          <cell r="G23" t="str">
            <v/>
          </cell>
          <cell r="J23" t="str">
            <v/>
          </cell>
          <cell r="O23">
            <v>0</v>
          </cell>
          <cell r="T23" t="str">
            <v>Z002</v>
          </cell>
        </row>
        <row r="24">
          <cell r="B24" t="str">
            <v>使用数</v>
          </cell>
          <cell r="G24" t="str">
            <v/>
          </cell>
          <cell r="J24" t="str">
            <v/>
          </cell>
          <cell r="T24" t="str">
            <v>Z002</v>
          </cell>
        </row>
        <row r="25">
          <cell r="B25">
            <v>5</v>
          </cell>
          <cell r="C25">
            <v>5</v>
          </cell>
          <cell r="G25" t="str">
            <v/>
          </cell>
          <cell r="J25" t="str">
            <v/>
          </cell>
          <cell r="O25" t="str">
            <v>水野</v>
          </cell>
          <cell r="T25" t="str">
            <v>Z002</v>
          </cell>
        </row>
        <row r="26">
          <cell r="G26" t="str">
            <v/>
          </cell>
          <cell r="J26" t="str">
            <v/>
          </cell>
          <cell r="P26">
            <v>0</v>
          </cell>
          <cell r="T26" t="str">
            <v>Z002</v>
          </cell>
        </row>
        <row r="27">
          <cell r="B27" t="str">
            <v>00758073</v>
          </cell>
          <cell r="C27" t="str">
            <v>灯具カバーPC　L=503</v>
          </cell>
          <cell r="I27" t="str">
            <v>25D11-01</v>
          </cell>
          <cell r="J27" t="str">
            <v/>
          </cell>
          <cell r="K27">
            <v>0</v>
          </cell>
          <cell r="L27">
            <v>45806</v>
          </cell>
          <cell r="M27">
            <v>5</v>
          </cell>
          <cell r="O27">
            <v>45806</v>
          </cell>
          <cell r="T27" t="str">
            <v>Z001</v>
          </cell>
        </row>
        <row r="28">
          <cell r="D28">
            <v>45806</v>
          </cell>
          <cell r="E28" t="str">
            <v>25D11-01</v>
          </cell>
          <cell r="F28">
            <v>22</v>
          </cell>
          <cell r="G28" t="str">
            <v/>
          </cell>
          <cell r="H28">
            <v>503.7</v>
          </cell>
          <cell r="J28" t="str">
            <v/>
          </cell>
          <cell r="O28">
            <v>10</v>
          </cell>
          <cell r="T28" t="str">
            <v>Z001</v>
          </cell>
        </row>
        <row r="29">
          <cell r="B29" t="str">
            <v>+公差</v>
          </cell>
          <cell r="C29">
            <v>10</v>
          </cell>
          <cell r="D29">
            <v>45806</v>
          </cell>
          <cell r="E29" t="str">
            <v>25D11-01</v>
          </cell>
          <cell r="F29">
            <v>22</v>
          </cell>
          <cell r="G29" t="str">
            <v/>
          </cell>
          <cell r="H29">
            <v>503.7</v>
          </cell>
          <cell r="J29" t="str">
            <v/>
          </cell>
          <cell r="O29">
            <v>10</v>
          </cell>
          <cell r="T29" t="str">
            <v>Z001</v>
          </cell>
        </row>
        <row r="30">
          <cell r="G30" t="str">
            <v/>
          </cell>
          <cell r="J30" t="str">
            <v/>
          </cell>
          <cell r="O30">
            <v>0</v>
          </cell>
          <cell r="T30" t="str">
            <v>Z001</v>
          </cell>
        </row>
        <row r="31">
          <cell r="B31" t="str">
            <v>+2</v>
          </cell>
          <cell r="C31">
            <v>1</v>
          </cell>
          <cell r="G31" t="str">
            <v/>
          </cell>
          <cell r="J31" t="str">
            <v/>
          </cell>
          <cell r="O31">
            <v>0</v>
          </cell>
          <cell r="T31" t="str">
            <v>Z001</v>
          </cell>
        </row>
        <row r="32">
          <cell r="B32" t="str">
            <v>使用数</v>
          </cell>
          <cell r="G32" t="str">
            <v/>
          </cell>
          <cell r="J32" t="str">
            <v/>
          </cell>
          <cell r="T32" t="str">
            <v>Z001</v>
          </cell>
        </row>
        <row r="33">
          <cell r="B33">
            <v>5</v>
          </cell>
          <cell r="C33">
            <v>5</v>
          </cell>
          <cell r="G33" t="str">
            <v/>
          </cell>
          <cell r="J33" t="str">
            <v/>
          </cell>
          <cell r="O33" t="str">
            <v>水野</v>
          </cell>
          <cell r="T33" t="str">
            <v>Z001</v>
          </cell>
        </row>
        <row r="34">
          <cell r="G34" t="str">
            <v/>
          </cell>
          <cell r="J34" t="str">
            <v/>
          </cell>
          <cell r="P34">
            <v>0</v>
          </cell>
          <cell r="T34" t="str">
            <v>Z001</v>
          </cell>
        </row>
        <row r="35">
          <cell r="B35" t="str">
            <v>00757225</v>
          </cell>
          <cell r="C35" t="str">
            <v>001EGAW　715</v>
          </cell>
          <cell r="I35" t="str">
            <v>25A17B</v>
          </cell>
          <cell r="J35">
            <v>200</v>
          </cell>
          <cell r="K35">
            <v>100</v>
          </cell>
          <cell r="L35">
            <v>45810</v>
          </cell>
          <cell r="M35">
            <v>2</v>
          </cell>
          <cell r="O35">
            <v>45810</v>
          </cell>
          <cell r="T35" t="str">
            <v>000000000003627</v>
          </cell>
        </row>
        <row r="36">
          <cell r="D36">
            <v>45810</v>
          </cell>
          <cell r="E36" t="str">
            <v>25A17B</v>
          </cell>
          <cell r="G36">
            <v>714.5</v>
          </cell>
          <cell r="H36">
            <v>715.39</v>
          </cell>
          <cell r="I36" t="str">
            <v>25E26C</v>
          </cell>
          <cell r="J36">
            <v>200</v>
          </cell>
          <cell r="K36">
            <v>100</v>
          </cell>
          <cell r="O36">
            <v>400</v>
          </cell>
          <cell r="T36" t="str">
            <v>000000000003627</v>
          </cell>
        </row>
        <row r="37">
          <cell r="B37" t="str">
            <v>+公差</v>
          </cell>
          <cell r="C37">
            <v>400</v>
          </cell>
          <cell r="D37">
            <v>45810</v>
          </cell>
          <cell r="E37" t="str">
            <v>25E26C</v>
          </cell>
          <cell r="G37">
            <v>714.5</v>
          </cell>
          <cell r="H37">
            <v>715.21</v>
          </cell>
          <cell r="J37" t="str">
            <v/>
          </cell>
          <cell r="O37">
            <v>200</v>
          </cell>
          <cell r="T37" t="str">
            <v>000000000003627</v>
          </cell>
        </row>
        <row r="38">
          <cell r="G38">
            <v>714.5</v>
          </cell>
          <cell r="J38" t="str">
            <v/>
          </cell>
          <cell r="O38">
            <v>0</v>
          </cell>
          <cell r="T38" t="str">
            <v>000000000003627</v>
          </cell>
        </row>
        <row r="39">
          <cell r="B39" t="str">
            <v>+0.5</v>
          </cell>
          <cell r="C39">
            <v>2</v>
          </cell>
          <cell r="G39">
            <v>714.5</v>
          </cell>
          <cell r="J39" t="str">
            <v/>
          </cell>
          <cell r="O39">
            <v>0</v>
          </cell>
          <cell r="T39" t="str">
            <v>000000000003627</v>
          </cell>
        </row>
        <row r="40">
          <cell r="B40" t="str">
            <v>使用数</v>
          </cell>
          <cell r="C40" t="str">
            <v>S-40</v>
          </cell>
          <cell r="G40">
            <v>714.5</v>
          </cell>
          <cell r="J40" t="str">
            <v/>
          </cell>
          <cell r="T40" t="str">
            <v>000000000003627</v>
          </cell>
        </row>
        <row r="41">
          <cell r="B41">
            <v>2</v>
          </cell>
          <cell r="C41">
            <v>2</v>
          </cell>
          <cell r="G41">
            <v>714.5</v>
          </cell>
          <cell r="J41" t="str">
            <v/>
          </cell>
          <cell r="O41" t="str">
            <v>水野</v>
          </cell>
          <cell r="T41" t="str">
            <v>000000000003627</v>
          </cell>
        </row>
        <row r="42">
          <cell r="G42">
            <v>714.5</v>
          </cell>
          <cell r="J42" t="str">
            <v/>
          </cell>
          <cell r="P42">
            <v>0</v>
          </cell>
          <cell r="T42" t="str">
            <v>000000000003627</v>
          </cell>
        </row>
        <row r="43">
          <cell r="B43" t="str">
            <v>00757224</v>
          </cell>
          <cell r="C43" t="str">
            <v>001EGAW　665</v>
          </cell>
          <cell r="I43" t="str">
            <v>25E26C</v>
          </cell>
          <cell r="J43">
            <v>200</v>
          </cell>
          <cell r="K43">
            <v>100</v>
          </cell>
          <cell r="L43">
            <v>45811</v>
          </cell>
          <cell r="M43">
            <v>1</v>
          </cell>
          <cell r="O43">
            <v>45811</v>
          </cell>
          <cell r="T43" t="str">
            <v>000000000003626</v>
          </cell>
        </row>
        <row r="44">
          <cell r="D44">
            <v>45811</v>
          </cell>
          <cell r="E44" t="str">
            <v>25E26C</v>
          </cell>
          <cell r="G44">
            <v>664.5</v>
          </cell>
          <cell r="H44">
            <v>665.19</v>
          </cell>
          <cell r="J44" t="str">
            <v/>
          </cell>
          <cell r="O44">
            <v>200</v>
          </cell>
          <cell r="T44" t="str">
            <v>000000000003626</v>
          </cell>
        </row>
        <row r="45">
          <cell r="B45" t="str">
            <v>+公差</v>
          </cell>
          <cell r="C45">
            <v>200</v>
          </cell>
          <cell r="D45">
            <v>45811</v>
          </cell>
          <cell r="E45" t="str">
            <v>25E26C</v>
          </cell>
          <cell r="G45">
            <v>664.5</v>
          </cell>
          <cell r="H45">
            <v>665.13</v>
          </cell>
          <cell r="J45" t="str">
            <v/>
          </cell>
          <cell r="O45">
            <v>100</v>
          </cell>
          <cell r="T45" t="str">
            <v>000000000003626</v>
          </cell>
        </row>
        <row r="46">
          <cell r="G46">
            <v>664.5</v>
          </cell>
          <cell r="J46" t="str">
            <v/>
          </cell>
          <cell r="O46">
            <v>0</v>
          </cell>
          <cell r="T46" t="str">
            <v>000000000003626</v>
          </cell>
        </row>
        <row r="47">
          <cell r="B47" t="str">
            <v>+0.5</v>
          </cell>
          <cell r="C47">
            <v>2</v>
          </cell>
          <cell r="G47">
            <v>664.5</v>
          </cell>
          <cell r="J47" t="str">
            <v/>
          </cell>
          <cell r="O47">
            <v>0</v>
          </cell>
          <cell r="T47" t="str">
            <v>000000000003626</v>
          </cell>
        </row>
        <row r="48">
          <cell r="B48" t="str">
            <v>使用数</v>
          </cell>
          <cell r="C48" t="str">
            <v>S-40</v>
          </cell>
          <cell r="G48">
            <v>664.5</v>
          </cell>
          <cell r="J48" t="str">
            <v/>
          </cell>
          <cell r="T48" t="str">
            <v>000000000003626</v>
          </cell>
        </row>
        <row r="49">
          <cell r="B49">
            <v>1</v>
          </cell>
          <cell r="C49">
            <v>1</v>
          </cell>
          <cell r="G49">
            <v>664.5</v>
          </cell>
          <cell r="J49" t="str">
            <v/>
          </cell>
          <cell r="O49" t="str">
            <v>水野</v>
          </cell>
          <cell r="T49" t="str">
            <v>000000000003626</v>
          </cell>
        </row>
        <row r="50">
          <cell r="G50">
            <v>664.5</v>
          </cell>
          <cell r="J50" t="str">
            <v/>
          </cell>
          <cell r="O50" t="str">
            <v>-</v>
          </cell>
          <cell r="P50">
            <v>0</v>
          </cell>
          <cell r="T50" t="str">
            <v>000000000003626</v>
          </cell>
        </row>
        <row r="51">
          <cell r="B51" t="str">
            <v>00757223</v>
          </cell>
          <cell r="C51" t="str">
            <v>001EGAW　652</v>
          </cell>
          <cell r="I51" t="str">
            <v>25E26C</v>
          </cell>
          <cell r="J51">
            <v>1200</v>
          </cell>
          <cell r="K51">
            <v>600</v>
          </cell>
          <cell r="L51">
            <v>45811</v>
          </cell>
          <cell r="M51">
            <v>14</v>
          </cell>
          <cell r="O51">
            <v>45811</v>
          </cell>
          <cell r="T51" t="str">
            <v>000000000003625</v>
          </cell>
        </row>
        <row r="52">
          <cell r="D52">
            <v>45811</v>
          </cell>
          <cell r="E52" t="str">
            <v>25E26C</v>
          </cell>
          <cell r="G52">
            <v>651.5</v>
          </cell>
          <cell r="H52">
            <v>651.97</v>
          </cell>
          <cell r="I52" t="str">
            <v>25E24A</v>
          </cell>
          <cell r="J52">
            <v>900</v>
          </cell>
          <cell r="K52">
            <v>450</v>
          </cell>
          <cell r="O52">
            <v>2700</v>
          </cell>
          <cell r="T52" t="str">
            <v>000000000003625</v>
          </cell>
        </row>
        <row r="53">
          <cell r="B53" t="str">
            <v>+公差</v>
          </cell>
          <cell r="C53">
            <v>2700</v>
          </cell>
          <cell r="D53">
            <v>45811</v>
          </cell>
          <cell r="E53" t="str">
            <v>25E24A</v>
          </cell>
          <cell r="G53">
            <v>651.5</v>
          </cell>
          <cell r="H53">
            <v>652.20000000000005</v>
          </cell>
          <cell r="I53" t="str">
            <v>25E26B</v>
          </cell>
          <cell r="J53">
            <v>600</v>
          </cell>
          <cell r="K53">
            <v>300</v>
          </cell>
          <cell r="O53">
            <v>1350</v>
          </cell>
          <cell r="T53" t="str">
            <v>000000000003625</v>
          </cell>
        </row>
        <row r="54">
          <cell r="D54">
            <v>45811</v>
          </cell>
          <cell r="E54" t="str">
            <v>25E26C</v>
          </cell>
          <cell r="G54">
            <v>651.5</v>
          </cell>
          <cell r="H54">
            <v>652.16999999999996</v>
          </cell>
          <cell r="J54" t="str">
            <v/>
          </cell>
          <cell r="O54">
            <v>0</v>
          </cell>
          <cell r="T54" t="str">
            <v>000000000003625</v>
          </cell>
        </row>
        <row r="55">
          <cell r="B55" t="str">
            <v>+0.5</v>
          </cell>
          <cell r="C55">
            <v>2</v>
          </cell>
          <cell r="D55">
            <v>45811</v>
          </cell>
          <cell r="E55" t="str">
            <v>25E26B</v>
          </cell>
          <cell r="G55">
            <v>651.5</v>
          </cell>
          <cell r="H55">
            <v>652.03</v>
          </cell>
          <cell r="J55" t="str">
            <v/>
          </cell>
          <cell r="O55">
            <v>0</v>
          </cell>
          <cell r="T55" t="str">
            <v>000000000003625</v>
          </cell>
        </row>
        <row r="56">
          <cell r="B56" t="str">
            <v>使用数</v>
          </cell>
          <cell r="C56" t="str">
            <v>S-40</v>
          </cell>
          <cell r="G56">
            <v>651.5</v>
          </cell>
          <cell r="J56" t="str">
            <v/>
          </cell>
          <cell r="T56" t="str">
            <v>000000000003625</v>
          </cell>
        </row>
        <row r="57">
          <cell r="B57">
            <v>14</v>
          </cell>
          <cell r="C57">
            <v>14</v>
          </cell>
          <cell r="G57">
            <v>651.5</v>
          </cell>
          <cell r="J57" t="str">
            <v/>
          </cell>
          <cell r="O57" t="str">
            <v>水野</v>
          </cell>
          <cell r="T57" t="str">
            <v>000000000003625</v>
          </cell>
        </row>
        <row r="58">
          <cell r="G58">
            <v>651.5</v>
          </cell>
          <cell r="J58" t="str">
            <v/>
          </cell>
          <cell r="O58" t="str">
            <v>-</v>
          </cell>
          <cell r="P58">
            <v>0</v>
          </cell>
          <cell r="T58" t="str">
            <v>000000000003625</v>
          </cell>
        </row>
        <row r="59">
          <cell r="B59" t="str">
            <v>00757222</v>
          </cell>
          <cell r="C59" t="str">
            <v>001EGAW　633</v>
          </cell>
          <cell r="I59" t="str">
            <v>25E23C</v>
          </cell>
          <cell r="J59">
            <v>200</v>
          </cell>
          <cell r="K59">
            <v>100</v>
          </cell>
          <cell r="L59">
            <v>45812</v>
          </cell>
          <cell r="M59">
            <v>1</v>
          </cell>
          <cell r="O59">
            <v>45812</v>
          </cell>
          <cell r="T59" t="str">
            <v>000000000003624</v>
          </cell>
        </row>
        <row r="60">
          <cell r="D60">
            <v>45812</v>
          </cell>
          <cell r="E60" t="str">
            <v>25E23C</v>
          </cell>
          <cell r="G60">
            <v>632.5</v>
          </cell>
          <cell r="H60">
            <v>633.41999999999996</v>
          </cell>
          <cell r="J60" t="str">
            <v/>
          </cell>
          <cell r="O60">
            <v>200</v>
          </cell>
          <cell r="T60" t="str">
            <v>000000000003624</v>
          </cell>
        </row>
        <row r="61">
          <cell r="B61" t="str">
            <v>+公差</v>
          </cell>
          <cell r="C61">
            <v>200</v>
          </cell>
          <cell r="D61">
            <v>45812</v>
          </cell>
          <cell r="E61" t="str">
            <v>25E23C</v>
          </cell>
          <cell r="G61">
            <v>632.5</v>
          </cell>
          <cell r="H61">
            <v>633.45000000000005</v>
          </cell>
          <cell r="J61" t="str">
            <v/>
          </cell>
          <cell r="O61">
            <v>100</v>
          </cell>
          <cell r="T61" t="str">
            <v>000000000003624</v>
          </cell>
        </row>
        <row r="62">
          <cell r="G62">
            <v>632.5</v>
          </cell>
          <cell r="J62" t="str">
            <v/>
          </cell>
          <cell r="O62">
            <v>0</v>
          </cell>
          <cell r="T62" t="str">
            <v>000000000003624</v>
          </cell>
        </row>
        <row r="63">
          <cell r="B63" t="str">
            <v>+0.5</v>
          </cell>
          <cell r="C63">
            <v>2</v>
          </cell>
          <cell r="G63">
            <v>632.5</v>
          </cell>
          <cell r="J63" t="str">
            <v/>
          </cell>
          <cell r="O63">
            <v>0</v>
          </cell>
          <cell r="T63" t="str">
            <v>000000000003624</v>
          </cell>
        </row>
        <row r="64">
          <cell r="B64" t="str">
            <v>使用数</v>
          </cell>
          <cell r="C64" t="str">
            <v>S-40</v>
          </cell>
          <cell r="G64">
            <v>632.5</v>
          </cell>
          <cell r="J64" t="str">
            <v/>
          </cell>
          <cell r="T64" t="str">
            <v>000000000003624</v>
          </cell>
        </row>
        <row r="65">
          <cell r="B65">
            <v>1</v>
          </cell>
          <cell r="C65">
            <v>1</v>
          </cell>
          <cell r="G65">
            <v>632.5</v>
          </cell>
          <cell r="J65" t="str">
            <v/>
          </cell>
          <cell r="O65" t="str">
            <v>水野</v>
          </cell>
          <cell r="T65" t="str">
            <v>000000000003624</v>
          </cell>
        </row>
        <row r="66">
          <cell r="G66">
            <v>632.5</v>
          </cell>
          <cell r="J66" t="str">
            <v/>
          </cell>
          <cell r="O66" t="str">
            <v>-</v>
          </cell>
          <cell r="P66">
            <v>0</v>
          </cell>
          <cell r="T66" t="str">
            <v>000000000003624</v>
          </cell>
        </row>
        <row r="67">
          <cell r="B67" t="str">
            <v>00757221</v>
          </cell>
          <cell r="C67" t="str">
            <v>001EGAW　565</v>
          </cell>
          <cell r="I67" t="str">
            <v>25E23C</v>
          </cell>
          <cell r="J67">
            <v>800</v>
          </cell>
          <cell r="K67">
            <v>400</v>
          </cell>
          <cell r="L67">
            <v>45812</v>
          </cell>
          <cell r="M67">
            <v>4</v>
          </cell>
          <cell r="O67">
            <v>45812</v>
          </cell>
          <cell r="T67" t="str">
            <v>000000000003623</v>
          </cell>
        </row>
        <row r="68">
          <cell r="D68">
            <v>45812</v>
          </cell>
          <cell r="E68" t="str">
            <v>25E23C</v>
          </cell>
          <cell r="G68">
            <v>564.5</v>
          </cell>
          <cell r="H68">
            <v>565.16999999999996</v>
          </cell>
          <cell r="J68" t="str">
            <v/>
          </cell>
          <cell r="O68">
            <v>800</v>
          </cell>
          <cell r="T68" t="str">
            <v>000000000003623</v>
          </cell>
        </row>
        <row r="69">
          <cell r="B69" t="str">
            <v>+公差</v>
          </cell>
          <cell r="C69">
            <v>800</v>
          </cell>
          <cell r="D69">
            <v>45812</v>
          </cell>
          <cell r="E69" t="str">
            <v>25E23C</v>
          </cell>
          <cell r="G69">
            <v>564.5</v>
          </cell>
          <cell r="H69">
            <v>565.42999999999995</v>
          </cell>
          <cell r="J69" t="str">
            <v/>
          </cell>
          <cell r="O69">
            <v>400</v>
          </cell>
          <cell r="T69" t="str">
            <v>000000000003623</v>
          </cell>
        </row>
        <row r="70">
          <cell r="G70">
            <v>564.5</v>
          </cell>
          <cell r="J70" t="str">
            <v/>
          </cell>
          <cell r="O70">
            <v>0</v>
          </cell>
          <cell r="T70" t="str">
            <v>000000000003623</v>
          </cell>
        </row>
        <row r="71">
          <cell r="B71" t="str">
            <v>+0.5</v>
          </cell>
          <cell r="C71">
            <v>2</v>
          </cell>
          <cell r="G71">
            <v>564.5</v>
          </cell>
          <cell r="J71" t="str">
            <v/>
          </cell>
          <cell r="O71">
            <v>0</v>
          </cell>
          <cell r="T71" t="str">
            <v>000000000003623</v>
          </cell>
        </row>
        <row r="72">
          <cell r="B72" t="str">
            <v>使用数</v>
          </cell>
          <cell r="C72" t="str">
            <v>S-30</v>
          </cell>
          <cell r="G72">
            <v>564.5</v>
          </cell>
          <cell r="J72" t="str">
            <v/>
          </cell>
          <cell r="T72" t="str">
            <v>000000000003623</v>
          </cell>
        </row>
        <row r="73">
          <cell r="B73">
            <v>4</v>
          </cell>
          <cell r="C73">
            <v>4</v>
          </cell>
          <cell r="G73">
            <v>564.5</v>
          </cell>
          <cell r="J73" t="str">
            <v/>
          </cell>
          <cell r="O73" t="str">
            <v>水野</v>
          </cell>
          <cell r="T73" t="str">
            <v>000000000003623</v>
          </cell>
        </row>
        <row r="74">
          <cell r="G74">
            <v>564.5</v>
          </cell>
          <cell r="J74" t="str">
            <v/>
          </cell>
          <cell r="O74" t="str">
            <v>-</v>
          </cell>
          <cell r="P74">
            <v>0</v>
          </cell>
          <cell r="T74" t="str">
            <v>000000000003623</v>
          </cell>
        </row>
        <row r="75">
          <cell r="B75" t="str">
            <v>00757220</v>
          </cell>
          <cell r="C75" t="str">
            <v>001EGAW　508</v>
          </cell>
          <cell r="I75" t="str">
            <v>25E24A</v>
          </cell>
          <cell r="J75">
            <v>100</v>
          </cell>
          <cell r="K75">
            <v>50</v>
          </cell>
          <cell r="L75">
            <v>45812</v>
          </cell>
          <cell r="M75">
            <v>8</v>
          </cell>
          <cell r="O75">
            <v>45813</v>
          </cell>
          <cell r="T75" t="str">
            <v>000000000003622</v>
          </cell>
        </row>
        <row r="76">
          <cell r="D76">
            <v>45812</v>
          </cell>
          <cell r="E76" t="str">
            <v>25E24A</v>
          </cell>
          <cell r="G76">
            <v>507.5</v>
          </cell>
          <cell r="H76">
            <v>508.41</v>
          </cell>
          <cell r="I76" t="str">
            <v>25E23C</v>
          </cell>
          <cell r="J76">
            <v>600</v>
          </cell>
          <cell r="K76">
            <v>300</v>
          </cell>
          <cell r="L76">
            <v>45813</v>
          </cell>
          <cell r="M76">
            <v>1</v>
          </cell>
          <cell r="O76">
            <v>1700</v>
          </cell>
          <cell r="T76" t="str">
            <v>000000000003622</v>
          </cell>
        </row>
        <row r="77">
          <cell r="B77" t="str">
            <v>+公差</v>
          </cell>
          <cell r="C77">
            <v>1700</v>
          </cell>
          <cell r="D77">
            <v>45812</v>
          </cell>
          <cell r="E77" t="str">
            <v>25E23C</v>
          </cell>
          <cell r="G77">
            <v>507.5</v>
          </cell>
          <cell r="I77" t="str">
            <v>25A15B</v>
          </cell>
          <cell r="J77">
            <v>12</v>
          </cell>
          <cell r="K77">
            <v>6</v>
          </cell>
          <cell r="O77">
            <v>856</v>
          </cell>
          <cell r="T77" t="str">
            <v>000000000003622</v>
          </cell>
        </row>
        <row r="78">
          <cell r="D78">
            <v>45812</v>
          </cell>
          <cell r="E78" t="str">
            <v>25A15B</v>
          </cell>
          <cell r="G78">
            <v>507.5</v>
          </cell>
          <cell r="I78" t="str">
            <v>25E22B</v>
          </cell>
          <cell r="J78">
            <v>1000</v>
          </cell>
          <cell r="K78">
            <v>500</v>
          </cell>
          <cell r="O78">
            <v>6</v>
          </cell>
          <cell r="T78" t="str">
            <v>000000000003622</v>
          </cell>
        </row>
        <row r="79">
          <cell r="B79" t="str">
            <v>+0.5</v>
          </cell>
          <cell r="C79">
            <v>2</v>
          </cell>
          <cell r="D79">
            <v>45812</v>
          </cell>
          <cell r="E79" t="str">
            <v>25E22B</v>
          </cell>
          <cell r="G79">
            <v>507.5</v>
          </cell>
          <cell r="H79">
            <v>508.04</v>
          </cell>
          <cell r="J79" t="str">
            <v/>
          </cell>
          <cell r="O79">
            <v>12</v>
          </cell>
          <cell r="T79" t="str">
            <v>000000000003622</v>
          </cell>
        </row>
        <row r="80">
          <cell r="B80" t="str">
            <v>使用数</v>
          </cell>
          <cell r="C80" t="str">
            <v>S-30</v>
          </cell>
          <cell r="D80">
            <v>45812</v>
          </cell>
          <cell r="E80" t="str">
            <v>25E22B</v>
          </cell>
          <cell r="G80">
            <v>507.5</v>
          </cell>
          <cell r="H80">
            <v>508.02</v>
          </cell>
          <cell r="J80" t="str">
            <v/>
          </cell>
          <cell r="T80" t="str">
            <v>000000000003622</v>
          </cell>
        </row>
        <row r="81">
          <cell r="B81">
            <v>9</v>
          </cell>
          <cell r="C81">
            <v>9</v>
          </cell>
          <cell r="D81">
            <v>45813</v>
          </cell>
          <cell r="E81" t="str">
            <v>25E22B</v>
          </cell>
          <cell r="G81">
            <v>507.5</v>
          </cell>
          <cell r="H81">
            <v>508.02</v>
          </cell>
          <cell r="J81" t="str">
            <v/>
          </cell>
          <cell r="O81" t="str">
            <v>水野</v>
          </cell>
          <cell r="P81">
            <v>12</v>
          </cell>
          <cell r="T81" t="str">
            <v>000000000003622</v>
          </cell>
        </row>
        <row r="82">
          <cell r="D82">
            <v>45813</v>
          </cell>
          <cell r="E82" t="str">
            <v>25E22B</v>
          </cell>
          <cell r="G82">
            <v>507.5</v>
          </cell>
          <cell r="H82">
            <v>507.84</v>
          </cell>
          <cell r="J82" t="str">
            <v/>
          </cell>
          <cell r="O82" t="str">
            <v>-</v>
          </cell>
          <cell r="P82">
            <v>12</v>
          </cell>
          <cell r="T82" t="str">
            <v>000000000003622</v>
          </cell>
        </row>
        <row r="83">
          <cell r="B83" t="str">
            <v>00757219</v>
          </cell>
          <cell r="C83" t="str">
            <v>001EGAW　415</v>
          </cell>
          <cell r="I83" t="str">
            <v>25E22B</v>
          </cell>
          <cell r="J83" t="str">
            <v>端材</v>
          </cell>
          <cell r="L83">
            <v>45813</v>
          </cell>
          <cell r="M83">
            <v>8</v>
          </cell>
          <cell r="O83">
            <v>45813</v>
          </cell>
          <cell r="T83" t="str">
            <v>000000000003621</v>
          </cell>
        </row>
        <row r="84">
          <cell r="D84">
            <v>45813</v>
          </cell>
          <cell r="E84" t="str">
            <v>25E22B</v>
          </cell>
          <cell r="G84">
            <v>414.5</v>
          </cell>
          <cell r="H84">
            <v>415.12</v>
          </cell>
          <cell r="I84" t="str">
            <v>25E23C</v>
          </cell>
          <cell r="J84" t="str">
            <v>端材</v>
          </cell>
          <cell r="O84">
            <v>1500</v>
          </cell>
          <cell r="T84" t="str">
            <v>000000000003621</v>
          </cell>
        </row>
        <row r="85">
          <cell r="B85" t="str">
            <v>+公差</v>
          </cell>
          <cell r="C85">
            <v>1500</v>
          </cell>
          <cell r="D85">
            <v>45813</v>
          </cell>
          <cell r="E85" t="str">
            <v>25E23C</v>
          </cell>
          <cell r="G85">
            <v>414.5</v>
          </cell>
          <cell r="I85" t="str">
            <v>25E24A</v>
          </cell>
          <cell r="J85" t="str">
            <v>端材</v>
          </cell>
          <cell r="O85">
            <v>501</v>
          </cell>
          <cell r="T85" t="str">
            <v>000000000003621</v>
          </cell>
        </row>
        <row r="86">
          <cell r="D86">
            <v>45813</v>
          </cell>
          <cell r="E86" t="str">
            <v>25E24A</v>
          </cell>
          <cell r="G86">
            <v>414.5</v>
          </cell>
          <cell r="I86" t="str">
            <v>25E23B</v>
          </cell>
          <cell r="J86">
            <v>600</v>
          </cell>
          <cell r="K86">
            <v>200</v>
          </cell>
          <cell r="O86">
            <v>1</v>
          </cell>
          <cell r="T86" t="str">
            <v>000000000003621</v>
          </cell>
        </row>
        <row r="87">
          <cell r="B87" t="str">
            <v>+0.5</v>
          </cell>
          <cell r="C87">
            <v>3</v>
          </cell>
          <cell r="D87">
            <v>45813</v>
          </cell>
          <cell r="E87" t="str">
            <v>25E23B</v>
          </cell>
          <cell r="G87">
            <v>414.5</v>
          </cell>
          <cell r="H87">
            <v>415.12</v>
          </cell>
          <cell r="I87" t="str">
            <v>25A15B</v>
          </cell>
          <cell r="J87">
            <v>36</v>
          </cell>
          <cell r="K87">
            <v>12</v>
          </cell>
          <cell r="O87">
            <v>2</v>
          </cell>
          <cell r="T87" t="str">
            <v>000000000003621</v>
          </cell>
        </row>
        <row r="88">
          <cell r="B88" t="str">
            <v>使用数</v>
          </cell>
          <cell r="C88" t="str">
            <v>S-20</v>
          </cell>
          <cell r="D88">
            <v>45813</v>
          </cell>
          <cell r="E88" t="str">
            <v>25A15B</v>
          </cell>
          <cell r="G88">
            <v>414.5</v>
          </cell>
          <cell r="H88">
            <v>415.21</v>
          </cell>
          <cell r="J88" t="str">
            <v/>
          </cell>
          <cell r="T88" t="str">
            <v>000000000003621</v>
          </cell>
        </row>
        <row r="89">
          <cell r="B89">
            <v>8</v>
          </cell>
          <cell r="C89">
            <v>8</v>
          </cell>
          <cell r="G89">
            <v>414.5</v>
          </cell>
          <cell r="J89" t="str">
            <v/>
          </cell>
          <cell r="O89" t="str">
            <v>水野</v>
          </cell>
          <cell r="P89">
            <v>2</v>
          </cell>
          <cell r="T89" t="str">
            <v>000000000003621</v>
          </cell>
        </row>
        <row r="90">
          <cell r="G90">
            <v>414.5</v>
          </cell>
          <cell r="J90" t="str">
            <v/>
          </cell>
          <cell r="O90" t="str">
            <v>-</v>
          </cell>
          <cell r="P90">
            <v>2</v>
          </cell>
          <cell r="T90" t="str">
            <v>000000000003621</v>
          </cell>
        </row>
        <row r="91">
          <cell r="B91" t="str">
            <v>00758109</v>
          </cell>
          <cell r="C91" t="str">
            <v>8FL281304 6110　L=1478</v>
          </cell>
          <cell r="D91">
            <v>45782</v>
          </cell>
          <cell r="E91" t="str">
            <v>25E09-02</v>
          </cell>
          <cell r="I91" t="str">
            <v>25E09-02</v>
          </cell>
          <cell r="J91">
            <v>15</v>
          </cell>
          <cell r="K91">
            <v>15</v>
          </cell>
          <cell r="L91">
            <v>45814</v>
          </cell>
          <cell r="M91">
            <v>4</v>
          </cell>
          <cell r="O91">
            <v>45814</v>
          </cell>
          <cell r="P91">
            <v>3</v>
          </cell>
          <cell r="T91" t="str">
            <v>000000000003691</v>
          </cell>
        </row>
        <row r="92">
          <cell r="D92">
            <v>45813</v>
          </cell>
          <cell r="E92" t="str">
            <v>25E14-06</v>
          </cell>
          <cell r="F92">
            <v>26</v>
          </cell>
          <cell r="G92">
            <v>1478.58</v>
          </cell>
          <cell r="H92">
            <v>1478.58</v>
          </cell>
          <cell r="I92" t="str">
            <v>25E14-06</v>
          </cell>
          <cell r="J92">
            <v>359</v>
          </cell>
          <cell r="K92">
            <v>359</v>
          </cell>
          <cell r="O92">
            <v>400</v>
          </cell>
          <cell r="T92" t="str">
            <v>000000000003691</v>
          </cell>
        </row>
        <row r="93">
          <cell r="B93" t="str">
            <v>+公差</v>
          </cell>
          <cell r="C93">
            <v>400</v>
          </cell>
          <cell r="D93">
            <v>45813</v>
          </cell>
          <cell r="E93" t="str">
            <v>25E27-09</v>
          </cell>
          <cell r="F93">
            <v>26</v>
          </cell>
          <cell r="G93">
            <v>1478.58</v>
          </cell>
          <cell r="H93">
            <v>1478.65</v>
          </cell>
          <cell r="I93" t="str">
            <v>25E27-09</v>
          </cell>
          <cell r="J93">
            <v>29</v>
          </cell>
          <cell r="K93">
            <v>29</v>
          </cell>
          <cell r="O93">
            <v>403</v>
          </cell>
          <cell r="T93" t="str">
            <v>000000000003691</v>
          </cell>
        </row>
        <row r="94">
          <cell r="G94" t="str">
            <v/>
          </cell>
          <cell r="J94" t="str">
            <v/>
          </cell>
          <cell r="O94">
            <v>3</v>
          </cell>
          <cell r="T94" t="str">
            <v>000000000003691</v>
          </cell>
        </row>
        <row r="95">
          <cell r="B95" t="str">
            <v>+0.5</v>
          </cell>
          <cell r="C95">
            <v>1</v>
          </cell>
          <cell r="G95" t="str">
            <v/>
          </cell>
          <cell r="J95" t="str">
            <v/>
          </cell>
          <cell r="O95">
            <v>3</v>
          </cell>
          <cell r="T95" t="str">
            <v>000000000003691</v>
          </cell>
        </row>
        <row r="96">
          <cell r="B96" t="str">
            <v>使用数</v>
          </cell>
          <cell r="C96" t="str">
            <v>LED-A1478</v>
          </cell>
          <cell r="G96" t="str">
            <v/>
          </cell>
          <cell r="J96" t="str">
            <v/>
          </cell>
          <cell r="T96" t="str">
            <v>000000000003691</v>
          </cell>
        </row>
        <row r="97">
          <cell r="B97">
            <v>4</v>
          </cell>
          <cell r="C97">
            <v>4</v>
          </cell>
          <cell r="G97" t="str">
            <v/>
          </cell>
          <cell r="J97" t="str">
            <v/>
          </cell>
          <cell r="O97" t="str">
            <v>水野</v>
          </cell>
          <cell r="T97" t="str">
            <v>000000000003691</v>
          </cell>
        </row>
        <row r="98">
          <cell r="G98" t="str">
            <v/>
          </cell>
          <cell r="J98" t="str">
            <v/>
          </cell>
          <cell r="O98" t="str">
            <v>高森</v>
          </cell>
          <cell r="P98">
            <v>3</v>
          </cell>
          <cell r="T98" t="str">
            <v>000000000003691</v>
          </cell>
        </row>
        <row r="99">
          <cell r="B99" t="str">
            <v>00758108</v>
          </cell>
          <cell r="C99" t="str">
            <v>8FL281304 4810　L=297</v>
          </cell>
          <cell r="D99">
            <v>45792</v>
          </cell>
          <cell r="E99" t="str">
            <v>25E09-02</v>
          </cell>
          <cell r="I99" t="str">
            <v>25E09-02</v>
          </cell>
          <cell r="J99">
            <v>18</v>
          </cell>
          <cell r="K99">
            <v>3</v>
          </cell>
          <cell r="L99">
            <v>45814</v>
          </cell>
          <cell r="M99">
            <v>2</v>
          </cell>
          <cell r="O99">
            <v>45814</v>
          </cell>
          <cell r="P99">
            <v>1</v>
          </cell>
          <cell r="T99" t="str">
            <v>000000000003690</v>
          </cell>
        </row>
        <row r="100">
          <cell r="D100">
            <v>45814</v>
          </cell>
          <cell r="E100" t="str">
            <v>25E27-09</v>
          </cell>
          <cell r="F100">
            <v>26</v>
          </cell>
          <cell r="G100">
            <v>297.12</v>
          </cell>
          <cell r="H100">
            <v>297.22000000000003</v>
          </cell>
          <cell r="I100" t="str">
            <v>25E27-09</v>
          </cell>
          <cell r="J100">
            <v>186</v>
          </cell>
          <cell r="K100">
            <v>31</v>
          </cell>
          <cell r="O100">
            <v>200</v>
          </cell>
          <cell r="T100" t="str">
            <v>000000000003690</v>
          </cell>
        </row>
        <row r="101">
          <cell r="B101" t="str">
            <v>+公差</v>
          </cell>
          <cell r="C101">
            <v>200</v>
          </cell>
          <cell r="D101">
            <v>45814</v>
          </cell>
          <cell r="E101" t="str">
            <v>25E27-09</v>
          </cell>
          <cell r="F101">
            <v>26</v>
          </cell>
          <cell r="G101">
            <v>297.12</v>
          </cell>
          <cell r="H101">
            <v>297.31</v>
          </cell>
          <cell r="J101" t="str">
            <v/>
          </cell>
          <cell r="O101">
            <v>34</v>
          </cell>
          <cell r="T101" t="str">
            <v>000000000003690</v>
          </cell>
        </row>
        <row r="102">
          <cell r="G102" t="str">
            <v/>
          </cell>
          <cell r="J102" t="str">
            <v/>
          </cell>
          <cell r="O102">
            <v>1</v>
          </cell>
          <cell r="T102" t="str">
            <v>000000000003690</v>
          </cell>
        </row>
        <row r="103">
          <cell r="B103" t="str">
            <v>+0.5</v>
          </cell>
          <cell r="C103">
            <v>6</v>
          </cell>
          <cell r="G103" t="str">
            <v/>
          </cell>
          <cell r="J103" t="str">
            <v/>
          </cell>
          <cell r="O103">
            <v>1</v>
          </cell>
          <cell r="T103" t="str">
            <v>000000000003690</v>
          </cell>
        </row>
        <row r="104">
          <cell r="B104" t="str">
            <v>使用数</v>
          </cell>
          <cell r="C104" t="str">
            <v>LED-A300</v>
          </cell>
          <cell r="G104" t="str">
            <v/>
          </cell>
          <cell r="J104" t="str">
            <v/>
          </cell>
          <cell r="O104">
            <v>1</v>
          </cell>
          <cell r="T104" t="str">
            <v>000000000003690</v>
          </cell>
        </row>
        <row r="105">
          <cell r="B105">
            <v>2</v>
          </cell>
          <cell r="C105">
            <v>2</v>
          </cell>
          <cell r="G105" t="str">
            <v/>
          </cell>
          <cell r="J105" t="str">
            <v/>
          </cell>
          <cell r="O105" t="str">
            <v>水野</v>
          </cell>
          <cell r="T105" t="str">
            <v>000000000003690</v>
          </cell>
        </row>
        <row r="106">
          <cell r="G106" t="str">
            <v/>
          </cell>
          <cell r="J106" t="str">
            <v/>
          </cell>
          <cell r="O106" t="str">
            <v>高森</v>
          </cell>
          <cell r="P106">
            <v>1</v>
          </cell>
          <cell r="T106" t="str">
            <v>000000000003690</v>
          </cell>
        </row>
        <row r="107">
          <cell r="B107" t="str">
            <v>00761438</v>
          </cell>
          <cell r="C107" t="str">
            <v>8FL281304 4810　L=297</v>
          </cell>
          <cell r="D107">
            <v>45814</v>
          </cell>
          <cell r="E107" t="str">
            <v>25E27-09</v>
          </cell>
          <cell r="I107" t="str">
            <v>25E27-09</v>
          </cell>
          <cell r="J107">
            <v>288</v>
          </cell>
          <cell r="K107">
            <v>48</v>
          </cell>
          <cell r="L107">
            <v>45818</v>
          </cell>
          <cell r="M107">
            <v>3</v>
          </cell>
          <cell r="O107">
            <v>45818</v>
          </cell>
          <cell r="T107" t="str">
            <v>000000000004070</v>
          </cell>
        </row>
        <row r="108">
          <cell r="D108">
            <v>45817</v>
          </cell>
          <cell r="E108" t="str">
            <v>25E27-09</v>
          </cell>
          <cell r="F108">
            <v>26</v>
          </cell>
          <cell r="G108">
            <v>297.12</v>
          </cell>
          <cell r="H108">
            <v>297.18</v>
          </cell>
          <cell r="J108" t="str">
            <v/>
          </cell>
          <cell r="O108">
            <v>300</v>
          </cell>
          <cell r="T108" t="str">
            <v>000000000004070</v>
          </cell>
        </row>
        <row r="109">
          <cell r="B109" t="str">
            <v>+公差</v>
          </cell>
          <cell r="C109">
            <v>300</v>
          </cell>
          <cell r="D109">
            <v>45817</v>
          </cell>
          <cell r="E109" t="str">
            <v>25E27-09</v>
          </cell>
          <cell r="F109">
            <v>26</v>
          </cell>
          <cell r="G109">
            <v>297.12</v>
          </cell>
          <cell r="H109">
            <v>297.39</v>
          </cell>
          <cell r="J109" t="str">
            <v/>
          </cell>
          <cell r="O109">
            <v>48</v>
          </cell>
          <cell r="T109" t="str">
            <v>000000000004070</v>
          </cell>
        </row>
        <row r="110">
          <cell r="G110" t="str">
            <v/>
          </cell>
          <cell r="J110" t="str">
            <v/>
          </cell>
          <cell r="O110">
            <v>0</v>
          </cell>
          <cell r="T110" t="str">
            <v>000000000004070</v>
          </cell>
        </row>
        <row r="111">
          <cell r="B111" t="str">
            <v>+0.5</v>
          </cell>
          <cell r="C111">
            <v>6</v>
          </cell>
          <cell r="G111" t="str">
            <v/>
          </cell>
          <cell r="J111" t="str">
            <v/>
          </cell>
          <cell r="O111">
            <v>0</v>
          </cell>
          <cell r="T111" t="str">
            <v>000000000004070</v>
          </cell>
        </row>
        <row r="112">
          <cell r="B112" t="str">
            <v>使用数</v>
          </cell>
          <cell r="C112" t="str">
            <v>LED-A300</v>
          </cell>
          <cell r="G112" t="str">
            <v/>
          </cell>
          <cell r="J112" t="str">
            <v/>
          </cell>
          <cell r="O112">
            <v>12</v>
          </cell>
          <cell r="T112" t="str">
            <v>000000000004070</v>
          </cell>
        </row>
        <row r="113">
          <cell r="B113">
            <v>3</v>
          </cell>
          <cell r="C113">
            <v>3</v>
          </cell>
          <cell r="G113" t="str">
            <v/>
          </cell>
          <cell r="J113" t="str">
            <v/>
          </cell>
          <cell r="O113" t="str">
            <v>水野</v>
          </cell>
          <cell r="T113" t="str">
            <v>000000000004070</v>
          </cell>
        </row>
        <row r="114">
          <cell r="G114" t="str">
            <v/>
          </cell>
          <cell r="J114" t="str">
            <v/>
          </cell>
          <cell r="O114" t="str">
            <v>高森</v>
          </cell>
          <cell r="P114">
            <v>0</v>
          </cell>
          <cell r="T114" t="str">
            <v>000000000004070</v>
          </cell>
        </row>
        <row r="115">
          <cell r="B115" t="str">
            <v>00761437</v>
          </cell>
          <cell r="C115" t="str">
            <v>8FL281304 4810　L=297</v>
          </cell>
          <cell r="I115" t="str">
            <v>25E27-09</v>
          </cell>
          <cell r="J115">
            <v>306</v>
          </cell>
          <cell r="K115">
            <v>51</v>
          </cell>
          <cell r="L115">
            <v>45818</v>
          </cell>
          <cell r="M115">
            <v>3</v>
          </cell>
          <cell r="O115">
            <v>45818</v>
          </cell>
          <cell r="P115">
            <v>2</v>
          </cell>
          <cell r="T115" t="str">
            <v>000000000004069</v>
          </cell>
        </row>
        <row r="116">
          <cell r="D116">
            <v>45817</v>
          </cell>
          <cell r="E116" t="str">
            <v>25E27-09</v>
          </cell>
          <cell r="F116">
            <v>26</v>
          </cell>
          <cell r="G116">
            <v>297.12</v>
          </cell>
          <cell r="H116">
            <v>297.22000000000003</v>
          </cell>
          <cell r="J116" t="str">
            <v/>
          </cell>
          <cell r="O116">
            <v>300</v>
          </cell>
          <cell r="T116" t="str">
            <v>000000000004069</v>
          </cell>
        </row>
        <row r="117">
          <cell r="B117" t="str">
            <v>+公差</v>
          </cell>
          <cell r="C117">
            <v>300</v>
          </cell>
          <cell r="D117">
            <v>45817</v>
          </cell>
          <cell r="E117" t="str">
            <v>25E27-09</v>
          </cell>
          <cell r="F117">
            <v>26</v>
          </cell>
          <cell r="G117">
            <v>297.12</v>
          </cell>
          <cell r="H117">
            <v>297.27999999999997</v>
          </cell>
          <cell r="J117" t="str">
            <v/>
          </cell>
          <cell r="O117">
            <v>51</v>
          </cell>
          <cell r="T117" t="str">
            <v>000000000004069</v>
          </cell>
        </row>
        <row r="118">
          <cell r="D118">
            <v>45818</v>
          </cell>
          <cell r="E118" t="str">
            <v>25E27-09</v>
          </cell>
          <cell r="F118">
            <v>22</v>
          </cell>
          <cell r="G118">
            <v>297.04000000000002</v>
          </cell>
          <cell r="H118">
            <v>297.27999999999997</v>
          </cell>
          <cell r="J118" t="str">
            <v/>
          </cell>
          <cell r="O118">
            <v>1</v>
          </cell>
          <cell r="T118" t="str">
            <v>000000000004069</v>
          </cell>
        </row>
        <row r="119">
          <cell r="B119" t="str">
            <v>+0.5</v>
          </cell>
          <cell r="C119">
            <v>6</v>
          </cell>
          <cell r="D119">
            <v>45818</v>
          </cell>
          <cell r="E119" t="str">
            <v>25E27-09</v>
          </cell>
          <cell r="F119">
            <v>22</v>
          </cell>
          <cell r="G119">
            <v>297.04000000000002</v>
          </cell>
          <cell r="H119">
            <v>297.29000000000002</v>
          </cell>
          <cell r="J119" t="str">
            <v/>
          </cell>
          <cell r="O119">
            <v>2</v>
          </cell>
          <cell r="T119" t="str">
            <v>000000000004069</v>
          </cell>
        </row>
        <row r="120">
          <cell r="B120" t="str">
            <v>使用数</v>
          </cell>
          <cell r="C120" t="str">
            <v>LED-A300</v>
          </cell>
          <cell r="G120" t="str">
            <v/>
          </cell>
          <cell r="J120" t="str">
            <v/>
          </cell>
          <cell r="T120" t="str">
            <v>000000000004069</v>
          </cell>
        </row>
        <row r="121">
          <cell r="B121">
            <v>3</v>
          </cell>
          <cell r="C121">
            <v>3</v>
          </cell>
          <cell r="G121" t="str">
            <v/>
          </cell>
          <cell r="J121" t="str">
            <v/>
          </cell>
          <cell r="O121" t="str">
            <v>水野</v>
          </cell>
          <cell r="T121" t="str">
            <v>000000000004069</v>
          </cell>
        </row>
        <row r="122">
          <cell r="G122" t="str">
            <v/>
          </cell>
          <cell r="J122" t="str">
            <v/>
          </cell>
          <cell r="O122" t="str">
            <v>高森</v>
          </cell>
          <cell r="P122">
            <v>2</v>
          </cell>
          <cell r="T122" t="str">
            <v>000000000004069</v>
          </cell>
        </row>
        <row r="123">
          <cell r="B123" t="str">
            <v>00761440</v>
          </cell>
          <cell r="C123" t="str">
            <v>8FL281304 5010　L=888</v>
          </cell>
          <cell r="D123">
            <v>45798</v>
          </cell>
          <cell r="E123" t="str">
            <v>25E14-06</v>
          </cell>
          <cell r="I123" t="str">
            <v>25E14-06</v>
          </cell>
          <cell r="J123">
            <v>16</v>
          </cell>
          <cell r="K123">
            <v>8</v>
          </cell>
          <cell r="L123">
            <v>45818</v>
          </cell>
          <cell r="M123">
            <v>4</v>
          </cell>
          <cell r="O123">
            <v>45820</v>
          </cell>
          <cell r="P123">
            <v>20</v>
          </cell>
          <cell r="T123" t="str">
            <v>000000000004072</v>
          </cell>
        </row>
        <row r="124">
          <cell r="D124">
            <v>45818</v>
          </cell>
          <cell r="E124" t="str">
            <v>25E27-09</v>
          </cell>
          <cell r="F124">
            <v>22</v>
          </cell>
          <cell r="G124">
            <v>888.12</v>
          </cell>
          <cell r="H124">
            <v>888.28</v>
          </cell>
          <cell r="I124" t="str">
            <v>25E27-09</v>
          </cell>
          <cell r="J124">
            <v>296</v>
          </cell>
          <cell r="K124">
            <v>148</v>
          </cell>
          <cell r="L124">
            <v>45819</v>
          </cell>
          <cell r="M124">
            <v>15</v>
          </cell>
          <cell r="O124">
            <v>2000</v>
          </cell>
          <cell r="T124" t="str">
            <v>000000000004072</v>
          </cell>
        </row>
        <row r="125">
          <cell r="B125" t="str">
            <v>+公差</v>
          </cell>
          <cell r="C125">
            <v>2000</v>
          </cell>
          <cell r="D125">
            <v>45818</v>
          </cell>
          <cell r="E125" t="str">
            <v>25E14-07</v>
          </cell>
          <cell r="F125">
            <v>24</v>
          </cell>
          <cell r="G125">
            <v>888.23</v>
          </cell>
          <cell r="H125">
            <v>888.44</v>
          </cell>
          <cell r="I125" t="str">
            <v>25E14-07</v>
          </cell>
          <cell r="J125">
            <v>1000</v>
          </cell>
          <cell r="K125">
            <v>500</v>
          </cell>
          <cell r="L125">
            <v>45820</v>
          </cell>
          <cell r="M125">
            <v>1</v>
          </cell>
          <cell r="O125">
            <v>1013</v>
          </cell>
          <cell r="P125">
            <v>2</v>
          </cell>
          <cell r="T125" t="str">
            <v>000000000004072</v>
          </cell>
        </row>
        <row r="126">
          <cell r="D126">
            <v>45818</v>
          </cell>
          <cell r="E126" t="str">
            <v>25E14-07</v>
          </cell>
          <cell r="F126">
            <v>24</v>
          </cell>
          <cell r="G126">
            <v>888.23</v>
          </cell>
          <cell r="H126">
            <v>888.49</v>
          </cell>
          <cell r="I126" t="str">
            <v>25E27-08</v>
          </cell>
          <cell r="J126">
            <v>714</v>
          </cell>
          <cell r="K126">
            <v>357</v>
          </cell>
          <cell r="O126">
            <v>13</v>
          </cell>
          <cell r="T126" t="str">
            <v>000000000004072</v>
          </cell>
        </row>
        <row r="127">
          <cell r="B127" t="str">
            <v>+0.5</v>
          </cell>
          <cell r="C127">
            <v>2</v>
          </cell>
          <cell r="D127">
            <v>45818</v>
          </cell>
          <cell r="E127" t="str">
            <v>25E14-07</v>
          </cell>
          <cell r="F127">
            <v>24</v>
          </cell>
          <cell r="G127">
            <v>888.23</v>
          </cell>
          <cell r="H127">
            <v>888.63</v>
          </cell>
          <cell r="J127" t="str">
            <v/>
          </cell>
          <cell r="O127">
            <v>25</v>
          </cell>
          <cell r="T127" t="str">
            <v>000000000004072</v>
          </cell>
        </row>
        <row r="128">
          <cell r="B128" t="str">
            <v>使用数</v>
          </cell>
          <cell r="C128" t="str">
            <v>LED-A888</v>
          </cell>
          <cell r="D128">
            <v>45819</v>
          </cell>
          <cell r="E128" t="str">
            <v>25E27-08</v>
          </cell>
          <cell r="F128">
            <v>22</v>
          </cell>
          <cell r="G128">
            <v>888.12</v>
          </cell>
          <cell r="H128">
            <v>888.34</v>
          </cell>
          <cell r="J128" t="str">
            <v/>
          </cell>
          <cell r="T128" t="str">
            <v>000000000004072</v>
          </cell>
        </row>
        <row r="129">
          <cell r="B129">
            <v>20</v>
          </cell>
          <cell r="C129">
            <v>20</v>
          </cell>
          <cell r="D129">
            <v>45819</v>
          </cell>
          <cell r="E129" t="str">
            <v>25E27-08</v>
          </cell>
          <cell r="F129">
            <v>24</v>
          </cell>
          <cell r="G129">
            <v>888.23</v>
          </cell>
          <cell r="H129">
            <v>888.43</v>
          </cell>
          <cell r="J129" t="str">
            <v/>
          </cell>
          <cell r="O129" t="str">
            <v>水野</v>
          </cell>
          <cell r="P129">
            <v>3</v>
          </cell>
          <cell r="T129" t="str">
            <v>000000000004072</v>
          </cell>
        </row>
        <row r="130">
          <cell r="G130" t="str">
            <v/>
          </cell>
          <cell r="I130" t="str">
            <v>合計</v>
          </cell>
          <cell r="J130">
            <v>2026</v>
          </cell>
          <cell r="K130">
            <v>1013</v>
          </cell>
          <cell r="L130" t="str">
            <v>合計</v>
          </cell>
          <cell r="M130">
            <v>20</v>
          </cell>
          <cell r="O130" t="str">
            <v>高森</v>
          </cell>
          <cell r="P130">
            <v>25</v>
          </cell>
          <cell r="T130" t="str">
            <v>000000000004072</v>
          </cell>
        </row>
        <row r="131">
          <cell r="B131" t="str">
            <v>00761439</v>
          </cell>
          <cell r="C131" t="str">
            <v>8FL281304 5010　L=888</v>
          </cell>
          <cell r="I131" t="str">
            <v>25E27-08</v>
          </cell>
          <cell r="J131">
            <v>886</v>
          </cell>
          <cell r="K131">
            <v>443</v>
          </cell>
          <cell r="O131">
            <v>45821</v>
          </cell>
          <cell r="P131">
            <v>21</v>
          </cell>
          <cell r="T131" t="str">
            <v>000000000004071</v>
          </cell>
        </row>
        <row r="132">
          <cell r="D132">
            <v>45819</v>
          </cell>
          <cell r="E132" t="str">
            <v>25E27-08</v>
          </cell>
          <cell r="F132">
            <v>24</v>
          </cell>
          <cell r="G132">
            <v>888.23</v>
          </cell>
          <cell r="H132">
            <v>888.45</v>
          </cell>
          <cell r="I132" t="str">
            <v>25E28-10</v>
          </cell>
          <cell r="J132">
            <v>1136</v>
          </cell>
          <cell r="K132">
            <v>568</v>
          </cell>
          <cell r="O132">
            <v>2000</v>
          </cell>
          <cell r="P132">
            <v>1</v>
          </cell>
          <cell r="T132" t="str">
            <v>000000000004071</v>
          </cell>
        </row>
        <row r="133">
          <cell r="B133" t="str">
            <v>+公差</v>
          </cell>
          <cell r="C133">
            <v>2000</v>
          </cell>
          <cell r="D133">
            <v>45819</v>
          </cell>
          <cell r="E133" t="str">
            <v>25E27-08</v>
          </cell>
          <cell r="F133">
            <v>24</v>
          </cell>
          <cell r="G133">
            <v>888.23</v>
          </cell>
          <cell r="H133">
            <v>888.44</v>
          </cell>
          <cell r="J133" t="str">
            <v/>
          </cell>
          <cell r="L133">
            <v>45820</v>
          </cell>
          <cell r="M133">
            <v>13</v>
          </cell>
          <cell r="O133">
            <v>1011</v>
          </cell>
          <cell r="T133" t="str">
            <v>000000000004071</v>
          </cell>
        </row>
        <row r="134">
          <cell r="D134">
            <v>45819</v>
          </cell>
          <cell r="E134" t="str">
            <v>25E27-08</v>
          </cell>
          <cell r="F134">
            <v>24</v>
          </cell>
          <cell r="G134">
            <v>888.23</v>
          </cell>
          <cell r="H134">
            <v>888.41</v>
          </cell>
          <cell r="J134" t="str">
            <v/>
          </cell>
          <cell r="L134">
            <v>45821</v>
          </cell>
          <cell r="M134">
            <v>7</v>
          </cell>
          <cell r="O134">
            <v>11</v>
          </cell>
          <cell r="T134" t="str">
            <v>000000000004071</v>
          </cell>
        </row>
        <row r="135">
          <cell r="B135" t="str">
            <v>+0.5</v>
          </cell>
          <cell r="C135">
            <v>2</v>
          </cell>
          <cell r="D135">
            <v>45820</v>
          </cell>
          <cell r="E135" t="str">
            <v>25E28-10</v>
          </cell>
          <cell r="F135">
            <v>24</v>
          </cell>
          <cell r="G135">
            <v>888.23</v>
          </cell>
          <cell r="H135">
            <v>888.3</v>
          </cell>
          <cell r="J135" t="str">
            <v/>
          </cell>
          <cell r="O135">
            <v>22</v>
          </cell>
          <cell r="T135" t="str">
            <v>000000000004071</v>
          </cell>
        </row>
        <row r="136">
          <cell r="B136" t="str">
            <v>使用数</v>
          </cell>
          <cell r="C136" t="str">
            <v>LED-A888</v>
          </cell>
          <cell r="D136">
            <v>45820</v>
          </cell>
          <cell r="E136" t="str">
            <v>25E28-10</v>
          </cell>
          <cell r="F136">
            <v>26</v>
          </cell>
          <cell r="G136">
            <v>888.35</v>
          </cell>
          <cell r="H136">
            <v>888.39</v>
          </cell>
          <cell r="J136" t="str">
            <v/>
          </cell>
          <cell r="T136" t="str">
            <v>000000000004071</v>
          </cell>
        </row>
        <row r="137">
          <cell r="B137">
            <v>20</v>
          </cell>
          <cell r="C137">
            <v>20</v>
          </cell>
          <cell r="D137">
            <v>45820</v>
          </cell>
          <cell r="E137" t="str">
            <v>25E28-10</v>
          </cell>
          <cell r="F137">
            <v>26</v>
          </cell>
          <cell r="G137">
            <v>888.35</v>
          </cell>
          <cell r="H137">
            <v>888.4</v>
          </cell>
          <cell r="J137" t="str">
            <v/>
          </cell>
          <cell r="O137" t="str">
            <v>水野</v>
          </cell>
          <cell r="T137" t="str">
            <v>000000000004071</v>
          </cell>
        </row>
        <row r="138">
          <cell r="D138">
            <v>45820</v>
          </cell>
          <cell r="E138" t="str">
            <v>25E28-10</v>
          </cell>
          <cell r="F138">
            <v>26</v>
          </cell>
          <cell r="G138">
            <v>888.35</v>
          </cell>
          <cell r="H138">
            <v>888.38</v>
          </cell>
          <cell r="I138" t="str">
            <v>合計</v>
          </cell>
          <cell r="J138">
            <v>2022</v>
          </cell>
          <cell r="K138">
            <v>1011</v>
          </cell>
          <cell r="L138" t="str">
            <v>合計</v>
          </cell>
          <cell r="M138">
            <v>20</v>
          </cell>
          <cell r="O138" t="str">
            <v>高森</v>
          </cell>
          <cell r="P138">
            <v>22</v>
          </cell>
          <cell r="T138" t="str">
            <v>000000000004071</v>
          </cell>
        </row>
        <row r="139">
          <cell r="B139" t="str">
            <v>00762354</v>
          </cell>
          <cell r="C139" t="str">
            <v>灯具カバーPC IN 2140　L=547</v>
          </cell>
          <cell r="I139" t="str">
            <v/>
          </cell>
          <cell r="J139" t="str">
            <v/>
          </cell>
          <cell r="O139">
            <v>0</v>
          </cell>
          <cell r="T139" t="str">
            <v>000000000004195</v>
          </cell>
        </row>
        <row r="140">
          <cell r="G140" t="str">
            <v/>
          </cell>
          <cell r="J140" t="str">
            <v/>
          </cell>
          <cell r="O140">
            <v>80</v>
          </cell>
          <cell r="T140" t="str">
            <v>000000000004195</v>
          </cell>
        </row>
        <row r="141">
          <cell r="B141" t="str">
            <v>+公差</v>
          </cell>
          <cell r="C141">
            <v>80</v>
          </cell>
          <cell r="G141" t="str">
            <v/>
          </cell>
          <cell r="J141" t="str">
            <v/>
          </cell>
          <cell r="O141">
            <v>80</v>
          </cell>
          <cell r="T141" t="str">
            <v>000000000004195</v>
          </cell>
        </row>
        <row r="142">
          <cell r="G142" t="str">
            <v/>
          </cell>
          <cell r="J142" t="str">
            <v/>
          </cell>
          <cell r="O142">
            <v>0</v>
          </cell>
          <cell r="T142" t="str">
            <v>000000000004195</v>
          </cell>
        </row>
        <row r="143">
          <cell r="B143" t="str">
            <v>+2</v>
          </cell>
          <cell r="C143">
            <v>1</v>
          </cell>
          <cell r="G143" t="str">
            <v/>
          </cell>
          <cell r="J143" t="str">
            <v/>
          </cell>
          <cell r="O143">
            <v>0</v>
          </cell>
          <cell r="T143" t="str">
            <v>000000000004195</v>
          </cell>
        </row>
        <row r="144">
          <cell r="B144" t="str">
            <v>使用数</v>
          </cell>
          <cell r="C144" t="str">
            <v>灯具-1　L=1370</v>
          </cell>
          <cell r="G144" t="str">
            <v/>
          </cell>
          <cell r="J144" t="str">
            <v/>
          </cell>
          <cell r="T144" t="str">
            <v>000000000004195</v>
          </cell>
        </row>
        <row r="145">
          <cell r="B145">
            <v>0</v>
          </cell>
          <cell r="C145">
            <v>0</v>
          </cell>
          <cell r="G145" t="str">
            <v/>
          </cell>
          <cell r="J145" t="str">
            <v/>
          </cell>
          <cell r="T145" t="str">
            <v>000000000004195</v>
          </cell>
        </row>
        <row r="146">
          <cell r="G146" t="str">
            <v/>
          </cell>
          <cell r="I146" t="str">
            <v>合計</v>
          </cell>
          <cell r="J146" t="str">
            <v/>
          </cell>
          <cell r="K146">
            <v>0</v>
          </cell>
          <cell r="L146" t="str">
            <v>合計</v>
          </cell>
          <cell r="M146">
            <v>0</v>
          </cell>
          <cell r="P146">
            <v>0</v>
          </cell>
          <cell r="T146" t="str">
            <v>000000000004195</v>
          </cell>
        </row>
        <row r="147">
          <cell r="B147" t="str">
            <v>00762352</v>
          </cell>
          <cell r="C147" t="str">
            <v>灯具カバーPC 2200  L=221.8</v>
          </cell>
          <cell r="I147" t="str">
            <v/>
          </cell>
          <cell r="J147" t="str">
            <v/>
          </cell>
          <cell r="O147">
            <v>0</v>
          </cell>
          <cell r="T147" t="str">
            <v>000000000004193</v>
          </cell>
        </row>
        <row r="148">
          <cell r="G148" t="str">
            <v/>
          </cell>
          <cell r="J148" t="str">
            <v/>
          </cell>
          <cell r="O148">
            <v>20</v>
          </cell>
          <cell r="T148" t="str">
            <v>000000000004193</v>
          </cell>
        </row>
        <row r="149">
          <cell r="B149" t="str">
            <v>+公差</v>
          </cell>
          <cell r="C149">
            <v>20</v>
          </cell>
          <cell r="G149" t="str">
            <v/>
          </cell>
          <cell r="J149" t="str">
            <v/>
          </cell>
          <cell r="O149">
            <v>10</v>
          </cell>
          <cell r="T149" t="str">
            <v>000000000004193</v>
          </cell>
        </row>
        <row r="150">
          <cell r="G150" t="str">
            <v/>
          </cell>
          <cell r="J150" t="str">
            <v/>
          </cell>
          <cell r="O150">
            <v>0</v>
          </cell>
          <cell r="T150" t="str">
            <v>000000000004193</v>
          </cell>
        </row>
        <row r="151">
          <cell r="B151" t="str">
            <v>+2</v>
          </cell>
          <cell r="C151">
            <v>2</v>
          </cell>
          <cell r="G151" t="str">
            <v/>
          </cell>
          <cell r="J151" t="str">
            <v/>
          </cell>
          <cell r="O151">
            <v>0</v>
          </cell>
          <cell r="T151" t="str">
            <v>000000000004193</v>
          </cell>
        </row>
        <row r="152">
          <cell r="B152" t="str">
            <v>使用数</v>
          </cell>
          <cell r="C152" t="str">
            <v>H型ジョイナー</v>
          </cell>
          <cell r="G152" t="str">
            <v/>
          </cell>
          <cell r="J152" t="str">
            <v/>
          </cell>
          <cell r="T152" t="str">
            <v>000000000004193</v>
          </cell>
        </row>
        <row r="153">
          <cell r="B153">
            <v>0</v>
          </cell>
          <cell r="C153">
            <v>0</v>
          </cell>
          <cell r="G153" t="str">
            <v/>
          </cell>
          <cell r="J153" t="str">
            <v/>
          </cell>
          <cell r="T153" t="str">
            <v>000000000004193</v>
          </cell>
        </row>
        <row r="154">
          <cell r="G154" t="str">
            <v/>
          </cell>
          <cell r="I154" t="str">
            <v>合計</v>
          </cell>
          <cell r="J154" t="str">
            <v/>
          </cell>
          <cell r="K154">
            <v>0</v>
          </cell>
          <cell r="L154" t="str">
            <v>合計</v>
          </cell>
          <cell r="M154">
            <v>0</v>
          </cell>
          <cell r="P154">
            <v>0</v>
          </cell>
          <cell r="T154" t="str">
            <v>000000000004193</v>
          </cell>
        </row>
        <row r="155">
          <cell r="B155" t="str">
            <v>00762358</v>
          </cell>
          <cell r="C155" t="str">
            <v>灯具カバーPC IN 2060　L=1258.5</v>
          </cell>
          <cell r="I155" t="str">
            <v/>
          </cell>
          <cell r="J155" t="str">
            <v/>
          </cell>
          <cell r="O155">
            <v>0</v>
          </cell>
          <cell r="T155" t="str">
            <v>000000000004199</v>
          </cell>
        </row>
        <row r="156">
          <cell r="G156" t="str">
            <v/>
          </cell>
          <cell r="J156" t="str">
            <v/>
          </cell>
          <cell r="O156">
            <v>80</v>
          </cell>
          <cell r="T156" t="str">
            <v>000000000004199</v>
          </cell>
        </row>
        <row r="157">
          <cell r="B157" t="str">
            <v>+公差</v>
          </cell>
          <cell r="C157">
            <v>80</v>
          </cell>
          <cell r="G157" t="str">
            <v/>
          </cell>
          <cell r="J157" t="str">
            <v/>
          </cell>
          <cell r="O157">
            <v>80</v>
          </cell>
          <cell r="T157" t="str">
            <v>000000000004199</v>
          </cell>
        </row>
        <row r="158">
          <cell r="G158" t="str">
            <v/>
          </cell>
          <cell r="J158" t="str">
            <v/>
          </cell>
          <cell r="O158">
            <v>0</v>
          </cell>
          <cell r="T158" t="str">
            <v>000000000004199</v>
          </cell>
        </row>
        <row r="159">
          <cell r="B159" t="str">
            <v>+2</v>
          </cell>
          <cell r="C159">
            <v>1</v>
          </cell>
          <cell r="G159" t="str">
            <v/>
          </cell>
          <cell r="J159" t="str">
            <v/>
          </cell>
          <cell r="O159">
            <v>0</v>
          </cell>
          <cell r="T159" t="str">
            <v>000000000004199</v>
          </cell>
        </row>
        <row r="160">
          <cell r="B160" t="str">
            <v>使用数</v>
          </cell>
          <cell r="C160" t="str">
            <v>灯具-1　L=1370</v>
          </cell>
          <cell r="G160" t="str">
            <v/>
          </cell>
          <cell r="J160" t="str">
            <v/>
          </cell>
          <cell r="T160" t="str">
            <v>000000000004199</v>
          </cell>
        </row>
        <row r="161">
          <cell r="B161">
            <v>0</v>
          </cell>
          <cell r="C161">
            <v>0</v>
          </cell>
          <cell r="G161" t="str">
            <v/>
          </cell>
          <cell r="J161" t="str">
            <v/>
          </cell>
          <cell r="T161" t="str">
            <v>000000000004199</v>
          </cell>
        </row>
        <row r="162">
          <cell r="G162" t="str">
            <v/>
          </cell>
          <cell r="I162" t="str">
            <v>合計</v>
          </cell>
          <cell r="J162" t="str">
            <v/>
          </cell>
          <cell r="K162">
            <v>0</v>
          </cell>
          <cell r="L162" t="str">
            <v>合計</v>
          </cell>
          <cell r="M162">
            <v>0</v>
          </cell>
          <cell r="P162">
            <v>0</v>
          </cell>
          <cell r="T162" t="str">
            <v>000000000004199</v>
          </cell>
        </row>
        <row r="163">
          <cell r="B163" t="str">
            <v>00762353</v>
          </cell>
          <cell r="C163" t="str">
            <v>灯具カバーPC 7530  L=565</v>
          </cell>
          <cell r="I163" t="str">
            <v/>
          </cell>
          <cell r="J163" t="str">
            <v/>
          </cell>
          <cell r="O163">
            <v>0</v>
          </cell>
          <cell r="T163" t="str">
            <v>000000000004194</v>
          </cell>
        </row>
        <row r="164">
          <cell r="G164" t="str">
            <v/>
          </cell>
          <cell r="J164" t="str">
            <v/>
          </cell>
          <cell r="O164">
            <v>20</v>
          </cell>
          <cell r="T164" t="str">
            <v>000000000004194</v>
          </cell>
        </row>
        <row r="165">
          <cell r="B165" t="str">
            <v>+公差</v>
          </cell>
          <cell r="C165">
            <v>20</v>
          </cell>
          <cell r="G165" t="str">
            <v/>
          </cell>
          <cell r="J165" t="str">
            <v/>
          </cell>
          <cell r="O165">
            <v>10</v>
          </cell>
          <cell r="T165" t="str">
            <v>000000000004194</v>
          </cell>
        </row>
        <row r="166">
          <cell r="G166" t="str">
            <v/>
          </cell>
          <cell r="J166" t="str">
            <v/>
          </cell>
          <cell r="O166">
            <v>0</v>
          </cell>
          <cell r="T166" t="str">
            <v>000000000004194</v>
          </cell>
        </row>
        <row r="167">
          <cell r="B167" t="str">
            <v>+2</v>
          </cell>
          <cell r="C167">
            <v>2</v>
          </cell>
          <cell r="G167" t="str">
            <v/>
          </cell>
          <cell r="J167" t="str">
            <v/>
          </cell>
          <cell r="O167">
            <v>0</v>
          </cell>
          <cell r="T167" t="str">
            <v>000000000004194</v>
          </cell>
        </row>
        <row r="168">
          <cell r="B168" t="str">
            <v>使用数</v>
          </cell>
          <cell r="C168" t="str">
            <v>H型ジョイナー</v>
          </cell>
          <cell r="G168" t="str">
            <v/>
          </cell>
          <cell r="J168" t="str">
            <v/>
          </cell>
          <cell r="T168" t="str">
            <v>000000000004194</v>
          </cell>
        </row>
        <row r="169">
          <cell r="B169">
            <v>0</v>
          </cell>
          <cell r="C169">
            <v>0</v>
          </cell>
          <cell r="G169" t="str">
            <v/>
          </cell>
          <cell r="J169" t="str">
            <v/>
          </cell>
          <cell r="T169" t="str">
            <v>000000000004194</v>
          </cell>
        </row>
        <row r="170">
          <cell r="G170" t="str">
            <v/>
          </cell>
          <cell r="I170" t="str">
            <v>合計</v>
          </cell>
          <cell r="J170" t="str">
            <v/>
          </cell>
          <cell r="K170">
            <v>0</v>
          </cell>
          <cell r="L170" t="str">
            <v>合計</v>
          </cell>
          <cell r="M170">
            <v>0</v>
          </cell>
          <cell r="P170">
            <v>0</v>
          </cell>
          <cell r="T170" t="str">
            <v>000000000004194</v>
          </cell>
        </row>
        <row r="171">
          <cell r="B171" t="str">
            <v>00762356</v>
          </cell>
          <cell r="C171" t="str">
            <v>灯具カバーPC IN 2130　L=908</v>
          </cell>
          <cell r="I171" t="str">
            <v/>
          </cell>
          <cell r="J171" t="str">
            <v/>
          </cell>
          <cell r="O171">
            <v>0</v>
          </cell>
          <cell r="T171" t="str">
            <v>000000000004197</v>
          </cell>
        </row>
        <row r="172">
          <cell r="G172" t="str">
            <v/>
          </cell>
          <cell r="J172" t="str">
            <v/>
          </cell>
          <cell r="O172">
            <v>192</v>
          </cell>
          <cell r="T172" t="str">
            <v>000000000004197</v>
          </cell>
        </row>
        <row r="173">
          <cell r="B173" t="str">
            <v>+公差</v>
          </cell>
          <cell r="C173">
            <v>192</v>
          </cell>
          <cell r="G173" t="str">
            <v/>
          </cell>
          <cell r="J173" t="str">
            <v/>
          </cell>
          <cell r="O173">
            <v>192</v>
          </cell>
          <cell r="T173" t="str">
            <v>000000000004197</v>
          </cell>
        </row>
        <row r="174">
          <cell r="G174" t="str">
            <v/>
          </cell>
          <cell r="J174" t="str">
            <v/>
          </cell>
          <cell r="O174">
            <v>0</v>
          </cell>
          <cell r="T174" t="str">
            <v>000000000004197</v>
          </cell>
        </row>
        <row r="175">
          <cell r="B175" t="str">
            <v>+2</v>
          </cell>
          <cell r="C175">
            <v>1</v>
          </cell>
          <cell r="G175" t="str">
            <v/>
          </cell>
          <cell r="J175" t="str">
            <v/>
          </cell>
          <cell r="O175">
            <v>0</v>
          </cell>
          <cell r="T175" t="str">
            <v>000000000004197</v>
          </cell>
        </row>
        <row r="176">
          <cell r="B176" t="str">
            <v>使用数</v>
          </cell>
          <cell r="C176" t="str">
            <v>灯具-1　L=1370</v>
          </cell>
          <cell r="G176" t="str">
            <v/>
          </cell>
          <cell r="J176" t="str">
            <v/>
          </cell>
          <cell r="T176" t="str">
            <v>000000000004197</v>
          </cell>
        </row>
        <row r="177">
          <cell r="B177">
            <v>0</v>
          </cell>
          <cell r="C177">
            <v>0</v>
          </cell>
          <cell r="G177" t="str">
            <v/>
          </cell>
          <cell r="J177" t="str">
            <v/>
          </cell>
          <cell r="T177" t="str">
            <v>000000000004197</v>
          </cell>
        </row>
        <row r="178">
          <cell r="G178" t="str">
            <v/>
          </cell>
          <cell r="I178" t="str">
            <v>合計</v>
          </cell>
          <cell r="J178" t="str">
            <v/>
          </cell>
          <cell r="K178">
            <v>0</v>
          </cell>
          <cell r="L178" t="str">
            <v>合計</v>
          </cell>
          <cell r="M178">
            <v>0</v>
          </cell>
          <cell r="P178">
            <v>0</v>
          </cell>
          <cell r="T178" t="str">
            <v>000000000004197</v>
          </cell>
        </row>
        <row r="179">
          <cell r="B179" t="str">
            <v>00762355</v>
          </cell>
          <cell r="C179" t="str">
            <v>灯具カバーPC IN 2090　L=840</v>
          </cell>
          <cell r="I179" t="str">
            <v/>
          </cell>
          <cell r="J179" t="str">
            <v/>
          </cell>
          <cell r="O179">
            <v>0</v>
          </cell>
          <cell r="T179" t="str">
            <v>000000000004196</v>
          </cell>
        </row>
        <row r="180">
          <cell r="G180" t="str">
            <v/>
          </cell>
          <cell r="J180" t="str">
            <v/>
          </cell>
          <cell r="O180">
            <v>192</v>
          </cell>
          <cell r="T180" t="str">
            <v>000000000004196</v>
          </cell>
        </row>
        <row r="181">
          <cell r="B181" t="str">
            <v>+公差</v>
          </cell>
          <cell r="C181">
            <v>192</v>
          </cell>
          <cell r="G181" t="str">
            <v/>
          </cell>
          <cell r="J181" t="str">
            <v/>
          </cell>
          <cell r="O181">
            <v>192</v>
          </cell>
          <cell r="T181" t="str">
            <v>000000000004196</v>
          </cell>
        </row>
        <row r="182">
          <cell r="G182" t="str">
            <v/>
          </cell>
          <cell r="J182" t="str">
            <v/>
          </cell>
          <cell r="O182">
            <v>0</v>
          </cell>
          <cell r="T182" t="str">
            <v>000000000004196</v>
          </cell>
        </row>
        <row r="183">
          <cell r="B183" t="str">
            <v>+2</v>
          </cell>
          <cell r="C183">
            <v>1</v>
          </cell>
          <cell r="G183" t="str">
            <v/>
          </cell>
          <cell r="J183" t="str">
            <v/>
          </cell>
          <cell r="O183">
            <v>0</v>
          </cell>
          <cell r="T183" t="str">
            <v>000000000004196</v>
          </cell>
        </row>
        <row r="184">
          <cell r="B184" t="str">
            <v>使用数</v>
          </cell>
          <cell r="C184" t="str">
            <v>灯具-2　L＝1996</v>
          </cell>
          <cell r="G184" t="str">
            <v/>
          </cell>
          <cell r="J184" t="str">
            <v/>
          </cell>
          <cell r="T184" t="str">
            <v>000000000004196</v>
          </cell>
        </row>
        <row r="185">
          <cell r="B185">
            <v>0</v>
          </cell>
          <cell r="C185">
            <v>0</v>
          </cell>
          <cell r="G185" t="str">
            <v/>
          </cell>
          <cell r="J185" t="str">
            <v/>
          </cell>
          <cell r="T185" t="str">
            <v>000000000004196</v>
          </cell>
        </row>
        <row r="186">
          <cell r="G186" t="str">
            <v/>
          </cell>
          <cell r="I186" t="str">
            <v>合計</v>
          </cell>
          <cell r="J186" t="str">
            <v/>
          </cell>
          <cell r="K186">
            <v>0</v>
          </cell>
          <cell r="L186" t="str">
            <v>合計</v>
          </cell>
          <cell r="M186">
            <v>0</v>
          </cell>
          <cell r="P186">
            <v>0</v>
          </cell>
          <cell r="T186" t="str">
            <v>000000000004196</v>
          </cell>
        </row>
        <row r="187">
          <cell r="B187" t="str">
            <v>00762362</v>
          </cell>
          <cell r="C187" t="str">
            <v>灯具カバーPC IN 2100　L=1923</v>
          </cell>
          <cell r="I187" t="str">
            <v/>
          </cell>
          <cell r="J187" t="str">
            <v/>
          </cell>
          <cell r="O187">
            <v>0</v>
          </cell>
          <cell r="T187" t="str">
            <v>000000000004203</v>
          </cell>
        </row>
        <row r="188">
          <cell r="G188" t="str">
            <v/>
          </cell>
          <cell r="J188" t="str">
            <v/>
          </cell>
          <cell r="O188">
            <v>96</v>
          </cell>
          <cell r="T188" t="str">
            <v>000000000004203</v>
          </cell>
        </row>
        <row r="189">
          <cell r="B189" t="str">
            <v>+公差</v>
          </cell>
          <cell r="C189">
            <v>96</v>
          </cell>
          <cell r="G189" t="str">
            <v/>
          </cell>
          <cell r="J189" t="str">
            <v/>
          </cell>
          <cell r="O189">
            <v>96</v>
          </cell>
          <cell r="T189" t="str">
            <v>000000000004203</v>
          </cell>
        </row>
        <row r="190">
          <cell r="G190" t="str">
            <v/>
          </cell>
          <cell r="J190" t="str">
            <v/>
          </cell>
          <cell r="O190">
            <v>0</v>
          </cell>
          <cell r="T190" t="str">
            <v>000000000004203</v>
          </cell>
        </row>
        <row r="191">
          <cell r="B191" t="str">
            <v>+2</v>
          </cell>
          <cell r="C191">
            <v>1</v>
          </cell>
          <cell r="G191" t="str">
            <v/>
          </cell>
          <cell r="J191" t="str">
            <v/>
          </cell>
          <cell r="O191">
            <v>0</v>
          </cell>
          <cell r="T191" t="str">
            <v>000000000004203</v>
          </cell>
        </row>
        <row r="192">
          <cell r="B192" t="str">
            <v>使用数</v>
          </cell>
          <cell r="C192" t="str">
            <v>灯具-2　L＝1996</v>
          </cell>
          <cell r="G192" t="str">
            <v/>
          </cell>
          <cell r="J192" t="str">
            <v/>
          </cell>
          <cell r="T192" t="str">
            <v>000000000004203</v>
          </cell>
        </row>
        <row r="193">
          <cell r="B193">
            <v>0</v>
          </cell>
          <cell r="C193">
            <v>0</v>
          </cell>
          <cell r="G193" t="str">
            <v/>
          </cell>
          <cell r="J193" t="str">
            <v/>
          </cell>
          <cell r="T193" t="str">
            <v>000000000004203</v>
          </cell>
        </row>
        <row r="194">
          <cell r="G194" t="str">
            <v/>
          </cell>
          <cell r="I194" t="str">
            <v>合計</v>
          </cell>
          <cell r="J194" t="str">
            <v/>
          </cell>
          <cell r="K194">
            <v>0</v>
          </cell>
          <cell r="L194" t="str">
            <v>合計</v>
          </cell>
          <cell r="M194">
            <v>0</v>
          </cell>
          <cell r="P194">
            <v>0</v>
          </cell>
          <cell r="T194" t="str">
            <v>000000000004203</v>
          </cell>
        </row>
        <row r="195">
          <cell r="B195" t="str">
            <v>00762357</v>
          </cell>
          <cell r="C195" t="str">
            <v>灯具カバーPC IN 2480　L=954</v>
          </cell>
          <cell r="I195" t="str">
            <v/>
          </cell>
          <cell r="J195" t="str">
            <v/>
          </cell>
          <cell r="O195">
            <v>0</v>
          </cell>
          <cell r="T195" t="str">
            <v>000000000004198</v>
          </cell>
        </row>
        <row r="196">
          <cell r="G196" t="str">
            <v/>
          </cell>
          <cell r="J196" t="str">
            <v/>
          </cell>
          <cell r="O196">
            <v>96</v>
          </cell>
          <cell r="T196" t="str">
            <v>000000000004198</v>
          </cell>
        </row>
        <row r="197">
          <cell r="B197" t="str">
            <v>+公差</v>
          </cell>
          <cell r="C197">
            <v>96</v>
          </cell>
          <cell r="G197" t="str">
            <v/>
          </cell>
          <cell r="J197" t="str">
            <v/>
          </cell>
          <cell r="O197">
            <v>96</v>
          </cell>
          <cell r="T197" t="str">
            <v>000000000004198</v>
          </cell>
        </row>
        <row r="198">
          <cell r="G198" t="str">
            <v/>
          </cell>
          <cell r="J198" t="str">
            <v/>
          </cell>
          <cell r="O198">
            <v>0</v>
          </cell>
          <cell r="T198" t="str">
            <v>000000000004198</v>
          </cell>
        </row>
        <row r="199">
          <cell r="B199" t="str">
            <v>+2</v>
          </cell>
          <cell r="C199">
            <v>1</v>
          </cell>
          <cell r="G199" t="str">
            <v/>
          </cell>
          <cell r="J199" t="str">
            <v/>
          </cell>
          <cell r="O199">
            <v>0</v>
          </cell>
          <cell r="T199" t="str">
            <v>000000000004198</v>
          </cell>
        </row>
        <row r="200">
          <cell r="B200" t="str">
            <v>使用数</v>
          </cell>
          <cell r="C200" t="str">
            <v>灯具-1　L=1370</v>
          </cell>
          <cell r="G200" t="str">
            <v/>
          </cell>
          <cell r="J200" t="str">
            <v/>
          </cell>
          <cell r="T200" t="str">
            <v>000000000004198</v>
          </cell>
        </row>
        <row r="201">
          <cell r="B201">
            <v>0</v>
          </cell>
          <cell r="C201">
            <v>0</v>
          </cell>
          <cell r="G201" t="str">
            <v/>
          </cell>
          <cell r="J201" t="str">
            <v/>
          </cell>
          <cell r="T201" t="str">
            <v>000000000004198</v>
          </cell>
        </row>
        <row r="202">
          <cell r="G202" t="str">
            <v/>
          </cell>
          <cell r="I202" t="str">
            <v>合計</v>
          </cell>
          <cell r="J202" t="str">
            <v/>
          </cell>
          <cell r="K202">
            <v>0</v>
          </cell>
          <cell r="L202" t="str">
            <v>合計</v>
          </cell>
          <cell r="M202">
            <v>0</v>
          </cell>
          <cell r="P202">
            <v>0</v>
          </cell>
          <cell r="T202" t="str">
            <v>000000000004198</v>
          </cell>
        </row>
        <row r="203">
          <cell r="B203" t="str">
            <v>00762359</v>
          </cell>
          <cell r="C203" t="str">
            <v>灯具カバーPC IN 2490　L=1264</v>
          </cell>
          <cell r="I203" t="str">
            <v/>
          </cell>
          <cell r="J203" t="str">
            <v/>
          </cell>
          <cell r="O203">
            <v>0</v>
          </cell>
          <cell r="T203" t="str">
            <v>000000000004200</v>
          </cell>
        </row>
        <row r="204">
          <cell r="G204" t="str">
            <v/>
          </cell>
          <cell r="J204" t="str">
            <v/>
          </cell>
          <cell r="O204">
            <v>96</v>
          </cell>
          <cell r="T204" t="str">
            <v>000000000004200</v>
          </cell>
        </row>
        <row r="205">
          <cell r="B205" t="str">
            <v>+公差</v>
          </cell>
          <cell r="C205">
            <v>96</v>
          </cell>
          <cell r="G205" t="str">
            <v/>
          </cell>
          <cell r="J205" t="str">
            <v/>
          </cell>
          <cell r="O205">
            <v>96</v>
          </cell>
          <cell r="T205" t="str">
            <v>000000000004200</v>
          </cell>
        </row>
        <row r="206">
          <cell r="G206" t="str">
            <v/>
          </cell>
          <cell r="J206" t="str">
            <v/>
          </cell>
          <cell r="O206">
            <v>0</v>
          </cell>
          <cell r="T206" t="str">
            <v>000000000004200</v>
          </cell>
        </row>
        <row r="207">
          <cell r="B207" t="str">
            <v>+2</v>
          </cell>
          <cell r="C207">
            <v>1</v>
          </cell>
          <cell r="G207" t="str">
            <v/>
          </cell>
          <cell r="J207" t="str">
            <v/>
          </cell>
          <cell r="O207">
            <v>0</v>
          </cell>
          <cell r="T207" t="str">
            <v>000000000004200</v>
          </cell>
        </row>
        <row r="208">
          <cell r="B208" t="str">
            <v>使用数</v>
          </cell>
          <cell r="C208" t="str">
            <v>灯具-1　L=1370</v>
          </cell>
          <cell r="G208" t="str">
            <v/>
          </cell>
          <cell r="J208" t="str">
            <v/>
          </cell>
          <cell r="T208" t="str">
            <v>000000000004200</v>
          </cell>
        </row>
        <row r="209">
          <cell r="B209">
            <v>0</v>
          </cell>
          <cell r="C209">
            <v>0</v>
          </cell>
          <cell r="G209" t="str">
            <v/>
          </cell>
          <cell r="J209" t="str">
            <v/>
          </cell>
          <cell r="T209" t="str">
            <v>000000000004200</v>
          </cell>
        </row>
        <row r="210">
          <cell r="G210" t="str">
            <v/>
          </cell>
          <cell r="I210" t="str">
            <v>合計</v>
          </cell>
          <cell r="J210" t="str">
            <v/>
          </cell>
          <cell r="K210">
            <v>0</v>
          </cell>
          <cell r="L210" t="str">
            <v>合計</v>
          </cell>
          <cell r="M210">
            <v>0</v>
          </cell>
          <cell r="P210">
            <v>0</v>
          </cell>
          <cell r="T210" t="str">
            <v>000000000004200</v>
          </cell>
        </row>
        <row r="211">
          <cell r="B211" t="str">
            <v>00762361</v>
          </cell>
          <cell r="C211" t="str">
            <v>灯具カバーPC IN 2110　L=1815</v>
          </cell>
          <cell r="I211" t="str">
            <v/>
          </cell>
          <cell r="J211" t="str">
            <v/>
          </cell>
          <cell r="O211">
            <v>0</v>
          </cell>
          <cell r="T211" t="str">
            <v>000000000004202</v>
          </cell>
        </row>
        <row r="212">
          <cell r="G212" t="str">
            <v/>
          </cell>
          <cell r="J212" t="str">
            <v/>
          </cell>
          <cell r="O212">
            <v>192</v>
          </cell>
          <cell r="T212" t="str">
            <v>000000000004202</v>
          </cell>
        </row>
        <row r="213">
          <cell r="B213" t="str">
            <v>+公差</v>
          </cell>
          <cell r="C213">
            <v>192</v>
          </cell>
          <cell r="G213" t="str">
            <v/>
          </cell>
          <cell r="J213" t="str">
            <v/>
          </cell>
          <cell r="O213">
            <v>192</v>
          </cell>
          <cell r="T213" t="str">
            <v>000000000004202</v>
          </cell>
        </row>
        <row r="214">
          <cell r="G214" t="str">
            <v/>
          </cell>
          <cell r="J214" t="str">
            <v/>
          </cell>
          <cell r="O214">
            <v>0</v>
          </cell>
          <cell r="T214" t="str">
            <v>000000000004202</v>
          </cell>
        </row>
        <row r="215">
          <cell r="B215" t="str">
            <v>+2</v>
          </cell>
          <cell r="C215">
            <v>1</v>
          </cell>
          <cell r="G215" t="str">
            <v/>
          </cell>
          <cell r="J215" t="str">
            <v/>
          </cell>
          <cell r="O215">
            <v>0</v>
          </cell>
          <cell r="T215" t="str">
            <v>000000000004202</v>
          </cell>
        </row>
        <row r="216">
          <cell r="B216" t="str">
            <v>使用数</v>
          </cell>
          <cell r="C216" t="str">
            <v>灯具-2　L＝1996</v>
          </cell>
          <cell r="G216" t="str">
            <v/>
          </cell>
          <cell r="J216" t="str">
            <v/>
          </cell>
          <cell r="T216" t="str">
            <v>000000000004202</v>
          </cell>
        </row>
        <row r="217">
          <cell r="B217">
            <v>0</v>
          </cell>
          <cell r="C217">
            <v>0</v>
          </cell>
          <cell r="G217" t="str">
            <v/>
          </cell>
          <cell r="J217" t="str">
            <v/>
          </cell>
          <cell r="T217" t="str">
            <v>000000000004202</v>
          </cell>
        </row>
        <row r="218">
          <cell r="G218" t="str">
            <v/>
          </cell>
          <cell r="I218" t="str">
            <v>合計</v>
          </cell>
          <cell r="J218" t="str">
            <v/>
          </cell>
          <cell r="K218">
            <v>0</v>
          </cell>
          <cell r="L218" t="str">
            <v>合計</v>
          </cell>
          <cell r="M218">
            <v>0</v>
          </cell>
          <cell r="P218">
            <v>0</v>
          </cell>
          <cell r="T218" t="str">
            <v>000000000004202</v>
          </cell>
        </row>
        <row r="219">
          <cell r="B219" t="str">
            <v>00762360</v>
          </cell>
          <cell r="C219" t="str">
            <v>灯具カバーPC IN 2460　L=1291</v>
          </cell>
          <cell r="I219" t="str">
            <v/>
          </cell>
          <cell r="J219" t="str">
            <v/>
          </cell>
          <cell r="O219">
            <v>0</v>
          </cell>
          <cell r="T219" t="str">
            <v>000000000004201</v>
          </cell>
        </row>
        <row r="220">
          <cell r="G220" t="str">
            <v/>
          </cell>
          <cell r="J220" t="str">
            <v/>
          </cell>
          <cell r="O220">
            <v>96</v>
          </cell>
          <cell r="T220" t="str">
            <v>000000000004201</v>
          </cell>
        </row>
        <row r="221">
          <cell r="B221" t="str">
            <v>+公差</v>
          </cell>
          <cell r="C221">
            <v>96</v>
          </cell>
          <cell r="G221" t="str">
            <v/>
          </cell>
          <cell r="J221" t="str">
            <v/>
          </cell>
          <cell r="O221">
            <v>96</v>
          </cell>
          <cell r="T221" t="str">
            <v>000000000004201</v>
          </cell>
        </row>
        <row r="222">
          <cell r="G222" t="str">
            <v/>
          </cell>
          <cell r="J222" t="str">
            <v/>
          </cell>
          <cell r="O222">
            <v>0</v>
          </cell>
          <cell r="T222" t="str">
            <v>000000000004201</v>
          </cell>
        </row>
        <row r="223">
          <cell r="B223" t="str">
            <v>+2</v>
          </cell>
          <cell r="C223">
            <v>1</v>
          </cell>
          <cell r="G223" t="str">
            <v/>
          </cell>
          <cell r="J223" t="str">
            <v/>
          </cell>
          <cell r="O223">
            <v>0</v>
          </cell>
          <cell r="T223" t="str">
            <v>000000000004201</v>
          </cell>
        </row>
        <row r="224">
          <cell r="B224" t="str">
            <v>使用数</v>
          </cell>
          <cell r="C224" t="str">
            <v>灯具-1　L=1370</v>
          </cell>
          <cell r="G224" t="str">
            <v/>
          </cell>
          <cell r="J224" t="str">
            <v/>
          </cell>
          <cell r="T224" t="str">
            <v>000000000004201</v>
          </cell>
        </row>
        <row r="225">
          <cell r="B225">
            <v>0</v>
          </cell>
          <cell r="C225">
            <v>0</v>
          </cell>
          <cell r="G225" t="str">
            <v/>
          </cell>
          <cell r="J225" t="str">
            <v/>
          </cell>
          <cell r="T225" t="str">
            <v>000000000004201</v>
          </cell>
        </row>
        <row r="226">
          <cell r="G226" t="str">
            <v/>
          </cell>
          <cell r="I226" t="str">
            <v>合計</v>
          </cell>
          <cell r="J226" t="str">
            <v/>
          </cell>
          <cell r="K226">
            <v>0</v>
          </cell>
          <cell r="L226" t="str">
            <v>合計</v>
          </cell>
          <cell r="M226">
            <v>0</v>
          </cell>
          <cell r="P226">
            <v>0</v>
          </cell>
          <cell r="T226" t="str">
            <v>000000000004201</v>
          </cell>
        </row>
        <row r="227">
          <cell r="B227" t="str">
            <v>00762363</v>
          </cell>
          <cell r="C227" t="str">
            <v>灯具カバーPC IN 2070　L=1966</v>
          </cell>
          <cell r="I227" t="str">
            <v/>
          </cell>
          <cell r="J227" t="str">
            <v/>
          </cell>
          <cell r="O227">
            <v>0</v>
          </cell>
          <cell r="T227" t="str">
            <v>000000000004204</v>
          </cell>
        </row>
        <row r="228">
          <cell r="G228" t="str">
            <v/>
          </cell>
          <cell r="J228" t="str">
            <v/>
          </cell>
          <cell r="O228">
            <v>96</v>
          </cell>
          <cell r="T228" t="str">
            <v>000000000004204</v>
          </cell>
        </row>
        <row r="229">
          <cell r="B229" t="str">
            <v>+公差</v>
          </cell>
          <cell r="C229">
            <v>96</v>
          </cell>
          <cell r="G229" t="str">
            <v/>
          </cell>
          <cell r="J229" t="str">
            <v/>
          </cell>
          <cell r="O229">
            <v>96</v>
          </cell>
          <cell r="T229" t="str">
            <v>000000000004204</v>
          </cell>
        </row>
        <row r="230">
          <cell r="G230" t="str">
            <v/>
          </cell>
          <cell r="J230" t="str">
            <v/>
          </cell>
          <cell r="O230">
            <v>0</v>
          </cell>
          <cell r="T230" t="str">
            <v>000000000004204</v>
          </cell>
        </row>
        <row r="231">
          <cell r="B231" t="str">
            <v>+2</v>
          </cell>
          <cell r="C231">
            <v>1</v>
          </cell>
          <cell r="G231" t="str">
            <v/>
          </cell>
          <cell r="J231" t="str">
            <v/>
          </cell>
          <cell r="O231">
            <v>0</v>
          </cell>
          <cell r="T231" t="str">
            <v>000000000004204</v>
          </cell>
        </row>
        <row r="232">
          <cell r="B232" t="str">
            <v>使用数</v>
          </cell>
          <cell r="C232" t="str">
            <v>灯具-2　L＝1996</v>
          </cell>
          <cell r="G232" t="str">
            <v/>
          </cell>
          <cell r="J232" t="str">
            <v/>
          </cell>
          <cell r="T232" t="str">
            <v>000000000004204</v>
          </cell>
        </row>
        <row r="233">
          <cell r="B233">
            <v>0</v>
          </cell>
          <cell r="C233">
            <v>0</v>
          </cell>
          <cell r="G233" t="str">
            <v/>
          </cell>
          <cell r="J233" t="str">
            <v/>
          </cell>
          <cell r="T233" t="str">
            <v>000000000004204</v>
          </cell>
        </row>
        <row r="234">
          <cell r="G234" t="str">
            <v/>
          </cell>
          <cell r="I234" t="str">
            <v>合計</v>
          </cell>
          <cell r="J234" t="str">
            <v/>
          </cell>
          <cell r="K234">
            <v>0</v>
          </cell>
          <cell r="L234" t="str">
            <v>合計</v>
          </cell>
          <cell r="M234">
            <v>0</v>
          </cell>
          <cell r="P234">
            <v>0</v>
          </cell>
          <cell r="T234" t="str">
            <v>000000000004204</v>
          </cell>
        </row>
        <row r="235">
          <cell r="B235" t="str">
            <v>00762885</v>
          </cell>
          <cell r="C235" t="str">
            <v>L型ｱﾝｸﾞﾙ　P-VH-A　L=1018</v>
          </cell>
          <cell r="I235" t="str">
            <v/>
          </cell>
          <cell r="J235" t="str">
            <v/>
          </cell>
          <cell r="O235">
            <v>0</v>
          </cell>
          <cell r="T235" t="str">
            <v>000000000004272</v>
          </cell>
        </row>
        <row r="236">
          <cell r="G236">
            <v>1017</v>
          </cell>
          <cell r="J236" t="str">
            <v/>
          </cell>
          <cell r="O236">
            <v>900</v>
          </cell>
          <cell r="T236" t="str">
            <v>000000000004272</v>
          </cell>
        </row>
        <row r="237">
          <cell r="B237" t="str">
            <v>+公差</v>
          </cell>
          <cell r="C237">
            <v>900</v>
          </cell>
          <cell r="G237">
            <v>1017</v>
          </cell>
          <cell r="J237" t="str">
            <v/>
          </cell>
          <cell r="O237">
            <v>900</v>
          </cell>
          <cell r="T237" t="str">
            <v>000000000004272</v>
          </cell>
        </row>
        <row r="238">
          <cell r="G238">
            <v>1017</v>
          </cell>
          <cell r="J238" t="str">
            <v/>
          </cell>
          <cell r="O238">
            <v>0</v>
          </cell>
          <cell r="T238" t="str">
            <v>000000000004272</v>
          </cell>
        </row>
        <row r="239">
          <cell r="B239">
            <v>0</v>
          </cell>
          <cell r="C239">
            <v>1</v>
          </cell>
          <cell r="G239">
            <v>1017</v>
          </cell>
          <cell r="J239" t="str">
            <v/>
          </cell>
          <cell r="O239">
            <v>0</v>
          </cell>
          <cell r="T239" t="str">
            <v>000000000004272</v>
          </cell>
        </row>
        <row r="240">
          <cell r="B240" t="str">
            <v>使用数</v>
          </cell>
          <cell r="C240" t="str">
            <v>T-60</v>
          </cell>
          <cell r="G240">
            <v>1017</v>
          </cell>
          <cell r="J240" t="str">
            <v/>
          </cell>
          <cell r="T240" t="str">
            <v>000000000004272</v>
          </cell>
        </row>
        <row r="241">
          <cell r="B241">
            <v>0</v>
          </cell>
          <cell r="C241">
            <v>0</v>
          </cell>
          <cell r="G241">
            <v>1017</v>
          </cell>
          <cell r="J241" t="str">
            <v/>
          </cell>
          <cell r="T241" t="str">
            <v>000000000004272</v>
          </cell>
        </row>
        <row r="242">
          <cell r="G242">
            <v>1017</v>
          </cell>
          <cell r="I242" t="str">
            <v>合計</v>
          </cell>
          <cell r="J242" t="str">
            <v/>
          </cell>
          <cell r="K242">
            <v>0</v>
          </cell>
          <cell r="L242" t="str">
            <v>合計</v>
          </cell>
          <cell r="M242">
            <v>0</v>
          </cell>
          <cell r="P242">
            <v>0</v>
          </cell>
          <cell r="T242" t="str">
            <v>000000000004272</v>
          </cell>
        </row>
        <row r="243">
          <cell r="B243" t="str">
            <v>00762884</v>
          </cell>
          <cell r="C243" t="str">
            <v>L型ｱﾝｸﾞﾙ　WT-56B　L=760　　</v>
          </cell>
          <cell r="I243" t="str">
            <v/>
          </cell>
          <cell r="J243" t="str">
            <v/>
          </cell>
          <cell r="O243">
            <v>0</v>
          </cell>
          <cell r="T243" t="str">
            <v>000000000004271</v>
          </cell>
        </row>
        <row r="244">
          <cell r="G244">
            <v>759</v>
          </cell>
          <cell r="J244" t="str">
            <v/>
          </cell>
          <cell r="O244">
            <v>400</v>
          </cell>
          <cell r="T244" t="str">
            <v>000000000004271</v>
          </cell>
        </row>
        <row r="245">
          <cell r="B245" t="str">
            <v>+公差</v>
          </cell>
          <cell r="C245">
            <v>400</v>
          </cell>
          <cell r="G245">
            <v>759</v>
          </cell>
          <cell r="J245" t="str">
            <v/>
          </cell>
          <cell r="O245">
            <v>200</v>
          </cell>
          <cell r="T245" t="str">
            <v>000000000004271</v>
          </cell>
        </row>
        <row r="246">
          <cell r="G246">
            <v>759</v>
          </cell>
          <cell r="J246" t="str">
            <v/>
          </cell>
          <cell r="O246">
            <v>0</v>
          </cell>
          <cell r="T246" t="str">
            <v>000000000004271</v>
          </cell>
        </row>
        <row r="247">
          <cell r="C247">
            <v>2</v>
          </cell>
          <cell r="G247">
            <v>759</v>
          </cell>
          <cell r="J247" t="str">
            <v/>
          </cell>
          <cell r="O247">
            <v>0</v>
          </cell>
          <cell r="T247" t="str">
            <v>000000000004271</v>
          </cell>
        </row>
        <row r="248">
          <cell r="B248" t="str">
            <v>使用数</v>
          </cell>
          <cell r="G248">
            <v>759</v>
          </cell>
          <cell r="J248" t="str">
            <v/>
          </cell>
          <cell r="T248" t="str">
            <v>000000000004271</v>
          </cell>
        </row>
        <row r="249">
          <cell r="B249">
            <v>0</v>
          </cell>
          <cell r="C249" t="e">
            <v>#N/A</v>
          </cell>
          <cell r="G249">
            <v>759</v>
          </cell>
          <cell r="J249" t="str">
            <v/>
          </cell>
          <cell r="T249" t="str">
            <v>000000000004271</v>
          </cell>
        </row>
        <row r="250">
          <cell r="G250">
            <v>759</v>
          </cell>
          <cell r="I250" t="str">
            <v>合計</v>
          </cell>
          <cell r="J250" t="str">
            <v/>
          </cell>
          <cell r="K250">
            <v>0</v>
          </cell>
          <cell r="L250" t="str">
            <v>合計</v>
          </cell>
          <cell r="M250">
            <v>0</v>
          </cell>
          <cell r="P250">
            <v>0</v>
          </cell>
          <cell r="T250" t="str">
            <v>000000000004271</v>
          </cell>
        </row>
        <row r="251">
          <cell r="B251" t="str">
            <v>00762883</v>
          </cell>
          <cell r="C251" t="str">
            <v>L型ｱﾝｸﾞﾙ　P-VH-56D　L=690</v>
          </cell>
          <cell r="I251" t="str">
            <v/>
          </cell>
          <cell r="J251" t="str">
            <v/>
          </cell>
          <cell r="O251">
            <v>0</v>
          </cell>
          <cell r="T251" t="str">
            <v>000000000004270</v>
          </cell>
        </row>
        <row r="252">
          <cell r="G252">
            <v>689</v>
          </cell>
          <cell r="J252" t="str">
            <v/>
          </cell>
          <cell r="O252">
            <v>400</v>
          </cell>
          <cell r="T252" t="str">
            <v>000000000004270</v>
          </cell>
        </row>
        <row r="253">
          <cell r="B253" t="str">
            <v>+公差</v>
          </cell>
          <cell r="C253">
            <v>400</v>
          </cell>
          <cell r="G253">
            <v>689</v>
          </cell>
          <cell r="J253" t="str">
            <v/>
          </cell>
          <cell r="O253">
            <v>200</v>
          </cell>
          <cell r="T253" t="str">
            <v>000000000004270</v>
          </cell>
        </row>
        <row r="254">
          <cell r="G254">
            <v>689</v>
          </cell>
          <cell r="J254" t="str">
            <v/>
          </cell>
          <cell r="O254">
            <v>0</v>
          </cell>
          <cell r="T254" t="str">
            <v>000000000004270</v>
          </cell>
        </row>
        <row r="255">
          <cell r="B255">
            <v>0</v>
          </cell>
          <cell r="C255">
            <v>2</v>
          </cell>
          <cell r="G255">
            <v>689</v>
          </cell>
          <cell r="J255" t="str">
            <v/>
          </cell>
          <cell r="O255">
            <v>0</v>
          </cell>
          <cell r="T255" t="str">
            <v>000000000004270</v>
          </cell>
        </row>
        <row r="256">
          <cell r="B256" t="str">
            <v>使用数</v>
          </cell>
          <cell r="C256" t="str">
            <v>S-40</v>
          </cell>
          <cell r="G256">
            <v>689</v>
          </cell>
          <cell r="J256" t="str">
            <v/>
          </cell>
          <cell r="T256" t="str">
            <v>000000000004270</v>
          </cell>
        </row>
        <row r="257">
          <cell r="B257">
            <v>0</v>
          </cell>
          <cell r="C257">
            <v>0</v>
          </cell>
          <cell r="G257">
            <v>689</v>
          </cell>
          <cell r="J257" t="str">
            <v/>
          </cell>
          <cell r="T257" t="str">
            <v>000000000004270</v>
          </cell>
        </row>
        <row r="258">
          <cell r="G258">
            <v>689</v>
          </cell>
          <cell r="I258" t="str">
            <v>合計</v>
          </cell>
          <cell r="J258" t="str">
            <v/>
          </cell>
          <cell r="K258">
            <v>0</v>
          </cell>
          <cell r="L258" t="str">
            <v>合計</v>
          </cell>
          <cell r="M258">
            <v>0</v>
          </cell>
          <cell r="P258">
            <v>0</v>
          </cell>
          <cell r="T258" t="str">
            <v>000000000004270</v>
          </cell>
        </row>
        <row r="259">
          <cell r="B259" t="str">
            <v>00762882</v>
          </cell>
          <cell r="C259" t="str">
            <v>L型ｱﾝｸﾞﾙ　WT-42B　L=590</v>
          </cell>
          <cell r="I259" t="str">
            <v/>
          </cell>
          <cell r="J259" t="str">
            <v/>
          </cell>
          <cell r="O259">
            <v>0</v>
          </cell>
          <cell r="T259" t="str">
            <v>000000000004269</v>
          </cell>
        </row>
        <row r="260">
          <cell r="G260">
            <v>589</v>
          </cell>
          <cell r="J260" t="str">
            <v/>
          </cell>
          <cell r="O260">
            <v>400</v>
          </cell>
          <cell r="T260" t="str">
            <v>000000000004269</v>
          </cell>
        </row>
        <row r="261">
          <cell r="B261" t="str">
            <v>+公差</v>
          </cell>
          <cell r="C261">
            <v>400</v>
          </cell>
          <cell r="G261">
            <v>589</v>
          </cell>
          <cell r="J261" t="str">
            <v/>
          </cell>
          <cell r="O261">
            <v>200</v>
          </cell>
          <cell r="T261" t="str">
            <v>000000000004269</v>
          </cell>
        </row>
        <row r="262">
          <cell r="G262">
            <v>589</v>
          </cell>
          <cell r="J262" t="str">
            <v/>
          </cell>
          <cell r="O262">
            <v>0</v>
          </cell>
          <cell r="T262" t="str">
            <v>000000000004269</v>
          </cell>
        </row>
        <row r="263">
          <cell r="B263">
            <v>0</v>
          </cell>
          <cell r="C263">
            <v>2</v>
          </cell>
          <cell r="G263">
            <v>589</v>
          </cell>
          <cell r="J263" t="str">
            <v/>
          </cell>
          <cell r="O263">
            <v>0</v>
          </cell>
          <cell r="T263" t="str">
            <v>000000000004269</v>
          </cell>
        </row>
        <row r="264">
          <cell r="B264" t="str">
            <v>使用数</v>
          </cell>
          <cell r="C264" t="str">
            <v>S-30</v>
          </cell>
          <cell r="G264">
            <v>589</v>
          </cell>
          <cell r="J264" t="str">
            <v/>
          </cell>
          <cell r="T264" t="str">
            <v>000000000004269</v>
          </cell>
        </row>
        <row r="265">
          <cell r="B265">
            <v>0</v>
          </cell>
          <cell r="C265">
            <v>0</v>
          </cell>
          <cell r="G265">
            <v>589</v>
          </cell>
          <cell r="J265" t="str">
            <v/>
          </cell>
          <cell r="T265" t="str">
            <v>000000000004269</v>
          </cell>
        </row>
        <row r="266">
          <cell r="G266">
            <v>589</v>
          </cell>
          <cell r="I266" t="str">
            <v>合計</v>
          </cell>
          <cell r="J266" t="str">
            <v/>
          </cell>
          <cell r="K266">
            <v>0</v>
          </cell>
          <cell r="L266" t="str">
            <v>合計</v>
          </cell>
          <cell r="M266">
            <v>0</v>
          </cell>
          <cell r="P266">
            <v>0</v>
          </cell>
          <cell r="T266" t="str">
            <v>000000000004269</v>
          </cell>
        </row>
        <row r="267">
          <cell r="B267" t="str">
            <v>00762881</v>
          </cell>
          <cell r="C267" t="str">
            <v>L型ｱﾝｸﾞﾙ　P-VH-C　L=530</v>
          </cell>
          <cell r="I267" t="str">
            <v/>
          </cell>
          <cell r="J267" t="str">
            <v/>
          </cell>
          <cell r="O267">
            <v>0</v>
          </cell>
          <cell r="T267" t="str">
            <v>000000000004268</v>
          </cell>
        </row>
        <row r="268">
          <cell r="G268">
            <v>529</v>
          </cell>
          <cell r="J268" t="str">
            <v/>
          </cell>
          <cell r="O268">
            <v>800</v>
          </cell>
          <cell r="T268" t="str">
            <v>000000000004268</v>
          </cell>
        </row>
        <row r="269">
          <cell r="B269" t="str">
            <v>+公差</v>
          </cell>
          <cell r="C269">
            <v>800</v>
          </cell>
          <cell r="G269">
            <v>529</v>
          </cell>
          <cell r="J269" t="str">
            <v/>
          </cell>
          <cell r="O269">
            <v>400</v>
          </cell>
          <cell r="T269" t="str">
            <v>000000000004268</v>
          </cell>
        </row>
        <row r="270">
          <cell r="G270">
            <v>529</v>
          </cell>
          <cell r="J270" t="str">
            <v/>
          </cell>
          <cell r="O270">
            <v>0</v>
          </cell>
          <cell r="T270" t="str">
            <v>000000000004268</v>
          </cell>
        </row>
        <row r="271">
          <cell r="B271">
            <v>0</v>
          </cell>
          <cell r="C271">
            <v>2</v>
          </cell>
          <cell r="G271">
            <v>529</v>
          </cell>
          <cell r="J271" t="str">
            <v/>
          </cell>
          <cell r="O271">
            <v>0</v>
          </cell>
          <cell r="T271" t="str">
            <v>000000000004268</v>
          </cell>
        </row>
        <row r="272">
          <cell r="B272" t="str">
            <v>使用数</v>
          </cell>
          <cell r="C272" t="str">
            <v>S-30</v>
          </cell>
          <cell r="G272">
            <v>529</v>
          </cell>
          <cell r="J272" t="str">
            <v/>
          </cell>
          <cell r="T272" t="str">
            <v>000000000004268</v>
          </cell>
        </row>
        <row r="273">
          <cell r="B273">
            <v>0</v>
          </cell>
          <cell r="C273">
            <v>0</v>
          </cell>
          <cell r="G273">
            <v>529</v>
          </cell>
          <cell r="J273" t="str">
            <v/>
          </cell>
          <cell r="T273" t="str">
            <v>000000000004268</v>
          </cell>
        </row>
        <row r="274">
          <cell r="G274">
            <v>529</v>
          </cell>
          <cell r="I274" t="str">
            <v>合計</v>
          </cell>
          <cell r="J274" t="str">
            <v/>
          </cell>
          <cell r="K274">
            <v>0</v>
          </cell>
          <cell r="L274" t="str">
            <v>合計</v>
          </cell>
          <cell r="M274">
            <v>0</v>
          </cell>
          <cell r="P274">
            <v>0</v>
          </cell>
          <cell r="T274" t="str">
            <v>000000000004268</v>
          </cell>
        </row>
        <row r="275">
          <cell r="B275" t="str">
            <v>00762880</v>
          </cell>
          <cell r="C275" t="str">
            <v>L型ｱﾝｸﾞﾙ　P-VH-42D　L=520</v>
          </cell>
          <cell r="I275" t="str">
            <v/>
          </cell>
          <cell r="J275" t="str">
            <v/>
          </cell>
          <cell r="O275">
            <v>0</v>
          </cell>
          <cell r="T275" t="str">
            <v>000000000004267</v>
          </cell>
        </row>
        <row r="276">
          <cell r="G276">
            <v>519</v>
          </cell>
          <cell r="J276" t="str">
            <v/>
          </cell>
          <cell r="O276">
            <v>400</v>
          </cell>
          <cell r="T276" t="str">
            <v>000000000004267</v>
          </cell>
        </row>
        <row r="277">
          <cell r="B277" t="str">
            <v>+公差</v>
          </cell>
          <cell r="C277">
            <v>400</v>
          </cell>
          <cell r="G277">
            <v>519</v>
          </cell>
          <cell r="J277" t="str">
            <v/>
          </cell>
          <cell r="O277">
            <v>200</v>
          </cell>
          <cell r="T277" t="str">
            <v>000000000004267</v>
          </cell>
        </row>
        <row r="278">
          <cell r="G278">
            <v>519</v>
          </cell>
          <cell r="J278" t="str">
            <v/>
          </cell>
          <cell r="O278">
            <v>0</v>
          </cell>
          <cell r="T278" t="str">
            <v>000000000004267</v>
          </cell>
        </row>
        <row r="279">
          <cell r="B279">
            <v>0</v>
          </cell>
          <cell r="C279">
            <v>2</v>
          </cell>
          <cell r="G279">
            <v>519</v>
          </cell>
          <cell r="J279" t="str">
            <v/>
          </cell>
          <cell r="O279">
            <v>0</v>
          </cell>
          <cell r="T279" t="str">
            <v>000000000004267</v>
          </cell>
        </row>
        <row r="280">
          <cell r="B280" t="str">
            <v>使用数</v>
          </cell>
          <cell r="C280" t="str">
            <v>S-30</v>
          </cell>
          <cell r="G280">
            <v>519</v>
          </cell>
          <cell r="J280" t="str">
            <v/>
          </cell>
          <cell r="T280" t="str">
            <v>000000000004267</v>
          </cell>
        </row>
        <row r="281">
          <cell r="B281">
            <v>0</v>
          </cell>
          <cell r="C281">
            <v>0</v>
          </cell>
          <cell r="G281">
            <v>519</v>
          </cell>
          <cell r="J281" t="str">
            <v/>
          </cell>
          <cell r="T281" t="str">
            <v>000000000004267</v>
          </cell>
        </row>
        <row r="282">
          <cell r="G282">
            <v>519</v>
          </cell>
          <cell r="I282" t="str">
            <v>合計</v>
          </cell>
          <cell r="J282" t="str">
            <v/>
          </cell>
          <cell r="K282">
            <v>0</v>
          </cell>
          <cell r="L282" t="str">
            <v>合計</v>
          </cell>
          <cell r="M282">
            <v>0</v>
          </cell>
          <cell r="P282">
            <v>0</v>
          </cell>
          <cell r="T282" t="str">
            <v>000000000004267</v>
          </cell>
        </row>
        <row r="283">
          <cell r="B283" t="str">
            <v>00762366</v>
          </cell>
          <cell r="C283" t="str">
            <v>PK-59827 L=500</v>
          </cell>
          <cell r="I283" t="str">
            <v/>
          </cell>
          <cell r="J283" t="str">
            <v/>
          </cell>
          <cell r="O283">
            <v>0</v>
          </cell>
          <cell r="T283" t="str">
            <v>000000000004207</v>
          </cell>
        </row>
        <row r="284">
          <cell r="G284" t="str">
            <v/>
          </cell>
          <cell r="J284" t="str">
            <v/>
          </cell>
          <cell r="O284">
            <v>716</v>
          </cell>
          <cell r="T284" t="str">
            <v>000000000004207</v>
          </cell>
        </row>
        <row r="285">
          <cell r="B285" t="str">
            <v>+公差</v>
          </cell>
          <cell r="C285">
            <v>716</v>
          </cell>
          <cell r="G285" t="str">
            <v/>
          </cell>
          <cell r="J285" t="str">
            <v/>
          </cell>
          <cell r="O285">
            <v>239</v>
          </cell>
          <cell r="T285" t="str">
            <v>000000000004207</v>
          </cell>
        </row>
        <row r="286">
          <cell r="G286" t="str">
            <v/>
          </cell>
          <cell r="J286" t="str">
            <v/>
          </cell>
          <cell r="O286">
            <v>0</v>
          </cell>
          <cell r="T286" t="str">
            <v>000000000004207</v>
          </cell>
        </row>
        <row r="287">
          <cell r="B287" t="str">
            <v>+1</v>
          </cell>
          <cell r="C287">
            <v>3</v>
          </cell>
          <cell r="G287" t="str">
            <v/>
          </cell>
          <cell r="J287" t="str">
            <v/>
          </cell>
          <cell r="O287">
            <v>0</v>
          </cell>
          <cell r="T287" t="str">
            <v>000000000004207</v>
          </cell>
        </row>
        <row r="288">
          <cell r="B288" t="str">
            <v>使用数</v>
          </cell>
          <cell r="C288" t="str">
            <v>PK-59827 L=500用</v>
          </cell>
          <cell r="G288" t="str">
            <v/>
          </cell>
          <cell r="J288" t="str">
            <v/>
          </cell>
          <cell r="T288" t="str">
            <v>000000000004207</v>
          </cell>
        </row>
        <row r="289">
          <cell r="B289">
            <v>0</v>
          </cell>
          <cell r="C289">
            <v>0</v>
          </cell>
          <cell r="G289" t="str">
            <v/>
          </cell>
          <cell r="J289" t="str">
            <v/>
          </cell>
          <cell r="T289" t="str">
            <v>000000000004207</v>
          </cell>
        </row>
        <row r="290">
          <cell r="G290" t="str">
            <v/>
          </cell>
          <cell r="I290" t="str">
            <v>合計</v>
          </cell>
          <cell r="J290" t="str">
            <v/>
          </cell>
          <cell r="K290">
            <v>0</v>
          </cell>
          <cell r="L290" t="str">
            <v>合計</v>
          </cell>
          <cell r="M290">
            <v>0</v>
          </cell>
          <cell r="P290">
            <v>0</v>
          </cell>
          <cell r="T290" t="str">
            <v>000000000004207</v>
          </cell>
        </row>
        <row r="291">
          <cell r="B291" t="str">
            <v>00749886</v>
          </cell>
          <cell r="C291" t="str">
            <v>PK-59827 L=700</v>
          </cell>
          <cell r="I291" t="str">
            <v/>
          </cell>
          <cell r="J291" t="str">
            <v/>
          </cell>
          <cell r="O291">
            <v>0</v>
          </cell>
          <cell r="T291" t="str">
            <v>000000000002882</v>
          </cell>
        </row>
        <row r="292">
          <cell r="G292" t="str">
            <v/>
          </cell>
          <cell r="J292" t="str">
            <v/>
          </cell>
          <cell r="O292">
            <v>1020</v>
          </cell>
          <cell r="T292" t="str">
            <v>000000000002882</v>
          </cell>
        </row>
        <row r="293">
          <cell r="B293" t="str">
            <v>+公差</v>
          </cell>
          <cell r="C293">
            <v>1020</v>
          </cell>
          <cell r="G293" t="str">
            <v/>
          </cell>
          <cell r="J293" t="str">
            <v/>
          </cell>
          <cell r="O293">
            <v>510</v>
          </cell>
          <cell r="T293" t="str">
            <v>000000000002882</v>
          </cell>
        </row>
        <row r="294">
          <cell r="G294" t="str">
            <v/>
          </cell>
          <cell r="J294" t="str">
            <v/>
          </cell>
          <cell r="O294">
            <v>0</v>
          </cell>
          <cell r="T294" t="str">
            <v>000000000002882</v>
          </cell>
        </row>
        <row r="295">
          <cell r="B295" t="str">
            <v>+1</v>
          </cell>
          <cell r="C295">
            <v>2</v>
          </cell>
          <cell r="G295" t="str">
            <v/>
          </cell>
          <cell r="J295" t="str">
            <v/>
          </cell>
          <cell r="O295">
            <v>0</v>
          </cell>
          <cell r="T295" t="str">
            <v>000000000002882</v>
          </cell>
        </row>
        <row r="296">
          <cell r="B296" t="str">
            <v>使用数</v>
          </cell>
          <cell r="C296" t="str">
            <v>PK-59827 L=700用</v>
          </cell>
          <cell r="G296" t="str">
            <v/>
          </cell>
          <cell r="J296" t="str">
            <v/>
          </cell>
          <cell r="T296" t="str">
            <v>000000000002882</v>
          </cell>
        </row>
        <row r="297">
          <cell r="B297">
            <v>0</v>
          </cell>
          <cell r="C297">
            <v>0</v>
          </cell>
          <cell r="G297" t="str">
            <v/>
          </cell>
          <cell r="J297" t="str">
            <v/>
          </cell>
          <cell r="T297" t="str">
            <v>000000000002882</v>
          </cell>
        </row>
        <row r="298">
          <cell r="G298" t="str">
            <v/>
          </cell>
          <cell r="I298" t="str">
            <v>合計</v>
          </cell>
          <cell r="J298" t="str">
            <v/>
          </cell>
          <cell r="K298">
            <v>0</v>
          </cell>
          <cell r="L298" t="str">
            <v>合計</v>
          </cell>
          <cell r="M298">
            <v>0</v>
          </cell>
          <cell r="P298">
            <v>0</v>
          </cell>
          <cell r="T298" t="str">
            <v>000000000002882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品目コード</v>
          </cell>
          <cell r="B1" t="str">
            <v>品名</v>
          </cell>
        </row>
        <row r="2">
          <cell r="A2" t="str">
            <v>J1JAZZB05412100</v>
          </cell>
          <cell r="B2" t="str">
            <v>黒板灯ﾌﾟﾘｽﾞﾑｶﾊﾞｰ　L=1210</v>
          </cell>
        </row>
        <row r="3">
          <cell r="A3" t="str">
            <v>J1JAZZB07012100</v>
          </cell>
          <cell r="B3" t="str">
            <v>ｺﾝﾌｫｰﾄ用ﾌﾟﾘｽﾞﾑｶﾊﾞｰL1210</v>
          </cell>
        </row>
        <row r="4">
          <cell r="A4" t="str">
            <v>J1JAZZB10802970</v>
          </cell>
          <cell r="B4" t="str">
            <v>8FL281304 4810　L=297</v>
          </cell>
        </row>
        <row r="5">
          <cell r="A5" t="str">
            <v>J1JAZZB10804440</v>
          </cell>
          <cell r="B5" t="str">
            <v>8FL281304 8110　L=444</v>
          </cell>
        </row>
        <row r="6">
          <cell r="A6" t="str">
            <v>J1JAZZB10805920</v>
          </cell>
          <cell r="B6" t="str">
            <v>8FL281304 4910　L=592</v>
          </cell>
        </row>
        <row r="7">
          <cell r="A7" t="str">
            <v>J1JAZZB10807480</v>
          </cell>
          <cell r="B7" t="str">
            <v>8FL281304 8310　L=748</v>
          </cell>
        </row>
        <row r="8">
          <cell r="A8" t="str">
            <v>J1JAZZB10808880</v>
          </cell>
          <cell r="B8" t="str">
            <v>8FL281304 5010　L=888</v>
          </cell>
        </row>
        <row r="9">
          <cell r="A9" t="str">
            <v>J1JAZZB10811830</v>
          </cell>
          <cell r="B9" t="str">
            <v>8FL281304 5110　L=1183</v>
          </cell>
        </row>
        <row r="10">
          <cell r="A10" t="str">
            <v>J1JAZZB10813290</v>
          </cell>
          <cell r="B10" t="str">
            <v>8FL281304 8010　L=1329</v>
          </cell>
        </row>
        <row r="11">
          <cell r="A11" t="str">
            <v>J1JAZZB10814780</v>
          </cell>
          <cell r="B11" t="str">
            <v>8FL281304 6110　L=1478</v>
          </cell>
        </row>
        <row r="12">
          <cell r="A12" t="str">
            <v>J1JAZZB11805920</v>
          </cell>
          <cell r="B12" t="str">
            <v>8FL281304 4920　L=592　クリア</v>
          </cell>
        </row>
        <row r="13">
          <cell r="A13" t="str">
            <v>J1JAZZB11808880</v>
          </cell>
          <cell r="B13" t="str">
            <v>8FL281304 5020　L=888　クリア</v>
          </cell>
        </row>
        <row r="14">
          <cell r="A14" t="str">
            <v>J1JAZZB11811830</v>
          </cell>
          <cell r="B14" t="str">
            <v>8FL281304 5120　L=1183　クリア</v>
          </cell>
        </row>
        <row r="15">
          <cell r="A15" t="str">
            <v>J1JAZZB11814780</v>
          </cell>
          <cell r="B15" t="str">
            <v>8FL281304 6120　L=1478　クリア</v>
          </cell>
        </row>
        <row r="16">
          <cell r="A16" t="str">
            <v>J1JAZZB11411920</v>
          </cell>
          <cell r="B16" t="str">
            <v>NNN33000W</v>
          </cell>
        </row>
        <row r="17">
          <cell r="A17" t="str">
            <v>J1JAZZB11311920</v>
          </cell>
          <cell r="B17" t="str">
            <v>NNN35000W</v>
          </cell>
        </row>
        <row r="18">
          <cell r="A18" t="str">
            <v>J1JAZZB12514780</v>
          </cell>
          <cell r="B18" t="str">
            <v>NNN36500-3</v>
          </cell>
        </row>
        <row r="19">
          <cell r="A19" t="str">
            <v>J1JAZZB12511870</v>
          </cell>
          <cell r="B19" t="str">
            <v>NNN36500-3-2</v>
          </cell>
        </row>
        <row r="20">
          <cell r="A20" t="str">
            <v>J1JAZZB12508870</v>
          </cell>
          <cell r="B20" t="str">
            <v>NNN36500-3-3</v>
          </cell>
        </row>
        <row r="21">
          <cell r="A21" t="str">
            <v>J1JAZZB12505960</v>
          </cell>
          <cell r="B21" t="str">
            <v>NNN36500-3-4</v>
          </cell>
        </row>
        <row r="22">
          <cell r="A22" t="str">
            <v>J1ZAFJB00219660</v>
          </cell>
          <cell r="B22" t="str">
            <v>灯具カバーPC IN 2070　L=1966</v>
          </cell>
        </row>
        <row r="23">
          <cell r="A23" t="str">
            <v>J1ZAFJB00219230</v>
          </cell>
          <cell r="B23" t="str">
            <v>灯具カバーPC IN 2100　L=1923</v>
          </cell>
        </row>
        <row r="24">
          <cell r="A24" t="str">
            <v>J1ZAFJB00218150</v>
          </cell>
          <cell r="B24" t="str">
            <v>灯具カバーPC IN 2110　L=1815</v>
          </cell>
        </row>
        <row r="25">
          <cell r="A25" t="str">
            <v>J1ZAFJB00215400</v>
          </cell>
          <cell r="B25" t="str">
            <v>灯具カバーPC IN 2080　L=1540</v>
          </cell>
        </row>
        <row r="26">
          <cell r="A26" t="str">
            <v>J1ZAFJB00212585</v>
          </cell>
          <cell r="B26" t="str">
            <v>灯具カバーPC IN 2060　L=1258.5</v>
          </cell>
        </row>
        <row r="27">
          <cell r="A27" t="str">
            <v>J1ZAFJB00211835</v>
          </cell>
          <cell r="B27" t="str">
            <v>灯具カバーPC IN 2050　L=1183.5</v>
          </cell>
        </row>
        <row r="28">
          <cell r="A28" t="str">
            <v>J1ZAFJB00209080</v>
          </cell>
          <cell r="B28" t="str">
            <v>灯具カバーPC IN 2130　L=908</v>
          </cell>
        </row>
        <row r="29">
          <cell r="A29" t="str">
            <v>J1ZAFJB00208400</v>
          </cell>
          <cell r="B29" t="str">
            <v>灯具カバーPC IN 2090　L=840</v>
          </cell>
        </row>
        <row r="30">
          <cell r="A30" t="str">
            <v>J1ZAFJB00205470</v>
          </cell>
          <cell r="B30" t="str">
            <v>灯具カバーPC IN 2140　L=547</v>
          </cell>
        </row>
        <row r="31">
          <cell r="A31" t="str">
            <v>J1ZAFJB00212640</v>
          </cell>
          <cell r="B31" t="str">
            <v>灯具カバーPC IN 2490　L=1264</v>
          </cell>
        </row>
        <row r="32">
          <cell r="A32" t="str">
            <v>J1ZAFJB00212380</v>
          </cell>
          <cell r="B32" t="str">
            <v>灯具カバーPC IN 2500　L=1238</v>
          </cell>
        </row>
        <row r="33">
          <cell r="A33" t="str">
            <v>J1ZAFJB00212910</v>
          </cell>
          <cell r="B33" t="str">
            <v>灯具カバーPC IN 2460　L=1291</v>
          </cell>
        </row>
        <row r="34">
          <cell r="A34" t="str">
            <v>J1ZAFJB00216480</v>
          </cell>
          <cell r="B34" t="str">
            <v>灯具カバーPC IN 2470　L=1648</v>
          </cell>
        </row>
        <row r="35">
          <cell r="A35" t="str">
            <v>J1ZAFJB00209540</v>
          </cell>
          <cell r="B35" t="str">
            <v>灯具カバーPC IN 2480　L=954</v>
          </cell>
        </row>
        <row r="36">
          <cell r="A36" t="str">
            <v>J1ZAFJB00113340</v>
          </cell>
          <cell r="B36" t="str">
            <v>灯具カバーPC 7520  L=1334</v>
          </cell>
        </row>
        <row r="37">
          <cell r="A37" t="str">
            <v>J1ZAFJB00113095</v>
          </cell>
          <cell r="B37" t="str">
            <v>灯具カバーPC 2180  L=1309.5</v>
          </cell>
        </row>
        <row r="38">
          <cell r="A38" t="str">
            <v>J1ZAFJB00112790</v>
          </cell>
          <cell r="B38" t="str">
            <v>灯具カバーPC 2170  L=1279</v>
          </cell>
        </row>
        <row r="39">
          <cell r="A39" t="str">
            <v>J1ZAFJB00112400</v>
          </cell>
          <cell r="B39" t="str">
            <v>灯具カバーPC 2190  L=1240</v>
          </cell>
        </row>
        <row r="40">
          <cell r="A40" t="str">
            <v>J1ZAFJB00106133</v>
          </cell>
          <cell r="B40" t="str">
            <v>灯具カバーPC 2160  L=613.3</v>
          </cell>
        </row>
        <row r="41">
          <cell r="A41" t="str">
            <v>J1ZAFJB00105650</v>
          </cell>
          <cell r="B41" t="str">
            <v>灯具カバーPC 7530  L=565</v>
          </cell>
        </row>
        <row r="42">
          <cell r="A42" t="str">
            <v>J1ZAFJB00102218</v>
          </cell>
          <cell r="B42" t="str">
            <v>灯具カバーPC 2200  L=221.8</v>
          </cell>
        </row>
        <row r="43">
          <cell r="A43" t="str">
            <v>J1JAPAB00319960</v>
          </cell>
          <cell r="B43" t="str">
            <v>採光ルーバーパネルA　L=1996</v>
          </cell>
        </row>
        <row r="44">
          <cell r="A44" t="str">
            <v>J1JAPAB00419960</v>
          </cell>
          <cell r="B44" t="str">
            <v>採光ルーバーパネルB　L=1996</v>
          </cell>
        </row>
        <row r="45">
          <cell r="A45" t="str">
            <v>J1AKZYB00205000</v>
          </cell>
          <cell r="B45" t="str">
            <v>PK-59827 L=500</v>
          </cell>
        </row>
        <row r="46">
          <cell r="A46" t="str">
            <v>J1AKZYB00207000</v>
          </cell>
          <cell r="B46" t="str">
            <v>PK-59827 L=700</v>
          </cell>
        </row>
        <row r="47">
          <cell r="A47" t="str">
            <v>J1EAZZB03102750</v>
          </cell>
          <cell r="B47" t="str">
            <v>ハーネスガイド部材　L=275</v>
          </cell>
        </row>
        <row r="48">
          <cell r="A48" t="str">
            <v>J1AAEDB00825740</v>
          </cell>
          <cell r="B48" t="str">
            <v>MDP-689B L4　L=2574</v>
          </cell>
        </row>
        <row r="49">
          <cell r="A49" t="str">
            <v>J1AAEDB02825740</v>
          </cell>
          <cell r="B49" t="str">
            <v>MDPQ-689B L4 　L=2574　　</v>
          </cell>
        </row>
        <row r="50">
          <cell r="A50" t="str">
            <v>J1AAEZB00705860</v>
          </cell>
          <cell r="B50" t="str">
            <v>SRG-60D　L=586</v>
          </cell>
        </row>
        <row r="51">
          <cell r="A51" t="str">
            <v>J1AAEZB00708860</v>
          </cell>
          <cell r="B51" t="str">
            <v>SRG-90D　L=860</v>
          </cell>
        </row>
        <row r="52">
          <cell r="A52" t="str">
            <v>J1AAEZB00805860</v>
          </cell>
          <cell r="B52" t="str">
            <v>SRG-60U　L=586</v>
          </cell>
        </row>
        <row r="53">
          <cell r="A53" t="str">
            <v>J1AAEZB00808860</v>
          </cell>
          <cell r="B53" t="str">
            <v>SRG-90U　L=860</v>
          </cell>
        </row>
        <row r="54">
          <cell r="A54" t="str">
            <v>J1DAEZB00203000</v>
          </cell>
          <cell r="B54" t="str">
            <v>ﾃﾝｹﾝｺｳ(上)　L=300</v>
          </cell>
        </row>
        <row r="55">
          <cell r="A55" t="str">
            <v>J1DAEZB00204980</v>
          </cell>
          <cell r="B55" t="str">
            <v>ﾃﾝｹﾝｺｳ(上)　L=498</v>
          </cell>
        </row>
        <row r="56">
          <cell r="A56" t="str">
            <v>J1DAEZB00211680</v>
          </cell>
          <cell r="B56" t="str">
            <v>ﾃﾝｹﾝｺｳ(上)　L=1168</v>
          </cell>
        </row>
        <row r="57">
          <cell r="A57" t="str">
            <v>J1EAFZB02008740</v>
          </cell>
          <cell r="B57" t="str">
            <v>ﾏｴｶﾊﾞｰ(17F09810A)　L=874</v>
          </cell>
        </row>
        <row r="58">
          <cell r="A58" t="str">
            <v>J1EAFZB02011840</v>
          </cell>
          <cell r="B58" t="str">
            <v>ﾏｴｶﾊﾞｰ(17F09810B)　L=1184</v>
          </cell>
        </row>
        <row r="59">
          <cell r="A59" t="str">
            <v>J1EAFZB02014940</v>
          </cell>
          <cell r="B59" t="str">
            <v>ﾏｴｶﾊﾞｰ(17F09810C)　L=1494</v>
          </cell>
        </row>
        <row r="60">
          <cell r="A60" t="str">
            <v>J1AAEDB01725700</v>
          </cell>
          <cell r="B60" t="str">
            <v>MDP-688A L4　L=2570</v>
          </cell>
        </row>
        <row r="61">
          <cell r="A61" t="str">
            <v>J1AAEDB02525700</v>
          </cell>
          <cell r="B61" t="str">
            <v>MDPQ-688A L4　L=2570</v>
          </cell>
        </row>
        <row r="62">
          <cell r="A62" t="str">
            <v>J1DAFZB00105500</v>
          </cell>
          <cell r="B62" t="str">
            <v>照明ｶﾊﾞｰS15　L=550</v>
          </cell>
        </row>
        <row r="63">
          <cell r="A63" t="str">
            <v>J1DAFZB00105604</v>
          </cell>
          <cell r="B63" t="str">
            <v>照明ｶﾊﾞｰS　L=560.4</v>
          </cell>
        </row>
        <row r="64">
          <cell r="A64" t="str">
            <v>J1DAFZB00108200</v>
          </cell>
          <cell r="B64" t="str">
            <v>照明ｶﾊﾞｰL15　L=820</v>
          </cell>
        </row>
        <row r="65">
          <cell r="A65" t="str">
            <v>J1DAFZB00108304</v>
          </cell>
          <cell r="B65" t="str">
            <v>照明ｶﾊﾞｰL　L=830.4</v>
          </cell>
        </row>
        <row r="66">
          <cell r="A66" t="str">
            <v>J1ECZZB00104200</v>
          </cell>
          <cell r="B66" t="str">
            <v>L型ｱﾝｸﾞﾙ　WT-28B　L=420</v>
          </cell>
        </row>
        <row r="67">
          <cell r="A67" t="str">
            <v>J1ECZZB00105200</v>
          </cell>
          <cell r="B67" t="str">
            <v>L型ｱﾝｸﾞﾙ　P-VH-42D　L=520</v>
          </cell>
        </row>
        <row r="68">
          <cell r="A68" t="str">
            <v>J1AAFAB01107305</v>
          </cell>
          <cell r="B68" t="str">
            <v>GA-770 BK(BD)　L=730.5</v>
          </cell>
        </row>
        <row r="69">
          <cell r="A69" t="str">
            <v>J1AAFAB01107455</v>
          </cell>
          <cell r="B69" t="str">
            <v>GA-770 BK(BD)　L=745.5</v>
          </cell>
        </row>
        <row r="70">
          <cell r="A70" t="str">
            <v>J1AAFAB01207305</v>
          </cell>
          <cell r="B70" t="str">
            <v>GA-770 BR　L=730.5</v>
          </cell>
        </row>
        <row r="71">
          <cell r="A71" t="str">
            <v>J1AAFAB01207455</v>
          </cell>
          <cell r="B71" t="str">
            <v>GA-770 BR　L=745.5</v>
          </cell>
        </row>
        <row r="72">
          <cell r="A72" t="str">
            <v>J1AAFAB02204090</v>
          </cell>
          <cell r="B72" t="str">
            <v>WD3104A KC L=409</v>
          </cell>
        </row>
        <row r="73">
          <cell r="A73" t="str">
            <v>J1AAFAB02205005</v>
          </cell>
          <cell r="B73" t="str">
            <v>WD3104A KC　L=500.5</v>
          </cell>
        </row>
        <row r="74">
          <cell r="A74" t="str">
            <v>J1AAFAB02304090</v>
          </cell>
          <cell r="B74" t="str">
            <v>WD3104A BK　L=409</v>
          </cell>
        </row>
        <row r="75">
          <cell r="A75" t="str">
            <v>J1AAFAB02305005</v>
          </cell>
          <cell r="B75" t="str">
            <v>WD3104A BR(BK)　L=500.5</v>
          </cell>
        </row>
        <row r="76">
          <cell r="A76" t="str">
            <v>J1AAFAB02309000</v>
          </cell>
          <cell r="B76" t="str">
            <v>WD3104A BR(BK)　L=900</v>
          </cell>
        </row>
        <row r="77">
          <cell r="A77" t="str">
            <v>J1AAFAB02306890</v>
          </cell>
          <cell r="B77" t="str">
            <v>WD3104A BR(BK)　L=689</v>
          </cell>
        </row>
        <row r="78">
          <cell r="A78" t="str">
            <v>J1ZFAAB00203360</v>
          </cell>
          <cell r="B78" t="str">
            <v>GA9344/PYTB554K　L=336</v>
          </cell>
        </row>
        <row r="79">
          <cell r="A79" t="str">
            <v>J1ZFAAB00203860</v>
          </cell>
          <cell r="B79" t="str">
            <v>GA9344/PYTB554K　L=386</v>
          </cell>
        </row>
        <row r="80">
          <cell r="A80" t="str">
            <v>J1HFHBB01407100</v>
          </cell>
          <cell r="B80" t="str">
            <v>ｼﾞｮｲﾝﾄﾁｭ-ﾌﾞ5号　L=710</v>
          </cell>
        </row>
        <row r="81">
          <cell r="A81" t="str">
            <v>J1HFHBB01603400</v>
          </cell>
          <cell r="B81" t="str">
            <v>ｼﾞｮｲﾝﾄﾁｭ-ﾌﾞ2号　L=340</v>
          </cell>
        </row>
        <row r="82">
          <cell r="A82" t="str">
            <v>J1HFHBB01704200</v>
          </cell>
          <cell r="B82" t="str">
            <v>ｼﾞｮｲﾝﾄﾁｭ-ﾌﾞ3号　L=420</v>
          </cell>
        </row>
        <row r="83">
          <cell r="A83" t="str">
            <v>J1HFHBB01802500</v>
          </cell>
          <cell r="B83" t="str">
            <v>ｼﾞｮｲﾝﾄﾁｭ-ﾌﾞ1号　L=250</v>
          </cell>
        </row>
        <row r="84">
          <cell r="A84" t="str">
            <v>J1ECZZB00105300</v>
          </cell>
          <cell r="B84" t="str">
            <v>L型ｱﾝｸﾞﾙ　P-VH-C　L=530</v>
          </cell>
        </row>
        <row r="85">
          <cell r="A85" t="str">
            <v>J1ECZZB00105900</v>
          </cell>
          <cell r="B85" t="str">
            <v>L型ｱﾝｸﾞﾙ　WT-42B　L=590</v>
          </cell>
        </row>
        <row r="86">
          <cell r="A86" t="str">
            <v>J1ECZZB00106000</v>
          </cell>
          <cell r="B86" t="str">
            <v>L型ｱﾝｸﾞﾙ　P-VH-E　L=600</v>
          </cell>
        </row>
        <row r="87">
          <cell r="A87" t="str">
            <v>J1ECZZB00106900</v>
          </cell>
          <cell r="B87" t="str">
            <v>L型ｱﾝｸﾞﾙ　P-VH-56D　L=690</v>
          </cell>
        </row>
        <row r="88">
          <cell r="A88" t="str">
            <v>J1ECZZB00107600</v>
          </cell>
          <cell r="B88" t="str">
            <v>L型ｱﾝｸﾞﾙ　WT-56B　L=760</v>
          </cell>
        </row>
        <row r="89">
          <cell r="A89" t="str">
            <v>J1ECZZB00110180</v>
          </cell>
          <cell r="B89" t="str">
            <v>L型ｱﾝｸﾞﾙ　P-VH-A　L=1018</v>
          </cell>
        </row>
        <row r="90">
          <cell r="A90" t="str">
            <v>J1AKACB01901980</v>
          </cell>
          <cell r="B90" t="str">
            <v>991HDP　198</v>
          </cell>
        </row>
        <row r="91">
          <cell r="A91" t="str">
            <v>J1AKACB02002640</v>
          </cell>
          <cell r="B91" t="str">
            <v>991GPK　264</v>
          </cell>
        </row>
        <row r="92">
          <cell r="A92" t="str">
            <v>J1AKACB02002680</v>
          </cell>
          <cell r="B92" t="str">
            <v>991GPK　268</v>
          </cell>
        </row>
        <row r="93">
          <cell r="A93" t="str">
            <v>J1AKACB02004140</v>
          </cell>
          <cell r="B93" t="str">
            <v>991GPK　414</v>
          </cell>
        </row>
        <row r="94">
          <cell r="A94" t="str">
            <v>J1AKACB02004180</v>
          </cell>
          <cell r="B94" t="str">
            <v>991GPK　418</v>
          </cell>
        </row>
        <row r="95">
          <cell r="A95" t="str">
            <v>J1AKACB02005650</v>
          </cell>
          <cell r="B95" t="str">
            <v>991GPK　565</v>
          </cell>
        </row>
        <row r="96">
          <cell r="A96" t="str">
            <v>J1AKACB02005680</v>
          </cell>
          <cell r="B96" t="str">
            <v>991GPK　568</v>
          </cell>
        </row>
        <row r="97">
          <cell r="A97" t="str">
            <v>J1AKACB02007150</v>
          </cell>
          <cell r="B97" t="str">
            <v>991GPK　715</v>
          </cell>
        </row>
        <row r="98">
          <cell r="A98" t="str">
            <v>J1AKACB02007180</v>
          </cell>
          <cell r="B98" t="str">
            <v>991GPK　718</v>
          </cell>
        </row>
        <row r="99">
          <cell r="A99" t="str">
            <v>J1AKACB02008650</v>
          </cell>
          <cell r="B99" t="str">
            <v>991GPK　865</v>
          </cell>
        </row>
        <row r="100">
          <cell r="A100" t="str">
            <v>J1AKACB02008680</v>
          </cell>
          <cell r="B100" t="str">
            <v>991GPK　868</v>
          </cell>
        </row>
        <row r="101">
          <cell r="A101" t="str">
            <v>J1AKACB02010150</v>
          </cell>
          <cell r="B101" t="str">
            <v>991GPK　1015</v>
          </cell>
        </row>
        <row r="102">
          <cell r="A102" t="str">
            <v>J1AKACB02010180</v>
          </cell>
          <cell r="B102" t="str">
            <v>991GPK　1018</v>
          </cell>
        </row>
        <row r="103">
          <cell r="A103" t="str">
            <v>J1AKACB03502640</v>
          </cell>
          <cell r="B103" t="str">
            <v>752GPSB　265</v>
          </cell>
        </row>
        <row r="104">
          <cell r="A104" t="str">
            <v>J1AKACB03504140</v>
          </cell>
          <cell r="B104" t="str">
            <v>752GPSB　415</v>
          </cell>
        </row>
        <row r="105">
          <cell r="A105" t="str">
            <v>J1AKACB03505640</v>
          </cell>
          <cell r="B105" t="str">
            <v>752GPSB　565</v>
          </cell>
        </row>
        <row r="106">
          <cell r="A106" t="str">
            <v>J1AKACB03506640</v>
          </cell>
          <cell r="B106" t="str">
            <v>752GPSB　665</v>
          </cell>
        </row>
        <row r="107">
          <cell r="A107" t="str">
            <v>J1AKACB03507140</v>
          </cell>
          <cell r="B107" t="str">
            <v>752GPSB　715</v>
          </cell>
        </row>
        <row r="108">
          <cell r="A108" t="str">
            <v>J1AKACB03508640</v>
          </cell>
          <cell r="B108" t="str">
            <v>752GPSB　865</v>
          </cell>
        </row>
        <row r="109">
          <cell r="A109" t="str">
            <v>J1EKACB10604140</v>
          </cell>
          <cell r="B109" t="str">
            <v>003GPDG　414</v>
          </cell>
        </row>
        <row r="110">
          <cell r="A110" t="str">
            <v>J1EKACB20305190</v>
          </cell>
          <cell r="B110" t="str">
            <v>002EGAW　519</v>
          </cell>
        </row>
        <row r="111">
          <cell r="A111" t="str">
            <v>J1EKACB20306310</v>
          </cell>
          <cell r="B111" t="str">
            <v>002EGAW　631</v>
          </cell>
        </row>
        <row r="112">
          <cell r="A112" t="str">
            <v>J1EKACB01302040</v>
          </cell>
          <cell r="B112" t="str">
            <v>002EGDG　204</v>
          </cell>
        </row>
        <row r="113">
          <cell r="A113" t="str">
            <v>J1EKACB20802690</v>
          </cell>
          <cell r="B113" t="str">
            <v>051GPW　269(ｽﾀ)　</v>
          </cell>
        </row>
        <row r="114">
          <cell r="A114" t="str">
            <v>J1EKACB20804190</v>
          </cell>
          <cell r="B114" t="str">
            <v>051GPW　419(ｽﾀ)</v>
          </cell>
        </row>
        <row r="115">
          <cell r="A115" t="str">
            <v>J1EKACB20805670</v>
          </cell>
          <cell r="B115" t="str">
            <v>051GPW　567(ｽﾀ)</v>
          </cell>
        </row>
        <row r="116">
          <cell r="A116" t="str">
            <v>J1EKACB20805690</v>
          </cell>
          <cell r="B116" t="str">
            <v>051GPW　569</v>
          </cell>
        </row>
        <row r="117">
          <cell r="A117" t="str">
            <v>J1EKACB20807150</v>
          </cell>
          <cell r="B117" t="str">
            <v>051GPW　715</v>
          </cell>
        </row>
        <row r="118">
          <cell r="A118" t="str">
            <v>J1EKACB20807190</v>
          </cell>
          <cell r="B118" t="str">
            <v>051GPW　719</v>
          </cell>
        </row>
        <row r="119">
          <cell r="A119" t="str">
            <v>J1EKACB20808680</v>
          </cell>
          <cell r="B119" t="str">
            <v>051GPW　868</v>
          </cell>
        </row>
        <row r="120">
          <cell r="A120" t="str">
            <v>J1EKACB20810140</v>
          </cell>
          <cell r="B120" t="str">
            <v>051GPW　1014</v>
          </cell>
        </row>
        <row r="121">
          <cell r="A121" t="str">
            <v>J1EKACB20810180</v>
          </cell>
          <cell r="B121" t="str">
            <v>051GPW　1018</v>
          </cell>
        </row>
        <row r="122">
          <cell r="A122" t="str">
            <v>J1EKACB20811640</v>
          </cell>
          <cell r="B122" t="str">
            <v>051GPW　1164</v>
          </cell>
        </row>
        <row r="123">
          <cell r="A123" t="str">
            <v>J1EKACB22204150</v>
          </cell>
          <cell r="B123" t="str">
            <v>001EGAW　415</v>
          </cell>
        </row>
        <row r="124">
          <cell r="A124" t="str">
            <v>J1EKACB22205080</v>
          </cell>
          <cell r="B124" t="str">
            <v>001EGAW　508</v>
          </cell>
        </row>
        <row r="125">
          <cell r="A125" t="str">
            <v>J1EKACB22205650</v>
          </cell>
          <cell r="B125" t="str">
            <v>001EGAW　565</v>
          </cell>
        </row>
        <row r="126">
          <cell r="A126" t="str">
            <v>J1EKACB22206330</v>
          </cell>
          <cell r="B126" t="str">
            <v>001EGAW　633</v>
          </cell>
        </row>
        <row r="127">
          <cell r="A127" t="str">
            <v>J1EKACB22206520</v>
          </cell>
          <cell r="B127" t="str">
            <v>001EGAW　652</v>
          </cell>
        </row>
        <row r="128">
          <cell r="A128" t="str">
            <v>J1EKACB22206650</v>
          </cell>
          <cell r="B128" t="str">
            <v>001EGAW　665</v>
          </cell>
        </row>
        <row r="129">
          <cell r="A129" t="str">
            <v>J1EKACB22207150</v>
          </cell>
          <cell r="B129" t="str">
            <v>001EGAW　715</v>
          </cell>
        </row>
        <row r="130">
          <cell r="A130" t="str">
            <v>J1AAEDB00816080</v>
          </cell>
          <cell r="B130" t="str">
            <v>MDP-689B L1　L=1608</v>
          </cell>
        </row>
        <row r="131">
          <cell r="A131" t="str">
            <v>J1AAEDB00816620</v>
          </cell>
          <cell r="B131" t="str">
            <v>MDP-689B L2　L=1662</v>
          </cell>
        </row>
        <row r="132">
          <cell r="A132" t="str">
            <v>J1AAEDB02816080</v>
          </cell>
          <cell r="B132" t="str">
            <v>MDPQ-689B L1　L=1608</v>
          </cell>
        </row>
        <row r="133">
          <cell r="A133" t="str">
            <v>J1AAEDB02816620</v>
          </cell>
          <cell r="B133" t="str">
            <v>MDPQ-689B L2　L=1662</v>
          </cell>
        </row>
        <row r="134">
          <cell r="A134" t="str">
            <v>J1AAEDB01716040</v>
          </cell>
          <cell r="B134" t="str">
            <v>MDP-688A L1　L=1604</v>
          </cell>
        </row>
        <row r="135">
          <cell r="A135" t="str">
            <v>J1AAEDB01716580</v>
          </cell>
          <cell r="B135" t="str">
            <v>MDP-688A L2　L=1658</v>
          </cell>
        </row>
        <row r="136">
          <cell r="A136" t="str">
            <v>J1AAEDB02516040</v>
          </cell>
          <cell r="B136" t="str">
            <v>MDPQ-688A L1　L=1604</v>
          </cell>
        </row>
        <row r="137">
          <cell r="A137" t="str">
            <v>J1AAEDB02516580</v>
          </cell>
          <cell r="B137" t="str">
            <v>MDPQ-688A L2　L=1658</v>
          </cell>
        </row>
        <row r="138">
          <cell r="A138" t="str">
            <v>J1AAZDB00301000</v>
          </cell>
          <cell r="B138" t="str">
            <v>BMPU-245　L=100</v>
          </cell>
        </row>
        <row r="139">
          <cell r="A139" t="str">
            <v>J1AAZDB00501000</v>
          </cell>
          <cell r="B139" t="str">
            <v>PRPU-418　L=100</v>
          </cell>
        </row>
        <row r="140">
          <cell r="A140" t="str">
            <v>J1AZLDB00122810</v>
          </cell>
          <cell r="B140" t="str">
            <v>QDNT-284A L2　L=2281</v>
          </cell>
        </row>
        <row r="141">
          <cell r="A141" t="str">
            <v>J1AZLDB00123150</v>
          </cell>
          <cell r="B141" t="str">
            <v>QDNT-284A L1　L=2315</v>
          </cell>
        </row>
        <row r="142">
          <cell r="A142" t="str">
            <v>J1AZLDB00123980</v>
          </cell>
          <cell r="B142" t="str">
            <v>QDNT-284A LT　L=2398</v>
          </cell>
        </row>
        <row r="143">
          <cell r="A143" t="str">
            <v>J1AZLDB00127400</v>
          </cell>
          <cell r="B143" t="str">
            <v>QDNT-284A LT2　L=2740</v>
          </cell>
        </row>
        <row r="144">
          <cell r="A144" t="str">
            <v>J1AZLDB00422660</v>
          </cell>
          <cell r="B144" t="str">
            <v>DHCT-147 L1　L=2266</v>
          </cell>
        </row>
        <row r="145">
          <cell r="A145" t="str">
            <v>J1AZLDB00422975</v>
          </cell>
          <cell r="B145" t="str">
            <v>DHCT-147 L3　L=2297.5</v>
          </cell>
        </row>
        <row r="146">
          <cell r="A146" t="str">
            <v>J1AZLDB00522670</v>
          </cell>
          <cell r="B146" t="str">
            <v>DHCT-136　L=2267</v>
          </cell>
        </row>
        <row r="147">
          <cell r="A147" t="str">
            <v>J1AZLDB00522985</v>
          </cell>
          <cell r="B147" t="str">
            <v>DHCT-136 L1　L=2298.5</v>
          </cell>
        </row>
        <row r="148">
          <cell r="A148" t="str">
            <v>J1AZLDB00719940</v>
          </cell>
          <cell r="B148" t="str">
            <v>DHCT-328RL1　L=1994</v>
          </cell>
        </row>
        <row r="149">
          <cell r="A149" t="str">
            <v>J1AZLDB00800790</v>
          </cell>
          <cell r="B149" t="str">
            <v>DHCT-329L1　L=79</v>
          </cell>
        </row>
        <row r="150">
          <cell r="A150" t="str">
            <v>J1AZLDB00901030</v>
          </cell>
          <cell r="B150" t="str">
            <v>DHCT-329L2　L=103</v>
          </cell>
        </row>
        <row r="151">
          <cell r="A151" t="str">
            <v>J1AZLDB01719950</v>
          </cell>
          <cell r="B151" t="str">
            <v>DHCT-397 L1　L=1995</v>
          </cell>
        </row>
        <row r="152">
          <cell r="A152" t="str">
            <v>J1AZLDB01818880</v>
          </cell>
          <cell r="B152" t="str">
            <v>DHCT-397 LL2　L=1888</v>
          </cell>
        </row>
        <row r="153">
          <cell r="A153" t="str">
            <v>J1AZLDB01900860</v>
          </cell>
          <cell r="B153" t="str">
            <v>DHCT-398　L=86</v>
          </cell>
        </row>
        <row r="154">
          <cell r="A154" t="str">
            <v>J1AZLDB02023080</v>
          </cell>
          <cell r="B154" t="str">
            <v>DHCT-409 L1　L=2308</v>
          </cell>
        </row>
        <row r="155">
          <cell r="A155" t="str">
            <v>J1AZLDB02118880</v>
          </cell>
          <cell r="B155" t="str">
            <v>DHCT-397 RL2　L=1888</v>
          </cell>
        </row>
        <row r="156">
          <cell r="A156" t="str">
            <v>J1AZLDB02600990</v>
          </cell>
          <cell r="B156" t="str">
            <v>DHCT-548L3　L=99</v>
          </cell>
        </row>
        <row r="157">
          <cell r="A157" t="str">
            <v>J1AZLDB02601075</v>
          </cell>
          <cell r="B157" t="str">
            <v>DHCT-548L1　L=107.5</v>
          </cell>
        </row>
        <row r="158">
          <cell r="A158" t="str">
            <v>J1AZLDB02601235</v>
          </cell>
          <cell r="B158" t="str">
            <v>DHCT-548L4　L=123.5</v>
          </cell>
        </row>
        <row r="159">
          <cell r="A159" t="str">
            <v>J1AZLDB02601320</v>
          </cell>
          <cell r="B159" t="str">
            <v>DHCT-548L2　L=132</v>
          </cell>
        </row>
        <row r="160">
          <cell r="A160" t="str">
            <v>J1AZLDB02603340</v>
          </cell>
          <cell r="B160" t="str">
            <v>DHCT-547L1　L=334</v>
          </cell>
        </row>
        <row r="161">
          <cell r="A161" t="str">
            <v>J1AZLDB02603460</v>
          </cell>
          <cell r="B161" t="str">
            <v>DHCT-547L2　L=346</v>
          </cell>
        </row>
        <row r="162">
          <cell r="A162" t="str">
            <v>J1AZLDB02702240</v>
          </cell>
          <cell r="B162" t="str">
            <v>DHCT-691 L1　L=224</v>
          </cell>
        </row>
        <row r="163">
          <cell r="A163" t="str">
            <v>J1AZLDB00523605</v>
          </cell>
          <cell r="B163" t="str">
            <v>DHDT-186　L=2360.5</v>
          </cell>
        </row>
        <row r="164">
          <cell r="A164" t="str">
            <v>J1AZLDB03201160</v>
          </cell>
          <cell r="B164" t="str">
            <v>QDQT-509 L1　L=116</v>
          </cell>
        </row>
        <row r="165">
          <cell r="A165" t="str">
            <v>J1AZLDB03202380</v>
          </cell>
          <cell r="B165" t="str">
            <v>QDQT-509 L2　L=238</v>
          </cell>
        </row>
        <row r="166">
          <cell r="A166" t="str">
            <v>J1AZLDB03300780</v>
          </cell>
          <cell r="B166" t="str">
            <v>QDQT-515 L3   L=78  　　</v>
          </cell>
        </row>
        <row r="167">
          <cell r="A167" t="str">
            <v>J1AZLDB03301280</v>
          </cell>
          <cell r="B167" t="str">
            <v>QDQT-515 L2   L=128     　　</v>
          </cell>
        </row>
        <row r="168">
          <cell r="A168" t="str">
            <v>J1AZLDB03305440</v>
          </cell>
          <cell r="B168" t="str">
            <v>QDQT-515 L1　L=544　</v>
          </cell>
        </row>
        <row r="169">
          <cell r="A169" t="str">
            <v>J1EAZDB00102000</v>
          </cell>
          <cell r="B169" t="str">
            <v>QDN-487　L=200</v>
          </cell>
        </row>
        <row r="170">
          <cell r="A170" t="str">
            <v>J4AAMWB01504140</v>
          </cell>
          <cell r="B170" t="str">
            <v>AM-O-0744-KC1　L=414</v>
          </cell>
        </row>
        <row r="171">
          <cell r="A171" t="str">
            <v>J4AAMWB02707690</v>
          </cell>
          <cell r="B171" t="str">
            <v>AM-O-0807-KC1　L=769</v>
          </cell>
        </row>
        <row r="172">
          <cell r="A172" t="str">
            <v>J1AEFZB00205250</v>
          </cell>
          <cell r="B172" t="str">
            <v>脚ﾊﾟｲﾌﾟPVC　L=525</v>
          </cell>
        </row>
        <row r="173">
          <cell r="A173" t="str">
            <v>J1AEFZB00205750</v>
          </cell>
          <cell r="B173" t="str">
            <v>脚ﾊﾟｲﾌﾟPVC　L=575</v>
          </cell>
        </row>
        <row r="174">
          <cell r="A174" t="str">
            <v>J1AAFAB01299999</v>
          </cell>
          <cell r="B174" t="str">
            <v>GA-770 (特注)BR</v>
          </cell>
        </row>
        <row r="175">
          <cell r="A175" t="str">
            <v>J1AAFAB01199999</v>
          </cell>
          <cell r="B175" t="str">
            <v>GA-770 (特注)BK</v>
          </cell>
        </row>
        <row r="176">
          <cell r="A176" t="str">
            <v>J1JAZZB05605540</v>
          </cell>
          <cell r="B176" t="str">
            <v>ランプシェード　SL-600</v>
          </cell>
        </row>
        <row r="177">
          <cell r="A177" t="str">
            <v>zz001</v>
          </cell>
          <cell r="B177" t="str">
            <v>灯具カバーPC L=503</v>
          </cell>
        </row>
        <row r="178">
          <cell r="A178" t="str">
            <v>zz002</v>
          </cell>
          <cell r="B178" t="str">
            <v>灯具カバーPC L=669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228"/>
  <sheetViews>
    <sheetView tabSelected="1" topLeftCell="A199" workbookViewId="0">
      <selection activeCell="G153" sqref="G153:G154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2"/>
      <c r="B1" s="169" t="s">
        <v>0</v>
      </c>
      <c r="C1" s="102"/>
      <c r="D1" s="102"/>
      <c r="E1" s="12"/>
      <c r="F1" s="12"/>
      <c r="G1" s="12"/>
      <c r="H1" s="12"/>
      <c r="I1" s="12"/>
      <c r="J1" s="12"/>
    </row>
    <row r="2" spans="1:10" ht="14.25" customHeight="1" thickTop="1">
      <c r="A2" s="13"/>
      <c r="B2" s="102"/>
      <c r="C2" s="102"/>
      <c r="D2" s="102"/>
      <c r="E2" s="13"/>
      <c r="F2" s="13"/>
      <c r="G2" s="13"/>
      <c r="H2" s="13"/>
      <c r="I2" s="13"/>
      <c r="J2" s="13"/>
    </row>
    <row r="3" spans="1:10" ht="14.25" customHeight="1">
      <c r="A3" s="122" t="s">
        <v>1</v>
      </c>
      <c r="B3" s="122" t="s">
        <v>2</v>
      </c>
      <c r="C3" s="122" t="s">
        <v>3</v>
      </c>
      <c r="D3" s="170">
        <v>297</v>
      </c>
      <c r="E3" s="122" t="s">
        <v>4</v>
      </c>
      <c r="F3" s="168" t="s">
        <v>5</v>
      </c>
      <c r="G3" s="102"/>
      <c r="H3" s="159"/>
      <c r="I3" s="14" t="s">
        <v>6</v>
      </c>
      <c r="J3" s="14" t="s">
        <v>7</v>
      </c>
    </row>
    <row r="4" spans="1:10" ht="14.25" customHeight="1">
      <c r="A4" s="102"/>
      <c r="B4" s="102"/>
      <c r="C4" s="102"/>
      <c r="D4" s="102"/>
      <c r="E4" s="102"/>
      <c r="F4" s="102"/>
      <c r="G4" s="102"/>
      <c r="H4" s="159"/>
      <c r="I4" s="156"/>
      <c r="J4" s="156"/>
    </row>
    <row r="5" spans="1:10" ht="17.45" customHeight="1">
      <c r="A5" s="121" t="s">
        <v>8</v>
      </c>
      <c r="B5" s="121" t="s">
        <v>9</v>
      </c>
      <c r="E5" s="121" t="s">
        <v>10</v>
      </c>
      <c r="F5" s="164" t="s">
        <v>11</v>
      </c>
      <c r="G5" s="102"/>
      <c r="H5" s="159"/>
      <c r="I5" s="157"/>
      <c r="J5" s="157"/>
    </row>
    <row r="6" spans="1:10" ht="17.45" customHeight="1">
      <c r="A6" s="102"/>
      <c r="B6" s="102"/>
      <c r="E6" s="102"/>
      <c r="F6" s="102"/>
      <c r="G6" s="102"/>
      <c r="H6" s="159"/>
      <c r="I6" s="15"/>
      <c r="J6" s="15"/>
    </row>
    <row r="7" spans="1:10" ht="17.45" customHeight="1">
      <c r="A7" s="121" t="s">
        <v>12</v>
      </c>
      <c r="B7" s="121" t="s">
        <v>13</v>
      </c>
      <c r="E7" s="2" t="s">
        <v>14</v>
      </c>
      <c r="F7" s="166" t="s">
        <v>15</v>
      </c>
      <c r="G7" s="102"/>
      <c r="H7" s="22"/>
    </row>
    <row r="8" spans="1:10" ht="17.45" customHeight="1">
      <c r="A8" s="102"/>
      <c r="B8" s="102"/>
      <c r="E8" s="2" t="s">
        <v>16</v>
      </c>
      <c r="F8" s="22" t="s">
        <v>17</v>
      </c>
      <c r="G8" s="22"/>
      <c r="H8" s="22"/>
    </row>
    <row r="9" spans="1:10" ht="17.45" customHeight="1">
      <c r="A9" s="2" t="s">
        <v>18</v>
      </c>
      <c r="B9" s="4">
        <v>45834</v>
      </c>
      <c r="E9" s="2" t="s">
        <v>19</v>
      </c>
      <c r="F9" s="153">
        <v>100</v>
      </c>
      <c r="G9" s="102"/>
      <c r="H9" s="22"/>
    </row>
    <row r="10" spans="1:10" ht="17.45" customHeight="1">
      <c r="A10" s="2" t="s">
        <v>20</v>
      </c>
      <c r="B10" s="4">
        <v>45834</v>
      </c>
      <c r="E10" s="2" t="s">
        <v>21</v>
      </c>
      <c r="F10" s="22">
        <v>3</v>
      </c>
      <c r="G10" s="160" t="s">
        <v>22</v>
      </c>
      <c r="H10" s="123">
        <v>300</v>
      </c>
      <c r="I10" s="124"/>
      <c r="J10" s="125"/>
    </row>
    <row r="11" spans="1:10" ht="17.45" customHeight="1">
      <c r="A11" s="20"/>
      <c r="B11" s="21"/>
      <c r="C11" s="21"/>
      <c r="D11" s="21"/>
      <c r="E11" s="2" t="s">
        <v>23</v>
      </c>
      <c r="F11" s="22" t="s">
        <v>24</v>
      </c>
      <c r="G11" s="126"/>
      <c r="H11" s="126"/>
      <c r="I11" s="105"/>
      <c r="J11" s="127"/>
    </row>
    <row r="12" spans="1:10" ht="13.5" customHeight="1">
      <c r="A12" s="165" t="s">
        <v>25</v>
      </c>
      <c r="B12" s="102"/>
      <c r="C12" s="102"/>
      <c r="D12" s="21"/>
      <c r="F12" s="3"/>
      <c r="G12" s="154" t="s">
        <v>26</v>
      </c>
      <c r="H12" s="167" t="s">
        <v>27</v>
      </c>
      <c r="I12" s="158" t="s">
        <v>28</v>
      </c>
      <c r="J12" s="159"/>
    </row>
    <row r="13" spans="1:10" ht="13.5" customHeight="1">
      <c r="A13" s="102"/>
      <c r="B13" s="102"/>
      <c r="C13" s="102"/>
      <c r="D13" s="21"/>
      <c r="F13" s="3"/>
      <c r="G13" s="155"/>
      <c r="H13" s="155"/>
      <c r="I13" s="105"/>
      <c r="J13" s="127"/>
    </row>
    <row r="14" spans="1:10" ht="13.5" customHeight="1">
      <c r="A14" s="1" t="s">
        <v>29</v>
      </c>
    </row>
    <row r="15" spans="1:10" ht="63" customHeight="1" thickBot="1">
      <c r="A15" s="149"/>
      <c r="B15" s="150"/>
      <c r="C15" s="150"/>
      <c r="D15" s="150"/>
      <c r="E15" s="150"/>
      <c r="F15" s="150"/>
      <c r="G15" s="150"/>
      <c r="H15" s="150"/>
      <c r="I15" s="150"/>
      <c r="J15" s="150"/>
    </row>
    <row r="16" spans="1:10" ht="18.75">
      <c r="A16" s="24" t="s">
        <v>30</v>
      </c>
      <c r="B16" s="17" t="s">
        <v>31</v>
      </c>
      <c r="C16" s="161" t="s">
        <v>32</v>
      </c>
      <c r="D16" s="162"/>
      <c r="E16" s="17" t="s">
        <v>33</v>
      </c>
      <c r="F16" s="161" t="s">
        <v>34</v>
      </c>
      <c r="G16" s="162"/>
      <c r="H16" s="162"/>
      <c r="I16" s="163" t="s">
        <v>35</v>
      </c>
      <c r="J16" s="162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3">
        <v>1</v>
      </c>
      <c r="B18" s="25" t="s">
        <v>36</v>
      </c>
      <c r="C18" s="103" t="s">
        <v>37</v>
      </c>
      <c r="D18" s="148"/>
      <c r="E18" s="25" t="s">
        <v>38</v>
      </c>
      <c r="F18" s="103" t="s">
        <v>39</v>
      </c>
      <c r="G18" s="148"/>
      <c r="H18" s="148"/>
      <c r="I18" s="101"/>
      <c r="J18" s="148"/>
    </row>
    <row r="19" spans="1:10" s="7" customFormat="1" ht="16.5" customHeight="1">
      <c r="A19" s="23">
        <v>1</v>
      </c>
      <c r="B19" s="26" t="s">
        <v>36</v>
      </c>
      <c r="C19" s="103" t="s">
        <v>37</v>
      </c>
      <c r="D19" s="148"/>
      <c r="E19" s="25" t="s">
        <v>40</v>
      </c>
      <c r="F19" s="103" t="s">
        <v>41</v>
      </c>
      <c r="G19" s="148"/>
      <c r="H19" s="148"/>
      <c r="I19" s="101"/>
      <c r="J19" s="148"/>
    </row>
    <row r="20" spans="1:10" s="7" customFormat="1" ht="16.5" customHeight="1">
      <c r="A20" s="23"/>
      <c r="B20" s="26"/>
      <c r="C20" s="103"/>
      <c r="D20" s="148"/>
      <c r="E20" s="25"/>
      <c r="F20" s="103"/>
      <c r="G20" s="148"/>
      <c r="H20" s="148"/>
      <c r="I20" s="101"/>
      <c r="J20" s="148"/>
    </row>
    <row r="21" spans="1:10" s="7" customFormat="1" ht="16.5" customHeight="1">
      <c r="A21" s="23"/>
      <c r="B21" s="26"/>
      <c r="C21" s="103"/>
      <c r="D21" s="148"/>
      <c r="E21" s="25"/>
      <c r="F21" s="103"/>
      <c r="G21" s="148"/>
      <c r="H21" s="148"/>
      <c r="I21" s="101"/>
      <c r="J21" s="148"/>
    </row>
    <row r="22" spans="1:10" s="7" customFormat="1" ht="16.5" customHeight="1">
      <c r="A22" s="23"/>
      <c r="B22" s="26"/>
      <c r="C22" s="103"/>
      <c r="D22" s="148"/>
      <c r="E22" s="25"/>
      <c r="F22" s="103"/>
      <c r="G22" s="148"/>
      <c r="H22" s="148"/>
      <c r="I22" s="101"/>
      <c r="J22" s="148"/>
    </row>
    <row r="23" spans="1:10" s="7" customFormat="1" ht="16.5" customHeight="1">
      <c r="A23" s="23"/>
      <c r="B23" s="26"/>
      <c r="C23" s="103"/>
      <c r="D23" s="148"/>
      <c r="E23" s="25"/>
      <c r="F23" s="103"/>
      <c r="G23" s="148"/>
      <c r="H23" s="148"/>
      <c r="I23" s="101"/>
      <c r="J23" s="148"/>
    </row>
    <row r="24" spans="1:10" ht="16.5" customHeight="1" thickBot="1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 spans="1:10" ht="18.75">
      <c r="A25" s="108" t="s">
        <v>42</v>
      </c>
      <c r="B25" s="109"/>
      <c r="C25" s="108" t="s">
        <v>43</v>
      </c>
      <c r="D25" s="109"/>
      <c r="E25" s="109"/>
      <c r="F25" s="18" t="s">
        <v>44</v>
      </c>
      <c r="G25" s="108" t="s">
        <v>45</v>
      </c>
      <c r="H25" s="109"/>
      <c r="I25" s="108" t="s">
        <v>46</v>
      </c>
      <c r="J25" s="109"/>
    </row>
    <row r="26" spans="1:10" ht="14.25" customHeight="1">
      <c r="A26" s="8"/>
      <c r="B26" s="19"/>
      <c r="C26" s="104" t="s">
        <v>47</v>
      </c>
      <c r="D26" s="105"/>
      <c r="E26" s="19"/>
      <c r="F26" s="104" t="s">
        <v>29</v>
      </c>
      <c r="G26" s="105"/>
      <c r="H26" s="105"/>
      <c r="I26" s="105"/>
      <c r="J26" s="105"/>
    </row>
    <row r="27" spans="1:10">
      <c r="A27" s="9"/>
      <c r="C27" s="7"/>
      <c r="D27" s="7"/>
      <c r="E27" s="7"/>
    </row>
    <row r="28" spans="1:10" s="5" customFormat="1" ht="14.25" customHeight="1">
      <c r="A28" s="103" t="s">
        <v>48</v>
      </c>
      <c r="B28" s="152"/>
      <c r="C28" s="103" t="s">
        <v>49</v>
      </c>
      <c r="D28" s="152"/>
      <c r="E28" s="152"/>
      <c r="F28" s="27" t="s">
        <v>27</v>
      </c>
      <c r="G28" s="106">
        <v>50.1</v>
      </c>
      <c r="H28" s="152"/>
      <c r="I28" s="106">
        <v>0.501</v>
      </c>
      <c r="J28" s="152"/>
    </row>
    <row r="29" spans="1:10" s="7" customFormat="1" ht="24.95" customHeight="1">
      <c r="A29" s="107" t="s">
        <v>50</v>
      </c>
      <c r="B29" s="148"/>
      <c r="C29" s="103"/>
      <c r="D29" s="148"/>
      <c r="E29" s="148"/>
      <c r="F29" s="103"/>
      <c r="G29" s="148"/>
      <c r="H29" s="148"/>
      <c r="I29" s="148"/>
      <c r="J29" s="148"/>
    </row>
    <row r="30" spans="1:10" s="5" customFormat="1" ht="14.25" customHeight="1">
      <c r="A30" s="151" t="s">
        <v>81</v>
      </c>
      <c r="B30" s="152"/>
      <c r="C30" s="103" t="s">
        <v>52</v>
      </c>
      <c r="D30" s="152"/>
      <c r="E30" s="152"/>
      <c r="F30" s="27" t="s">
        <v>53</v>
      </c>
      <c r="G30" s="106">
        <v>3</v>
      </c>
      <c r="H30" s="152"/>
      <c r="I30" s="106">
        <v>0.03</v>
      </c>
      <c r="J30" s="152"/>
    </row>
    <row r="31" spans="1:10" s="7" customFormat="1" ht="24.95" customHeight="1">
      <c r="A31" s="107" t="s">
        <v>54</v>
      </c>
      <c r="B31" s="148"/>
      <c r="C31" s="103" t="s">
        <v>55</v>
      </c>
      <c r="D31" s="148"/>
      <c r="E31" s="148"/>
      <c r="F31" s="103"/>
      <c r="G31" s="148"/>
      <c r="H31" s="148"/>
      <c r="I31" s="148"/>
      <c r="J31" s="148"/>
    </row>
    <row r="32" spans="1:10" s="5" customFormat="1" ht="14.25" customHeight="1">
      <c r="A32" s="103" t="s">
        <v>56</v>
      </c>
      <c r="B32" s="152"/>
      <c r="C32" s="103" t="s">
        <v>57</v>
      </c>
      <c r="D32" s="152"/>
      <c r="E32" s="152"/>
      <c r="F32" s="27"/>
      <c r="G32" s="106">
        <v>0.3</v>
      </c>
      <c r="H32" s="152"/>
      <c r="I32" s="106">
        <v>3.0000000000000001E-3</v>
      </c>
      <c r="J32" s="152"/>
    </row>
    <row r="33" spans="1:14" s="7" customFormat="1" ht="24.95" customHeight="1">
      <c r="A33" s="107" t="s">
        <v>58</v>
      </c>
      <c r="B33" s="148"/>
      <c r="C33" s="103" t="s">
        <v>59</v>
      </c>
      <c r="D33" s="148"/>
      <c r="E33" s="148"/>
      <c r="F33" s="103"/>
      <c r="G33" s="148"/>
      <c r="H33" s="148"/>
      <c r="I33" s="148"/>
      <c r="J33" s="148"/>
    </row>
    <row r="34" spans="1:14" s="5" customFormat="1" ht="14.25" customHeight="1">
      <c r="A34" s="103" t="s">
        <v>60</v>
      </c>
      <c r="B34" s="152"/>
      <c r="C34" s="103" t="s">
        <v>61</v>
      </c>
      <c r="D34" s="152"/>
      <c r="E34" s="152"/>
      <c r="F34" s="27"/>
      <c r="G34" s="106">
        <v>0.3</v>
      </c>
      <c r="H34" s="152"/>
      <c r="I34" s="106">
        <v>3.0000000000000001E-3</v>
      </c>
      <c r="J34" s="152"/>
    </row>
    <row r="35" spans="1:14" s="7" customFormat="1" ht="24.95" customHeight="1">
      <c r="A35" s="107" t="s">
        <v>62</v>
      </c>
      <c r="B35" s="148"/>
      <c r="C35" s="103" t="s">
        <v>63</v>
      </c>
      <c r="D35" s="148"/>
      <c r="E35" s="148"/>
      <c r="F35" s="103"/>
      <c r="G35" s="148"/>
      <c r="H35" s="148"/>
      <c r="I35" s="148"/>
      <c r="J35" s="148"/>
    </row>
    <row r="36" spans="1:14" s="5" customFormat="1" ht="14.25" customHeight="1">
      <c r="A36" s="103"/>
      <c r="B36" s="152"/>
      <c r="C36" s="103"/>
      <c r="D36" s="152"/>
      <c r="E36" s="152"/>
      <c r="F36" s="27"/>
      <c r="G36" s="106"/>
      <c r="H36" s="152"/>
      <c r="I36" s="106"/>
      <c r="J36" s="152"/>
    </row>
    <row r="37" spans="1:14" s="7" customFormat="1" ht="24.95" customHeight="1" thickBot="1">
      <c r="A37" s="107"/>
      <c r="B37" s="148"/>
      <c r="C37" s="103"/>
      <c r="D37" s="148"/>
      <c r="E37" s="148"/>
      <c r="F37" s="103"/>
      <c r="G37" s="148"/>
      <c r="H37" s="148"/>
      <c r="I37" s="148"/>
      <c r="J37" s="148"/>
    </row>
    <row r="38" spans="1:14" s="5" customFormat="1" ht="18" customHeight="1">
      <c r="A38" s="110" t="s">
        <v>82</v>
      </c>
      <c r="B38" s="111"/>
      <c r="C38" s="111"/>
      <c r="D38" s="112"/>
      <c r="E38" s="98" t="s">
        <v>108</v>
      </c>
      <c r="F38" s="99"/>
      <c r="G38" s="100"/>
      <c r="H38" s="92" t="s">
        <v>99</v>
      </c>
      <c r="I38" s="93"/>
      <c r="J38" s="74" t="s">
        <v>109</v>
      </c>
    </row>
    <row r="39" spans="1:14" s="7" customFormat="1" ht="18" customHeight="1">
      <c r="A39" s="128" t="str">
        <f>_xlfn.XLOOKUP(B3,[1]VFDB2!A:A,[1]VFDB2!B:B)</f>
        <v>8FL281304 4810　L=297</v>
      </c>
      <c r="B39" s="129"/>
      <c r="C39" s="129"/>
      <c r="D39" s="130"/>
      <c r="E39" s="83" t="str">
        <f>_xlfn.XLOOKUP(B3,[1]!テーブル5[品目コード],[1]!テーブル5[箱名])</f>
        <v>LED-A300</v>
      </c>
      <c r="F39" s="94"/>
      <c r="G39" s="96">
        <f>SUM(J48:J55)</f>
        <v>3</v>
      </c>
      <c r="H39" s="75" t="s">
        <v>100</v>
      </c>
      <c r="I39" s="58" cm="1">
        <f t="array" ref="I39:J39">IF(ISBLANK(INDEX(_xlfn._xlws.FILTER([1]加工記録２!$O$3:$P$500, [1]加工記録２!$T$3:$T$500=B5), 1)), "", INDEX(_xlfn._xlws.FILTER([1]加工記録２!$O$3:$P$500, [1]加工記録２!$T$3:$T$500=B5), 1))</f>
        <v>45818</v>
      </c>
      <c r="J39" s="73">
        <v>2</v>
      </c>
    </row>
    <row r="40" spans="1:14" s="5" customFormat="1" ht="18" customHeight="1">
      <c r="A40" s="131"/>
      <c r="B40" s="132"/>
      <c r="C40" s="132"/>
      <c r="D40" s="133"/>
      <c r="E40" s="86"/>
      <c r="F40" s="95"/>
      <c r="G40" s="97"/>
      <c r="H40" s="75" t="s">
        <v>101</v>
      </c>
      <c r="I40" s="55" cm="1">
        <f t="array" ref="I40:J40">IF(ISBLANK(INDEX(_xlfn._xlws.FILTER([1]加工記録２!$O$3:$P$500, [1]加工記録２!$T$3:$T$500=B5), 2)), "", INDEX(_xlfn._xlws.FILTER([1]加工記録２!$O$3:$P$500, [1]加工記録２!$T$3:$T$500=B5), 2))</f>
        <v>300</v>
      </c>
      <c r="J40" s="59" t="str">
        <v/>
      </c>
      <c r="K40" s="29"/>
    </row>
    <row r="41" spans="1:14" s="7" customFormat="1" ht="18" customHeight="1">
      <c r="A41" s="113" t="s">
        <v>83</v>
      </c>
      <c r="B41" s="135" t="str">
        <f>_xlfn.XLOOKUP(B3,[1]!テーブル5[品目コード],[1]!テーブル5[温度換算],,)</f>
        <v>〇</v>
      </c>
      <c r="C41" s="137" t="s">
        <v>84</v>
      </c>
      <c r="D41" s="139">
        <f>_xlfn.XLOOKUP(B3,[1]!テーブル5[品目コード],[1]!テーブル5[取数],,)</f>
        <v>6</v>
      </c>
      <c r="E41" s="83" t="str">
        <f>_xlfn.XLOOKUP(B3,[1]!テーブル5[品目コード],[1]!テーブル5[備考１],,)</f>
        <v>1箱目の梱包数 目視確認　以降、重量測定</v>
      </c>
      <c r="F41" s="84"/>
      <c r="G41" s="85"/>
      <c r="H41" s="76" t="s">
        <v>102</v>
      </c>
      <c r="I41" s="55" cm="1">
        <f t="array" ref="I41:J41">IF(ISBLANK(INDEX(_xlfn._xlws.FILTER([1]加工記録２!$O$3:$P$500, [1]加工記録２!$T$3:$T$500=B5), 3)), "", INDEX(_xlfn._xlws.FILTER([1]加工記録２!$O$3:$P$500, [1]加工記録２!$T$3:$T$500=B5), 3))</f>
        <v>51</v>
      </c>
      <c r="J41" s="60" t="str">
        <v/>
      </c>
      <c r="K41" s="30"/>
    </row>
    <row r="42" spans="1:14" s="5" customFormat="1" ht="18" customHeight="1">
      <c r="A42" s="134"/>
      <c r="B42" s="136"/>
      <c r="C42" s="138"/>
      <c r="D42" s="140"/>
      <c r="E42" s="86"/>
      <c r="F42" s="87"/>
      <c r="G42" s="88"/>
      <c r="H42" s="76" t="s">
        <v>103</v>
      </c>
      <c r="I42" s="55" cm="1">
        <f t="array" ref="I42:J42">IF(ISBLANK(INDEX(_xlfn._xlws.FILTER([1]加工記録２!$O$3:$P$500, [1]加工記録２!$T$3:$T$500=B5), 4)), "", INDEX(_xlfn._xlws.FILTER([1]加工記録２!$O$3:$P$500, [1]加工記録２!$T$3:$T$500=B5), 4))</f>
        <v>1</v>
      </c>
      <c r="J42" s="61" t="str">
        <v/>
      </c>
      <c r="K42" s="29"/>
    </row>
    <row r="43" spans="1:14" s="7" customFormat="1" ht="18" customHeight="1">
      <c r="A43" s="141" t="s">
        <v>85</v>
      </c>
      <c r="B43" s="143">
        <f>D3</f>
        <v>297</v>
      </c>
      <c r="C43" s="145" t="s">
        <v>86</v>
      </c>
      <c r="D43" s="119" t="str">
        <f>_xlfn.XLOOKUP(B3,[1]!テーブル5[品目コード],[1]!テーブル5[上限公差],,)</f>
        <v>+0.5</v>
      </c>
      <c r="E43" s="83" t="str">
        <f>_xlfn.XLOOKUP(B3,[1]!テーブル5[品目コード],[1]!テーブル5[備考２],,)</f>
        <v>クラフト紙：592型　1/2</v>
      </c>
      <c r="F43" s="84"/>
      <c r="G43" s="85"/>
      <c r="H43" s="76" t="s">
        <v>104</v>
      </c>
      <c r="I43" s="55" cm="1">
        <f t="array" ref="I43:J43">IF(ISBLANK(INDEX(_xlfn._xlws.FILTER([1]加工記録２!$O$3:$P$500, [1]加工記録２!$T$3:$T$500=B5), 5)), "", INDEX(_xlfn._xlws.FILTER([1]加工記録２!$O$3:$P$500, [1]加工記録２!$T$3:$T$500=B5), 5))</f>
        <v>2</v>
      </c>
      <c r="J43" s="62" t="str">
        <v/>
      </c>
      <c r="K43" s="30"/>
    </row>
    <row r="44" spans="1:14" s="5" customFormat="1" ht="18" customHeight="1">
      <c r="A44" s="142"/>
      <c r="B44" s="144"/>
      <c r="C44" s="146"/>
      <c r="D44" s="147"/>
      <c r="E44" s="86"/>
      <c r="F44" s="87"/>
      <c r="G44" s="88"/>
      <c r="H44" s="76" t="s">
        <v>105</v>
      </c>
      <c r="I44" s="55" t="str" cm="1">
        <f t="array" ref="I44:J44">IF(ISBLANK(INDEX(_xlfn._xlws.FILTER([1]加工記録２!$O$3:$P$500, [1]加工記録２!$T$3:$T$500=B5), 6)), "", INDEX(_xlfn._xlws.FILTER([1]加工記録２!$O$3:$P$500, [1]加工記録２!$T$3:$T$500=B5), 6))</f>
        <v/>
      </c>
      <c r="J44" s="63" t="str">
        <v/>
      </c>
      <c r="K44" s="29"/>
    </row>
    <row r="45" spans="1:14" s="7" customFormat="1" ht="18" customHeight="1">
      <c r="A45" s="113" t="s">
        <v>87</v>
      </c>
      <c r="B45" s="115" t="str">
        <f>_xlfn.XLOOKUP(B3,[1]!テーブル5[品目コード],[1]!テーブル5[切断寸法],,)</f>
        <v>換算表確認</v>
      </c>
      <c r="C45" s="117" t="s">
        <v>88</v>
      </c>
      <c r="D45" s="119" t="str">
        <f>_xlfn.XLOOKUP(B3,[1]!テーブル5[品目コード],[1]!テーブル5[下限公差],,)</f>
        <v>－0.5</v>
      </c>
      <c r="E45" s="83" t="str">
        <f>_xlfn.XLOOKUP(B3,[1]!テーブル5[品目コード],[1]!テーブル5[梱包方法],,)</f>
        <v>ラベル１枚　長手無　鉢巻１回</v>
      </c>
      <c r="F45" s="84"/>
      <c r="G45" s="85"/>
      <c r="H45" s="76" t="s">
        <v>106</v>
      </c>
      <c r="I45" s="55" t="str" cm="1">
        <f t="array" ref="I45:J45">IF(ISBLANK(INDEX(_xlfn._xlws.FILTER([1]加工記録２!$O$3:$P$500, [1]加工記録２!$T$3:$T$500=B5), 7)), "", INDEX(_xlfn._xlws.FILTER([1]加工記録２!$O$3:$P$500, [1]加工記録２!$T$3:$T$500=B5), 7))</f>
        <v>水野</v>
      </c>
      <c r="J45" s="64" t="str">
        <v/>
      </c>
      <c r="K45" s="30"/>
    </row>
    <row r="46" spans="1:14" s="5" customFormat="1" ht="18" customHeight="1" thickBot="1">
      <c r="A46" s="114"/>
      <c r="B46" s="116"/>
      <c r="C46" s="118"/>
      <c r="D46" s="120"/>
      <c r="E46" s="89"/>
      <c r="F46" s="90"/>
      <c r="G46" s="91"/>
      <c r="H46" s="77" t="s">
        <v>107</v>
      </c>
      <c r="I46" s="28" t="str" cm="1">
        <f t="array" ref="I46:J46">IF(ISBLANK(INDEX(_xlfn._xlws.FILTER([1]加工記録２!$O$3:$P$500, [1]加工記録２!$T$3:$T$500=B5), 8)), "", INDEX(_xlfn._xlws.FILTER([1]加工記録２!$O$3:$P$500, [1]加工記録２!$T$3:$T$500=B5), 8))</f>
        <v>高森</v>
      </c>
      <c r="J46" s="72">
        <v>2</v>
      </c>
    </row>
    <row r="47" spans="1:14" s="36" customFormat="1" ht="18.95" customHeight="1">
      <c r="A47" s="31" t="s">
        <v>89</v>
      </c>
      <c r="B47" s="32" t="s">
        <v>90</v>
      </c>
      <c r="C47" s="33" t="s">
        <v>91</v>
      </c>
      <c r="D47" s="33" t="s">
        <v>92</v>
      </c>
      <c r="E47" s="34" t="s">
        <v>93</v>
      </c>
      <c r="F47" s="65" t="s">
        <v>94</v>
      </c>
      <c r="G47" s="56" t="s">
        <v>95</v>
      </c>
      <c r="H47" s="57" t="s">
        <v>96</v>
      </c>
      <c r="I47" s="66" t="s">
        <v>97</v>
      </c>
      <c r="J47" s="67" t="s">
        <v>98</v>
      </c>
      <c r="K47" s="35"/>
      <c r="L47" s="35"/>
      <c r="M47" s="35"/>
      <c r="N47" s="35"/>
    </row>
    <row r="48" spans="1:14" s="54" customFormat="1" ht="18.95" customHeight="1">
      <c r="A48" s="42" t="str" cm="1">
        <f t="array" ref="A48:J48">IF(ISBLANK(INDEX(_xlfn._xlws.FILTER([1]加工記録２!$D$3:$M$500, [1]加工記録２!$T$3:$T$500=B5), 1)), "", INDEX(_xlfn._xlws.FILTER([1]加工記録２!$D$3:$M$500, [1]加工記録２!$T$3:$T$500=B5), 1))</f>
        <v/>
      </c>
      <c r="B48" s="37" t="str">
        <v/>
      </c>
      <c r="C48" s="38" t="str">
        <v/>
      </c>
      <c r="D48" s="38" t="str">
        <v/>
      </c>
      <c r="E48" s="39" t="str">
        <v/>
      </c>
      <c r="F48" s="45" t="str">
        <v>25E27-09</v>
      </c>
      <c r="G48" s="43">
        <v>306</v>
      </c>
      <c r="H48" s="46">
        <v>51</v>
      </c>
      <c r="I48" s="40">
        <v>45818</v>
      </c>
      <c r="J48" s="41">
        <v>3</v>
      </c>
      <c r="K48" s="53"/>
      <c r="L48" s="53"/>
      <c r="M48" s="53"/>
      <c r="N48" s="53"/>
    </row>
    <row r="49" spans="1:14" s="54" customFormat="1" ht="18.95" customHeight="1">
      <c r="A49" s="42" cm="1">
        <f t="array" ref="A49:J49">IF(ISBLANK(INDEX(_xlfn._xlws.FILTER([1]加工記録２!$D$3:$M$500, [1]加工記録２!$T$3:$T$500=B5), 2)), "", INDEX(_xlfn._xlws.FILTER([1]加工記録２!$D$3:$M$500, [1]加工記録２!$T$3:$T$500=B5), 2))</f>
        <v>45817</v>
      </c>
      <c r="B49" s="43" t="str">
        <v>25E27-09</v>
      </c>
      <c r="C49" s="43">
        <v>26</v>
      </c>
      <c r="D49" s="43">
        <v>297.12</v>
      </c>
      <c r="E49" s="44">
        <v>297.22000000000003</v>
      </c>
      <c r="F49" s="45" t="str">
        <v/>
      </c>
      <c r="G49" s="43" t="str">
        <v/>
      </c>
      <c r="H49" s="46" t="str">
        <v/>
      </c>
      <c r="I49" s="40" t="str">
        <v/>
      </c>
      <c r="J49" s="41" t="str">
        <v/>
      </c>
      <c r="K49" s="53"/>
      <c r="L49" s="53"/>
      <c r="M49" s="53"/>
      <c r="N49" s="53"/>
    </row>
    <row r="50" spans="1:14" s="54" customFormat="1" ht="18.95" customHeight="1">
      <c r="A50" s="42" cm="1">
        <f t="array" ref="A50:J50">IF(ISBLANK(INDEX(_xlfn._xlws.FILTER([1]加工記録２!$D$3:$M$500, [1]加工記録２!$T$3:$T$500=B5), 3)), "", INDEX(_xlfn._xlws.FILTER([1]加工記録２!$D$3:$M$500, [1]加工記録２!$T$3:$T$500=B5), 3))</f>
        <v>45817</v>
      </c>
      <c r="B50" s="43" t="str">
        <v>25E27-09</v>
      </c>
      <c r="C50" s="43">
        <v>26</v>
      </c>
      <c r="D50" s="43">
        <v>297.12</v>
      </c>
      <c r="E50" s="44">
        <v>297.27999999999997</v>
      </c>
      <c r="F50" s="45" t="str">
        <v/>
      </c>
      <c r="G50" s="43" t="str">
        <v/>
      </c>
      <c r="H50" s="46" t="str">
        <v/>
      </c>
      <c r="I50" s="40" t="str">
        <v/>
      </c>
      <c r="J50" s="41" t="str">
        <v/>
      </c>
      <c r="K50" s="53"/>
      <c r="L50" s="53"/>
      <c r="M50" s="53"/>
      <c r="N50" s="53"/>
    </row>
    <row r="51" spans="1:14" s="54" customFormat="1" ht="18.95" customHeight="1">
      <c r="A51" s="42" cm="1">
        <f t="array" ref="A51:J51">IF(ISBLANK(INDEX(_xlfn._xlws.FILTER([1]加工記録２!$D$3:$M$500, [1]加工記録２!$T$3:$T$500=B5), 4)), "", INDEX(_xlfn._xlws.FILTER([1]加工記録２!$D$3:$M$500, [1]加工記録２!$T$3:$T$500=B5), 4))</f>
        <v>45818</v>
      </c>
      <c r="B51" s="43" t="str">
        <v>25E27-09</v>
      </c>
      <c r="C51" s="43">
        <v>22</v>
      </c>
      <c r="D51" s="43">
        <v>297.04000000000002</v>
      </c>
      <c r="E51" s="44">
        <v>297.27999999999997</v>
      </c>
      <c r="F51" s="45" t="str">
        <v/>
      </c>
      <c r="G51" s="43" t="str">
        <v/>
      </c>
      <c r="H51" s="46" t="str">
        <v/>
      </c>
      <c r="I51" s="40" t="str">
        <v/>
      </c>
      <c r="J51" s="41" t="str">
        <v/>
      </c>
      <c r="K51" s="53"/>
      <c r="L51" s="53"/>
      <c r="M51" s="53"/>
      <c r="N51" s="53"/>
    </row>
    <row r="52" spans="1:14" s="54" customFormat="1" ht="18.95" customHeight="1">
      <c r="A52" s="42" cm="1">
        <f t="array" ref="A52:J52">IF(ISBLANK(INDEX(_xlfn._xlws.FILTER([1]加工記録２!$D$3:$M$500, [1]加工記録２!$T$3:$T$500=B5), 5)), "", INDEX(_xlfn._xlws.FILTER([1]加工記録２!$D$3:$M$500, [1]加工記録２!$T$3:$T$500=B5), 5))</f>
        <v>45818</v>
      </c>
      <c r="B52" s="43" t="str">
        <v>25E27-09</v>
      </c>
      <c r="C52" s="43">
        <v>22</v>
      </c>
      <c r="D52" s="43">
        <v>297.04000000000002</v>
      </c>
      <c r="E52" s="44">
        <v>297.29000000000002</v>
      </c>
      <c r="F52" s="45" t="str">
        <v/>
      </c>
      <c r="G52" s="43" t="str">
        <v/>
      </c>
      <c r="H52" s="46" t="str">
        <v/>
      </c>
      <c r="I52" s="68" t="str">
        <v/>
      </c>
      <c r="J52" s="69" t="str">
        <v/>
      </c>
      <c r="K52" s="53"/>
      <c r="L52" s="53"/>
      <c r="M52" s="53"/>
      <c r="N52" s="53"/>
    </row>
    <row r="53" spans="1:14" s="54" customFormat="1" ht="18.95" customHeight="1">
      <c r="A53" s="42" t="str" cm="1">
        <f t="array" ref="A53:J53">IF(ISBLANK(INDEX(_xlfn._xlws.FILTER([1]加工記録２!$D$3:$M$500, [1]加工記録２!$T$3:$T$500=B5), 6)), "", INDEX(_xlfn._xlws.FILTER([1]加工記録２!$D$3:$M$500, [1]加工記録２!$T$3:$T$500=B5), 6))</f>
        <v/>
      </c>
      <c r="B53" s="43" t="str">
        <v/>
      </c>
      <c r="C53" s="43" t="str">
        <v/>
      </c>
      <c r="D53" s="43" t="str">
        <v/>
      </c>
      <c r="E53" s="44" t="str">
        <v/>
      </c>
      <c r="F53" s="45" t="str">
        <v/>
      </c>
      <c r="G53" s="43" t="str">
        <v/>
      </c>
      <c r="H53" s="70" t="str">
        <v/>
      </c>
      <c r="I53" s="68" t="str">
        <v/>
      </c>
      <c r="J53" s="69" t="str">
        <v/>
      </c>
      <c r="K53" s="53"/>
      <c r="L53" s="53"/>
      <c r="M53" s="53"/>
      <c r="N53" s="53"/>
    </row>
    <row r="54" spans="1:14" s="54" customFormat="1" ht="18.95" customHeight="1">
      <c r="A54" s="42" t="str" cm="1">
        <f t="array" ref="A54:J54">IF(ISBLANK(INDEX(_xlfn._xlws.FILTER([1]加工記録２!$D$3:$M$500, [1]加工記録２!$T$3:$T$500=B5), 7)), "", INDEX(_xlfn._xlws.FILTER([1]加工記録２!$D$3:$M$500, [1]加工記録２!$T$3:$T$500=B5), 7))</f>
        <v/>
      </c>
      <c r="B54" s="43" t="str">
        <v/>
      </c>
      <c r="C54" s="43" t="str">
        <v/>
      </c>
      <c r="D54" s="43" t="str">
        <v/>
      </c>
      <c r="E54" s="44" t="str">
        <v/>
      </c>
      <c r="F54" s="45" t="str">
        <v/>
      </c>
      <c r="G54" s="43" t="str">
        <v/>
      </c>
      <c r="H54" s="70" t="str">
        <v/>
      </c>
      <c r="I54" s="68" t="str">
        <v/>
      </c>
      <c r="J54" s="69" t="str">
        <v/>
      </c>
      <c r="K54" s="53"/>
      <c r="L54" s="53"/>
      <c r="M54" s="53"/>
      <c r="N54" s="53"/>
    </row>
    <row r="55" spans="1:14" s="54" customFormat="1" ht="18.95" customHeight="1" thickBot="1">
      <c r="A55" s="47" t="str" cm="1">
        <f t="array" ref="A55:J55">IF(ISBLANK(INDEX(_xlfn._xlws.FILTER([1]加工記録２!$D$3:$M$500, [1]加工記録２!$T$3:$T$500=B5), 8)), "", INDEX(_xlfn._xlws.FILTER([1]加工記録２!$D$3:$M$500, [1]加工記録２!$T$3:$T$500=B5), 8))</f>
        <v/>
      </c>
      <c r="B55" s="48" t="str">
        <v/>
      </c>
      <c r="C55" s="48" t="str">
        <v/>
      </c>
      <c r="D55" s="48" t="str">
        <v/>
      </c>
      <c r="E55" s="49" t="str">
        <v/>
      </c>
      <c r="F55" s="50" t="str">
        <v/>
      </c>
      <c r="G55" s="48" t="str">
        <v/>
      </c>
      <c r="H55" s="71" t="str">
        <v/>
      </c>
      <c r="I55" s="51" t="str">
        <v/>
      </c>
      <c r="J55" s="52" t="str">
        <v/>
      </c>
      <c r="K55" s="53"/>
      <c r="L55" s="53"/>
      <c r="M55" s="53"/>
      <c r="N55" s="53"/>
    </row>
    <row r="56" spans="1:14" ht="13.5" customHeight="1" thickBot="1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2"/>
      <c r="B58" s="169" t="s">
        <v>0</v>
      </c>
      <c r="C58" s="102"/>
      <c r="D58" s="102"/>
      <c r="E58" s="12"/>
      <c r="F58" s="12"/>
      <c r="G58" s="12"/>
      <c r="H58" s="12"/>
      <c r="I58" s="12"/>
      <c r="J58" s="12"/>
    </row>
    <row r="59" spans="1:14" ht="14.25" customHeight="1">
      <c r="A59" s="13"/>
      <c r="B59" s="102"/>
      <c r="C59" s="102"/>
      <c r="D59" s="102"/>
      <c r="E59" s="13"/>
      <c r="F59" s="13"/>
      <c r="G59" s="13"/>
      <c r="H59" s="13"/>
      <c r="I59" s="13"/>
      <c r="J59" s="13"/>
    </row>
    <row r="60" spans="1:14" ht="14.25" customHeight="1">
      <c r="A60" s="122" t="s">
        <v>1</v>
      </c>
      <c r="B60" s="122" t="s">
        <v>2</v>
      </c>
      <c r="C60" s="122" t="s">
        <v>3</v>
      </c>
      <c r="D60" s="170">
        <v>297</v>
      </c>
      <c r="E60" s="122" t="s">
        <v>4</v>
      </c>
      <c r="F60" s="168" t="s">
        <v>5</v>
      </c>
      <c r="G60" s="102"/>
      <c r="H60" s="159"/>
      <c r="I60" s="14" t="s">
        <v>6</v>
      </c>
      <c r="J60" s="14" t="s">
        <v>7</v>
      </c>
    </row>
    <row r="61" spans="1:14" ht="14.25" customHeight="1">
      <c r="A61" s="102"/>
      <c r="B61" s="102"/>
      <c r="C61" s="102"/>
      <c r="D61" s="102"/>
      <c r="E61" s="102"/>
      <c r="F61" s="102"/>
      <c r="G61" s="102"/>
      <c r="H61" s="159"/>
      <c r="I61" s="156"/>
      <c r="J61" s="156"/>
    </row>
    <row r="62" spans="1:14" ht="17.45" customHeight="1">
      <c r="A62" s="121" t="s">
        <v>8</v>
      </c>
      <c r="B62" s="121" t="s">
        <v>64</v>
      </c>
      <c r="E62" s="121" t="s">
        <v>10</v>
      </c>
      <c r="F62" s="164" t="s">
        <v>11</v>
      </c>
      <c r="G62" s="102"/>
      <c r="H62" s="159"/>
      <c r="I62" s="157"/>
      <c r="J62" s="157"/>
    </row>
    <row r="63" spans="1:14" ht="17.45" customHeight="1">
      <c r="A63" s="102"/>
      <c r="B63" s="102"/>
      <c r="E63" s="102"/>
      <c r="F63" s="102"/>
      <c r="G63" s="102"/>
      <c r="H63" s="159"/>
      <c r="I63" s="15"/>
      <c r="J63" s="15"/>
    </row>
    <row r="64" spans="1:14" ht="17.45" customHeight="1">
      <c r="A64" s="121" t="s">
        <v>12</v>
      </c>
      <c r="B64" s="121" t="s">
        <v>65</v>
      </c>
      <c r="E64" s="2" t="s">
        <v>14</v>
      </c>
      <c r="F64" s="166" t="s">
        <v>15</v>
      </c>
      <c r="G64" s="102"/>
      <c r="H64" s="22"/>
    </row>
    <row r="65" spans="1:10" ht="17.45" customHeight="1">
      <c r="A65" s="102"/>
      <c r="B65" s="102"/>
      <c r="E65" s="2" t="s">
        <v>16</v>
      </c>
      <c r="F65" s="22" t="s">
        <v>17</v>
      </c>
      <c r="G65" s="22"/>
      <c r="H65" s="22"/>
    </row>
    <row r="66" spans="1:10" ht="17.45" customHeight="1">
      <c r="A66" s="2" t="s">
        <v>18</v>
      </c>
      <c r="B66" s="4">
        <v>45842</v>
      </c>
      <c r="E66" s="2" t="s">
        <v>19</v>
      </c>
      <c r="F66" s="153">
        <v>100</v>
      </c>
      <c r="G66" s="102"/>
      <c r="H66" s="22"/>
    </row>
    <row r="67" spans="1:10" ht="17.45" customHeight="1">
      <c r="A67" s="2" t="s">
        <v>20</v>
      </c>
      <c r="B67" s="4">
        <v>45842</v>
      </c>
      <c r="E67" s="2" t="s">
        <v>21</v>
      </c>
      <c r="F67" s="22">
        <v>3</v>
      </c>
      <c r="G67" s="160" t="s">
        <v>22</v>
      </c>
      <c r="H67" s="123">
        <v>300</v>
      </c>
      <c r="I67" s="124"/>
      <c r="J67" s="125"/>
    </row>
    <row r="68" spans="1:10" ht="17.45" customHeight="1">
      <c r="A68" s="20"/>
      <c r="B68" s="21"/>
      <c r="C68" s="21"/>
      <c r="D68" s="21"/>
      <c r="E68" s="2" t="s">
        <v>23</v>
      </c>
      <c r="F68" s="22" t="s">
        <v>24</v>
      </c>
      <c r="G68" s="126"/>
      <c r="H68" s="126"/>
      <c r="I68" s="105"/>
      <c r="J68" s="127"/>
    </row>
    <row r="69" spans="1:10" ht="13.5" customHeight="1">
      <c r="A69" s="165" t="s">
        <v>25</v>
      </c>
      <c r="B69" s="102"/>
      <c r="C69" s="102"/>
      <c r="D69" s="21"/>
      <c r="F69" s="3"/>
      <c r="G69" s="154" t="s">
        <v>26</v>
      </c>
      <c r="H69" s="167" t="s">
        <v>27</v>
      </c>
      <c r="I69" s="158" t="s">
        <v>28</v>
      </c>
      <c r="J69" s="159"/>
    </row>
    <row r="70" spans="1:10" ht="13.5" customHeight="1">
      <c r="A70" s="102"/>
      <c r="B70" s="102"/>
      <c r="C70" s="102"/>
      <c r="D70" s="21"/>
      <c r="F70" s="3"/>
      <c r="G70" s="155"/>
      <c r="H70" s="155"/>
      <c r="I70" s="105"/>
      <c r="J70" s="127"/>
    </row>
    <row r="71" spans="1:10" ht="13.5" customHeight="1">
      <c r="A71" s="1" t="s">
        <v>29</v>
      </c>
    </row>
    <row r="72" spans="1:10" ht="63" customHeight="1">
      <c r="A72" s="149"/>
      <c r="B72" s="150"/>
      <c r="C72" s="150"/>
      <c r="D72" s="150"/>
      <c r="E72" s="150"/>
      <c r="F72" s="150"/>
      <c r="G72" s="150"/>
      <c r="H72" s="150"/>
      <c r="I72" s="150"/>
      <c r="J72" s="150"/>
    </row>
    <row r="73" spans="1:10" ht="18.75">
      <c r="A73" s="24" t="s">
        <v>30</v>
      </c>
      <c r="B73" s="17" t="s">
        <v>31</v>
      </c>
      <c r="C73" s="161" t="s">
        <v>32</v>
      </c>
      <c r="D73" s="162"/>
      <c r="E73" s="17" t="s">
        <v>33</v>
      </c>
      <c r="F73" s="161" t="s">
        <v>34</v>
      </c>
      <c r="G73" s="162"/>
      <c r="H73" s="162"/>
      <c r="I73" s="163" t="s">
        <v>35</v>
      </c>
      <c r="J73" s="162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3">
        <v>1</v>
      </c>
      <c r="B75" s="25" t="s">
        <v>36</v>
      </c>
      <c r="C75" s="103" t="s">
        <v>37</v>
      </c>
      <c r="D75" s="102"/>
      <c r="E75" s="25" t="s">
        <v>38</v>
      </c>
      <c r="F75" s="103" t="s">
        <v>39</v>
      </c>
      <c r="G75" s="102"/>
      <c r="H75" s="102"/>
      <c r="I75" s="101"/>
      <c r="J75" s="102"/>
    </row>
    <row r="76" spans="1:10" ht="16.5" customHeight="1">
      <c r="A76" s="23">
        <v>1</v>
      </c>
      <c r="B76" s="26" t="s">
        <v>36</v>
      </c>
      <c r="C76" s="103" t="s">
        <v>37</v>
      </c>
      <c r="D76" s="102"/>
      <c r="E76" s="25" t="s">
        <v>40</v>
      </c>
      <c r="F76" s="103" t="s">
        <v>41</v>
      </c>
      <c r="G76" s="102"/>
      <c r="H76" s="102"/>
      <c r="I76" s="101"/>
      <c r="J76" s="102"/>
    </row>
    <row r="77" spans="1:10" ht="16.5" customHeight="1">
      <c r="A77" s="23"/>
      <c r="B77" s="26"/>
      <c r="C77" s="103"/>
      <c r="D77" s="102"/>
      <c r="E77" s="25"/>
      <c r="F77" s="103"/>
      <c r="G77" s="102"/>
      <c r="H77" s="102"/>
      <c r="I77" s="101"/>
      <c r="J77" s="102"/>
    </row>
    <row r="78" spans="1:10" ht="16.5" customHeight="1">
      <c r="A78" s="23"/>
      <c r="B78" s="26"/>
      <c r="C78" s="103"/>
      <c r="D78" s="102"/>
      <c r="E78" s="25"/>
      <c r="F78" s="103"/>
      <c r="G78" s="102"/>
      <c r="H78" s="102"/>
      <c r="I78" s="101"/>
      <c r="J78" s="102"/>
    </row>
    <row r="79" spans="1:10" ht="16.5" customHeight="1">
      <c r="A79" s="23"/>
      <c r="B79" s="26"/>
      <c r="C79" s="103"/>
      <c r="D79" s="102"/>
      <c r="E79" s="25"/>
      <c r="F79" s="103"/>
      <c r="G79" s="102"/>
      <c r="H79" s="102"/>
      <c r="I79" s="101"/>
      <c r="J79" s="102"/>
    </row>
    <row r="80" spans="1:10" ht="16.5" customHeight="1">
      <c r="A80" s="23"/>
      <c r="B80" s="26"/>
      <c r="C80" s="103"/>
      <c r="D80" s="102"/>
      <c r="E80" s="25"/>
      <c r="F80" s="103"/>
      <c r="G80" s="102"/>
      <c r="H80" s="102"/>
      <c r="I80" s="101"/>
      <c r="J80" s="102"/>
    </row>
    <row r="81" spans="1:10" ht="16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</row>
    <row r="82" spans="1:10" ht="18.75">
      <c r="A82" s="108" t="s">
        <v>42</v>
      </c>
      <c r="B82" s="109"/>
      <c r="C82" s="108" t="s">
        <v>43</v>
      </c>
      <c r="D82" s="109"/>
      <c r="E82" s="109"/>
      <c r="F82" s="18" t="s">
        <v>44</v>
      </c>
      <c r="G82" s="108" t="s">
        <v>45</v>
      </c>
      <c r="H82" s="109"/>
      <c r="I82" s="108" t="s">
        <v>46</v>
      </c>
      <c r="J82" s="109"/>
    </row>
    <row r="83" spans="1:10" ht="14.25" customHeight="1">
      <c r="A83" s="8"/>
      <c r="B83" s="19"/>
      <c r="C83" s="104" t="s">
        <v>47</v>
      </c>
      <c r="D83" s="105"/>
      <c r="E83" s="19"/>
      <c r="F83" s="104" t="s">
        <v>29</v>
      </c>
      <c r="G83" s="105"/>
      <c r="H83" s="105"/>
      <c r="I83" s="105"/>
      <c r="J83" s="105"/>
    </row>
    <row r="84" spans="1:10">
      <c r="A84" s="9"/>
      <c r="C84" s="7"/>
      <c r="D84" s="7"/>
      <c r="E84" s="7"/>
    </row>
    <row r="85" spans="1:10" ht="14.25" customHeight="1">
      <c r="A85" s="103" t="s">
        <v>48</v>
      </c>
      <c r="B85" s="102"/>
      <c r="C85" s="103" t="s">
        <v>49</v>
      </c>
      <c r="D85" s="102"/>
      <c r="E85" s="102"/>
      <c r="F85" s="27" t="s">
        <v>27</v>
      </c>
      <c r="G85" s="106">
        <v>50.1</v>
      </c>
      <c r="H85" s="102"/>
      <c r="I85" s="106">
        <v>0.501</v>
      </c>
      <c r="J85" s="102"/>
    </row>
    <row r="86" spans="1:10" ht="24.95" customHeight="1">
      <c r="A86" s="107" t="s">
        <v>50</v>
      </c>
      <c r="B86" s="102"/>
      <c r="C86" s="103"/>
      <c r="D86" s="102"/>
      <c r="E86" s="102"/>
      <c r="F86" s="103"/>
      <c r="G86" s="102"/>
      <c r="H86" s="102"/>
      <c r="I86" s="102"/>
      <c r="J86" s="102"/>
    </row>
    <row r="87" spans="1:10" ht="14.25" customHeight="1">
      <c r="A87" s="103" t="s">
        <v>51</v>
      </c>
      <c r="B87" s="102"/>
      <c r="C87" s="103" t="s">
        <v>52</v>
      </c>
      <c r="D87" s="102"/>
      <c r="E87" s="102"/>
      <c r="F87" s="27" t="s">
        <v>53</v>
      </c>
      <c r="G87" s="106">
        <v>3</v>
      </c>
      <c r="H87" s="102"/>
      <c r="I87" s="106">
        <v>0.03</v>
      </c>
      <c r="J87" s="102"/>
    </row>
    <row r="88" spans="1:10" ht="24.95" customHeight="1">
      <c r="A88" s="107" t="s">
        <v>54</v>
      </c>
      <c r="B88" s="102"/>
      <c r="C88" s="103" t="s">
        <v>55</v>
      </c>
      <c r="D88" s="102"/>
      <c r="E88" s="102"/>
      <c r="F88" s="103"/>
      <c r="G88" s="102"/>
      <c r="H88" s="102"/>
      <c r="I88" s="102"/>
      <c r="J88" s="102"/>
    </row>
    <row r="89" spans="1:10" ht="14.25" customHeight="1">
      <c r="A89" s="103" t="s">
        <v>56</v>
      </c>
      <c r="B89" s="102"/>
      <c r="C89" s="103" t="s">
        <v>57</v>
      </c>
      <c r="D89" s="102"/>
      <c r="E89" s="102"/>
      <c r="F89" s="27"/>
      <c r="G89" s="106">
        <v>0.3</v>
      </c>
      <c r="H89" s="102"/>
      <c r="I89" s="106">
        <v>3.0000000000000001E-3</v>
      </c>
      <c r="J89" s="102"/>
    </row>
    <row r="90" spans="1:10" ht="24.95" customHeight="1">
      <c r="A90" s="107" t="s">
        <v>58</v>
      </c>
      <c r="B90" s="102"/>
      <c r="C90" s="103" t="s">
        <v>59</v>
      </c>
      <c r="D90" s="102"/>
      <c r="E90" s="102"/>
      <c r="F90" s="103"/>
      <c r="G90" s="102"/>
      <c r="H90" s="102"/>
      <c r="I90" s="102"/>
      <c r="J90" s="102"/>
    </row>
    <row r="91" spans="1:10" ht="14.25" customHeight="1">
      <c r="A91" s="103" t="s">
        <v>60</v>
      </c>
      <c r="B91" s="102"/>
      <c r="C91" s="103" t="s">
        <v>61</v>
      </c>
      <c r="D91" s="102"/>
      <c r="E91" s="102"/>
      <c r="F91" s="27"/>
      <c r="G91" s="106">
        <v>0.3</v>
      </c>
      <c r="H91" s="102"/>
      <c r="I91" s="106">
        <v>3.0000000000000001E-3</v>
      </c>
      <c r="J91" s="102"/>
    </row>
    <row r="92" spans="1:10" ht="24.95" customHeight="1">
      <c r="A92" s="107" t="s">
        <v>62</v>
      </c>
      <c r="B92" s="102"/>
      <c r="C92" s="103" t="s">
        <v>63</v>
      </c>
      <c r="D92" s="102"/>
      <c r="E92" s="102"/>
      <c r="F92" s="103"/>
      <c r="G92" s="102"/>
      <c r="H92" s="102"/>
      <c r="I92" s="102"/>
      <c r="J92" s="102"/>
    </row>
    <row r="93" spans="1:10" ht="14.25" customHeight="1">
      <c r="A93" s="103"/>
      <c r="B93" s="102"/>
      <c r="C93" s="103"/>
      <c r="D93" s="102"/>
      <c r="E93" s="102"/>
      <c r="F93" s="27"/>
      <c r="G93" s="106"/>
      <c r="H93" s="102"/>
      <c r="I93" s="106"/>
      <c r="J93" s="102"/>
    </row>
    <row r="94" spans="1:10" ht="24.95" customHeight="1" thickBot="1">
      <c r="A94" s="107"/>
      <c r="B94" s="102"/>
      <c r="C94" s="103"/>
      <c r="D94" s="102"/>
      <c r="E94" s="102"/>
      <c r="F94" s="103"/>
      <c r="G94" s="102"/>
      <c r="H94" s="102"/>
      <c r="I94" s="102"/>
      <c r="J94" s="102"/>
    </row>
    <row r="95" spans="1:10" s="5" customFormat="1" ht="18" customHeight="1">
      <c r="A95" s="110" t="s">
        <v>82</v>
      </c>
      <c r="B95" s="111"/>
      <c r="C95" s="111"/>
      <c r="D95" s="112"/>
      <c r="E95" s="98" t="s">
        <v>108</v>
      </c>
      <c r="F95" s="99"/>
      <c r="G95" s="100"/>
      <c r="H95" s="92" t="s">
        <v>99</v>
      </c>
      <c r="I95" s="93"/>
      <c r="J95" s="74" t="s">
        <v>109</v>
      </c>
    </row>
    <row r="96" spans="1:10" s="7" customFormat="1" ht="18" customHeight="1">
      <c r="A96" s="128" t="str">
        <f>_xlfn.XLOOKUP(B60,[1]VFDB2!A:A,[1]VFDB2!B:B)</f>
        <v>8FL281304 4810　L=297</v>
      </c>
      <c r="B96" s="129"/>
      <c r="C96" s="129"/>
      <c r="D96" s="130"/>
      <c r="E96" s="83" t="str">
        <f>_xlfn.XLOOKUP(B60,[1]!テーブル5[品目コード],[1]!テーブル5[箱名])</f>
        <v>LED-A300</v>
      </c>
      <c r="F96" s="94"/>
      <c r="G96" s="96">
        <f>SUM(J105:J112)</f>
        <v>3</v>
      </c>
      <c r="H96" s="75" t="s">
        <v>100</v>
      </c>
      <c r="I96" s="58" cm="1">
        <f t="array" ref="I96:J96">IF(ISBLANK(INDEX(_xlfn._xlws.FILTER([1]加工記録２!$O$3:$P$500, [1]加工記録２!$T$3:$T$500=B62), 1)), "", INDEX(_xlfn._xlws.FILTER([1]加工記録２!$O$3:$P$500, [1]加工記録２!$T$3:$T$500=B62), 1))</f>
        <v>45818</v>
      </c>
      <c r="J96" s="73" t="str">
        <v/>
      </c>
    </row>
    <row r="97" spans="1:14" s="5" customFormat="1" ht="18" customHeight="1">
      <c r="A97" s="131"/>
      <c r="B97" s="132"/>
      <c r="C97" s="132"/>
      <c r="D97" s="133"/>
      <c r="E97" s="86"/>
      <c r="F97" s="95"/>
      <c r="G97" s="97"/>
      <c r="H97" s="75" t="s">
        <v>101</v>
      </c>
      <c r="I97" s="55" cm="1">
        <f t="array" ref="I97:J97">IF(ISBLANK(INDEX(_xlfn._xlws.FILTER([1]加工記録２!$O$3:$P$500, [1]加工記録２!$T$3:$T$500=B62), 2)), "", INDEX(_xlfn._xlws.FILTER([1]加工記録２!$O$3:$P$500, [1]加工記録２!$T$3:$T$500=B62), 2))</f>
        <v>300</v>
      </c>
      <c r="J97" s="59" t="str">
        <v/>
      </c>
      <c r="K97" s="29"/>
    </row>
    <row r="98" spans="1:14" s="7" customFormat="1" ht="18" customHeight="1">
      <c r="A98" s="113" t="s">
        <v>83</v>
      </c>
      <c r="B98" s="135" t="str">
        <f>_xlfn.XLOOKUP(B60,[1]!テーブル5[品目コード],[1]!テーブル5[温度換算],,)</f>
        <v>〇</v>
      </c>
      <c r="C98" s="137" t="s">
        <v>84</v>
      </c>
      <c r="D98" s="139">
        <f>_xlfn.XLOOKUP(B60,[1]!テーブル5[品目コード],[1]!テーブル5[取数],,)</f>
        <v>6</v>
      </c>
      <c r="E98" s="83" t="str">
        <f>_xlfn.XLOOKUP(B60,[1]!テーブル5[品目コード],[1]!テーブル5[備考１],,)</f>
        <v>1箱目の梱包数 目視確認　以降、重量測定</v>
      </c>
      <c r="F98" s="84"/>
      <c r="G98" s="85"/>
      <c r="H98" s="76" t="s">
        <v>102</v>
      </c>
      <c r="I98" s="55" cm="1">
        <f t="array" ref="I98:J98">IF(ISBLANK(INDEX(_xlfn._xlws.FILTER([1]加工記録２!$O$3:$P$500, [1]加工記録２!$T$3:$T$500=B62), 3)), "", INDEX(_xlfn._xlws.FILTER([1]加工記録２!$O$3:$P$500, [1]加工記録２!$T$3:$T$500=B62), 3))</f>
        <v>48</v>
      </c>
      <c r="J98" s="60" t="str">
        <v/>
      </c>
      <c r="K98" s="30"/>
    </row>
    <row r="99" spans="1:14" s="5" customFormat="1" ht="18" customHeight="1">
      <c r="A99" s="134"/>
      <c r="B99" s="136"/>
      <c r="C99" s="138"/>
      <c r="D99" s="140"/>
      <c r="E99" s="86"/>
      <c r="F99" s="87"/>
      <c r="G99" s="88"/>
      <c r="H99" s="76" t="s">
        <v>103</v>
      </c>
      <c r="I99" s="55" cm="1">
        <f t="array" ref="I99:J99">IF(ISBLANK(INDEX(_xlfn._xlws.FILTER([1]加工記録２!$O$3:$P$500, [1]加工記録２!$T$3:$T$500=B62), 4)), "", INDEX(_xlfn._xlws.FILTER([1]加工記録２!$O$3:$P$500, [1]加工記録２!$T$3:$T$500=B62), 4))</f>
        <v>0</v>
      </c>
      <c r="J99" s="61" t="str">
        <v/>
      </c>
      <c r="K99" s="29"/>
    </row>
    <row r="100" spans="1:14" s="7" customFormat="1" ht="18" customHeight="1">
      <c r="A100" s="141" t="s">
        <v>85</v>
      </c>
      <c r="B100" s="143">
        <f>D60</f>
        <v>297</v>
      </c>
      <c r="C100" s="145" t="s">
        <v>86</v>
      </c>
      <c r="D100" s="119" t="str">
        <f>_xlfn.XLOOKUP(B60,[1]!テーブル5[品目コード],[1]!テーブル5[上限公差],,)</f>
        <v>+0.5</v>
      </c>
      <c r="E100" s="83" t="str">
        <f>_xlfn.XLOOKUP(B60,[1]!テーブル5[品目コード],[1]!テーブル5[備考２],,)</f>
        <v>クラフト紙：592型　1/2</v>
      </c>
      <c r="F100" s="84"/>
      <c r="G100" s="85"/>
      <c r="H100" s="76" t="s">
        <v>104</v>
      </c>
      <c r="I100" s="55" cm="1">
        <f t="array" ref="I100:J100">IF(ISBLANK(INDEX(_xlfn._xlws.FILTER([1]加工記録２!$O$3:$P$500, [1]加工記録２!$T$3:$T$500=B62), 5)), "", INDEX(_xlfn._xlws.FILTER([1]加工記録２!$O$3:$P$500, [1]加工記録２!$T$3:$T$500=B62), 5))</f>
        <v>0</v>
      </c>
      <c r="J100" s="62" t="str">
        <v/>
      </c>
      <c r="K100" s="30"/>
    </row>
    <row r="101" spans="1:14" s="5" customFormat="1" ht="18" customHeight="1">
      <c r="A101" s="142"/>
      <c r="B101" s="144"/>
      <c r="C101" s="146"/>
      <c r="D101" s="147"/>
      <c r="E101" s="86"/>
      <c r="F101" s="87"/>
      <c r="G101" s="88"/>
      <c r="H101" s="76" t="s">
        <v>105</v>
      </c>
      <c r="I101" s="55" cm="1">
        <f t="array" ref="I101:J101">IF(ISBLANK(INDEX(_xlfn._xlws.FILTER([1]加工記録２!$O$3:$P$500, [1]加工記録２!$T$3:$T$500=B62), 6)), "", INDEX(_xlfn._xlws.FILTER([1]加工記録２!$O$3:$P$500, [1]加工記録２!$T$3:$T$500=B62), 6))</f>
        <v>12</v>
      </c>
      <c r="J101" s="63" t="str">
        <v/>
      </c>
      <c r="K101" s="29"/>
    </row>
    <row r="102" spans="1:14" s="7" customFormat="1" ht="18" customHeight="1">
      <c r="A102" s="113" t="s">
        <v>87</v>
      </c>
      <c r="B102" s="115" t="str">
        <f>_xlfn.XLOOKUP(B60,[1]!テーブル5[品目コード],[1]!テーブル5[切断寸法],,)</f>
        <v>換算表確認</v>
      </c>
      <c r="C102" s="117" t="s">
        <v>88</v>
      </c>
      <c r="D102" s="119" t="str">
        <f>_xlfn.XLOOKUP(B60,[1]!テーブル5[品目コード],[1]!テーブル5[下限公差],,)</f>
        <v>－0.5</v>
      </c>
      <c r="E102" s="83" t="str">
        <f>_xlfn.XLOOKUP(B60,[1]!テーブル5[品目コード],[1]!テーブル5[梱包方法],,)</f>
        <v>ラベル１枚　長手無　鉢巻１回</v>
      </c>
      <c r="F102" s="84"/>
      <c r="G102" s="85"/>
      <c r="H102" s="76" t="s">
        <v>106</v>
      </c>
      <c r="I102" s="55" t="str" cm="1">
        <f t="array" ref="I102:J102">IF(ISBLANK(INDEX(_xlfn._xlws.FILTER([1]加工記録２!$O$3:$P$500, [1]加工記録２!$T$3:$T$500=B62), 7)), "", INDEX(_xlfn._xlws.FILTER([1]加工記録２!$O$3:$P$500, [1]加工記録２!$T$3:$T$500=B62), 7))</f>
        <v>水野</v>
      </c>
      <c r="J102" s="64" t="str">
        <v/>
      </c>
      <c r="K102" s="30"/>
    </row>
    <row r="103" spans="1:14" s="5" customFormat="1" ht="18" customHeight="1" thickBot="1">
      <c r="A103" s="114"/>
      <c r="B103" s="116"/>
      <c r="C103" s="118"/>
      <c r="D103" s="120"/>
      <c r="E103" s="89"/>
      <c r="F103" s="90"/>
      <c r="G103" s="91"/>
      <c r="H103" s="77" t="s">
        <v>107</v>
      </c>
      <c r="I103" s="28" t="str" cm="1">
        <f t="array" ref="I103:J103">IF(ISBLANK(INDEX(_xlfn._xlws.FILTER([1]加工記録２!$O$3:$P$500, [1]加工記録２!$T$3:$T$500=B62), 8)), "", INDEX(_xlfn._xlws.FILTER([1]加工記録２!$O$3:$P$500, [1]加工記録２!$T$3:$T$500=B62), 8))</f>
        <v>高森</v>
      </c>
      <c r="J103" s="72">
        <v>0</v>
      </c>
    </row>
    <row r="104" spans="1:14" s="36" customFormat="1" ht="18.95" customHeight="1">
      <c r="A104" s="31" t="s">
        <v>89</v>
      </c>
      <c r="B104" s="32" t="s">
        <v>90</v>
      </c>
      <c r="C104" s="33" t="s">
        <v>91</v>
      </c>
      <c r="D104" s="33" t="s">
        <v>92</v>
      </c>
      <c r="E104" s="34" t="s">
        <v>93</v>
      </c>
      <c r="F104" s="65" t="s">
        <v>94</v>
      </c>
      <c r="G104" s="56" t="s">
        <v>95</v>
      </c>
      <c r="H104" s="57" t="s">
        <v>96</v>
      </c>
      <c r="I104" s="66" t="s">
        <v>97</v>
      </c>
      <c r="J104" s="67" t="s">
        <v>98</v>
      </c>
      <c r="K104" s="35"/>
      <c r="L104" s="35"/>
      <c r="M104" s="35"/>
      <c r="N104" s="35"/>
    </row>
    <row r="105" spans="1:14" s="54" customFormat="1" ht="18.95" customHeight="1">
      <c r="A105" s="42" cm="1">
        <f t="array" ref="A105:J105">IF(ISBLANK(INDEX(_xlfn._xlws.FILTER([1]加工記録２!$D$3:$M$500, [1]加工記録２!$T$3:$T$500=B62), 1)), "", INDEX(_xlfn._xlws.FILTER([1]加工記録２!$D$3:$M$500, [1]加工記録２!$T$3:$T$500=B62), 1))</f>
        <v>45814</v>
      </c>
      <c r="B105" s="37" t="str">
        <v>25E27-09</v>
      </c>
      <c r="C105" s="38" t="str">
        <v/>
      </c>
      <c r="D105" s="38" t="str">
        <v/>
      </c>
      <c r="E105" s="39" t="str">
        <v/>
      </c>
      <c r="F105" s="45" t="str">
        <v>25E27-09</v>
      </c>
      <c r="G105" s="43">
        <v>288</v>
      </c>
      <c r="H105" s="46">
        <v>48</v>
      </c>
      <c r="I105" s="40">
        <v>45818</v>
      </c>
      <c r="J105" s="41">
        <v>3</v>
      </c>
      <c r="K105" s="53"/>
      <c r="L105" s="53"/>
      <c r="M105" s="53"/>
      <c r="N105" s="53"/>
    </row>
    <row r="106" spans="1:14" s="54" customFormat="1" ht="18.95" customHeight="1">
      <c r="A106" s="42" cm="1">
        <f t="array" ref="A106:J106">IF(ISBLANK(INDEX(_xlfn._xlws.FILTER([1]加工記録２!$D$3:$M$500, [1]加工記録２!$T$3:$T$500=B62), 2)), "", INDEX(_xlfn._xlws.FILTER([1]加工記録２!$D$3:$M$500, [1]加工記録２!$T$3:$T$500=B62), 2))</f>
        <v>45817</v>
      </c>
      <c r="B106" s="43" t="str">
        <v>25E27-09</v>
      </c>
      <c r="C106" s="43">
        <v>26</v>
      </c>
      <c r="D106" s="43">
        <v>297.12</v>
      </c>
      <c r="E106" s="44">
        <v>297.18</v>
      </c>
      <c r="F106" s="45" t="str">
        <v/>
      </c>
      <c r="G106" s="43" t="str">
        <v/>
      </c>
      <c r="H106" s="46" t="str">
        <v/>
      </c>
      <c r="I106" s="40" t="str">
        <v/>
      </c>
      <c r="J106" s="41" t="str">
        <v/>
      </c>
      <c r="K106" s="53"/>
      <c r="L106" s="53"/>
      <c r="M106" s="53"/>
      <c r="N106" s="53"/>
    </row>
    <row r="107" spans="1:14" s="54" customFormat="1" ht="18.95" customHeight="1">
      <c r="A107" s="42" cm="1">
        <f t="array" ref="A107:J107">IF(ISBLANK(INDEX(_xlfn._xlws.FILTER([1]加工記録２!$D$3:$M$500, [1]加工記録２!$T$3:$T$500=B62), 3)), "", INDEX(_xlfn._xlws.FILTER([1]加工記録２!$D$3:$M$500, [1]加工記録２!$T$3:$T$500=B62), 3))</f>
        <v>45817</v>
      </c>
      <c r="B107" s="43" t="str">
        <v>25E27-09</v>
      </c>
      <c r="C107" s="43">
        <v>26</v>
      </c>
      <c r="D107" s="43">
        <v>297.12</v>
      </c>
      <c r="E107" s="44">
        <v>297.39</v>
      </c>
      <c r="F107" s="45" t="str">
        <v/>
      </c>
      <c r="G107" s="43" t="str">
        <v/>
      </c>
      <c r="H107" s="46" t="str">
        <v/>
      </c>
      <c r="I107" s="40" t="str">
        <v/>
      </c>
      <c r="J107" s="41" t="str">
        <v/>
      </c>
      <c r="K107" s="53"/>
      <c r="L107" s="53"/>
      <c r="M107" s="53"/>
      <c r="N107" s="53"/>
    </row>
    <row r="108" spans="1:14" s="54" customFormat="1" ht="18.95" customHeight="1">
      <c r="A108" s="42" t="str" cm="1">
        <f t="array" ref="A108:J108">IF(ISBLANK(INDEX(_xlfn._xlws.FILTER([1]加工記録２!$D$3:$M$500, [1]加工記録２!$T$3:$T$500=B62), 4)), "", INDEX(_xlfn._xlws.FILTER([1]加工記録２!$D$3:$M$500, [1]加工記録２!$T$3:$T$500=B62), 4))</f>
        <v/>
      </c>
      <c r="B108" s="43" t="str">
        <v/>
      </c>
      <c r="C108" s="43" t="str">
        <v/>
      </c>
      <c r="D108" s="43" t="str">
        <v/>
      </c>
      <c r="E108" s="44" t="str">
        <v/>
      </c>
      <c r="F108" s="45" t="str">
        <v/>
      </c>
      <c r="G108" s="43" t="str">
        <v/>
      </c>
      <c r="H108" s="46" t="str">
        <v/>
      </c>
      <c r="I108" s="40" t="str">
        <v/>
      </c>
      <c r="J108" s="41" t="str">
        <v/>
      </c>
      <c r="K108" s="53"/>
      <c r="L108" s="53"/>
      <c r="M108" s="53"/>
      <c r="N108" s="53"/>
    </row>
    <row r="109" spans="1:14" s="54" customFormat="1" ht="18.95" customHeight="1">
      <c r="A109" s="42" t="str" cm="1">
        <f t="array" ref="A109:J109">IF(ISBLANK(INDEX(_xlfn._xlws.FILTER([1]加工記録２!$D$3:$M$500, [1]加工記録２!$T$3:$T$500=B62), 5)), "", INDEX(_xlfn._xlws.FILTER([1]加工記録２!$D$3:$M$500, [1]加工記録２!$T$3:$T$500=B62), 5))</f>
        <v/>
      </c>
      <c r="B109" s="43" t="str">
        <v/>
      </c>
      <c r="C109" s="43" t="str">
        <v/>
      </c>
      <c r="D109" s="43" t="str">
        <v/>
      </c>
      <c r="E109" s="44" t="str">
        <v/>
      </c>
      <c r="F109" s="45" t="str">
        <v/>
      </c>
      <c r="G109" s="43" t="str">
        <v/>
      </c>
      <c r="H109" s="46" t="str">
        <v/>
      </c>
      <c r="I109" s="68" t="str">
        <v/>
      </c>
      <c r="J109" s="69" t="str">
        <v/>
      </c>
      <c r="K109" s="53"/>
      <c r="L109" s="53"/>
      <c r="M109" s="53"/>
      <c r="N109" s="53"/>
    </row>
    <row r="110" spans="1:14" s="54" customFormat="1" ht="18.95" customHeight="1">
      <c r="A110" s="42" t="str" cm="1">
        <f t="array" ref="A110:J110">IF(ISBLANK(INDEX(_xlfn._xlws.FILTER([1]加工記録２!$D$3:$M$500, [1]加工記録２!$T$3:$T$500=B62), 6)), "", INDEX(_xlfn._xlws.FILTER([1]加工記録２!$D$3:$M$500, [1]加工記録２!$T$3:$T$500=B62), 6))</f>
        <v/>
      </c>
      <c r="B110" s="43" t="str">
        <v/>
      </c>
      <c r="C110" s="43" t="str">
        <v/>
      </c>
      <c r="D110" s="43" t="str">
        <v/>
      </c>
      <c r="E110" s="44" t="str">
        <v/>
      </c>
      <c r="F110" s="45" t="str">
        <v/>
      </c>
      <c r="G110" s="43" t="str">
        <v/>
      </c>
      <c r="H110" s="70" t="str">
        <v/>
      </c>
      <c r="I110" s="68" t="str">
        <v/>
      </c>
      <c r="J110" s="69" t="str">
        <v/>
      </c>
      <c r="K110" s="53"/>
      <c r="L110" s="53"/>
      <c r="M110" s="53"/>
      <c r="N110" s="53"/>
    </row>
    <row r="111" spans="1:14" s="54" customFormat="1" ht="18.95" customHeight="1">
      <c r="A111" s="42" t="str" cm="1">
        <f t="array" ref="A111:J111">IF(ISBLANK(INDEX(_xlfn._xlws.FILTER([1]加工記録２!$D$3:$M$500, [1]加工記録２!$T$3:$T$500=B62), 7)), "", INDEX(_xlfn._xlws.FILTER([1]加工記録２!$D$3:$M$500, [1]加工記録２!$T$3:$T$500=B62), 7))</f>
        <v/>
      </c>
      <c r="B111" s="43" t="str">
        <v/>
      </c>
      <c r="C111" s="43" t="str">
        <v/>
      </c>
      <c r="D111" s="43" t="str">
        <v/>
      </c>
      <c r="E111" s="44" t="str">
        <v/>
      </c>
      <c r="F111" s="45" t="str">
        <v/>
      </c>
      <c r="G111" s="43" t="str">
        <v/>
      </c>
      <c r="H111" s="70" t="str">
        <v/>
      </c>
      <c r="I111" s="68" t="str">
        <v/>
      </c>
      <c r="J111" s="69" t="str">
        <v/>
      </c>
      <c r="K111" s="53"/>
      <c r="L111" s="53"/>
      <c r="M111" s="53"/>
      <c r="N111" s="53"/>
    </row>
    <row r="112" spans="1:14" s="54" customFormat="1" ht="18.95" customHeight="1" thickBot="1">
      <c r="A112" s="47" t="str" cm="1">
        <f t="array" ref="A112:J112">IF(ISBLANK(INDEX(_xlfn._xlws.FILTER([1]加工記録２!$D$3:$M$500, [1]加工記録２!$T$3:$T$500=B62), 8)), "", INDEX(_xlfn._xlws.FILTER([1]加工記録２!$D$3:$M$500, [1]加工記録２!$T$3:$T$500=B62), 8))</f>
        <v/>
      </c>
      <c r="B112" s="48" t="str">
        <v/>
      </c>
      <c r="C112" s="48" t="str">
        <v/>
      </c>
      <c r="D112" s="48" t="str">
        <v/>
      </c>
      <c r="E112" s="49" t="str">
        <v/>
      </c>
      <c r="F112" s="50" t="str">
        <v/>
      </c>
      <c r="G112" s="48" t="str">
        <v/>
      </c>
      <c r="H112" s="71" t="str">
        <v/>
      </c>
      <c r="I112" s="51" t="str">
        <v/>
      </c>
      <c r="J112" s="52" t="str">
        <v/>
      </c>
      <c r="K112" s="53"/>
      <c r="L112" s="53"/>
      <c r="M112" s="53"/>
      <c r="N112" s="53"/>
    </row>
    <row r="113" spans="1:10" ht="13.5" customHeight="1" thickBo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 spans="1:10" ht="6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2"/>
      <c r="B115" s="169" t="s">
        <v>0</v>
      </c>
      <c r="C115" s="102"/>
      <c r="D115" s="102"/>
      <c r="E115" s="12"/>
      <c r="F115" s="12"/>
      <c r="G115" s="12"/>
      <c r="H115" s="12"/>
      <c r="I115" s="12"/>
      <c r="J115" s="12"/>
    </row>
    <row r="116" spans="1:10" ht="14.25" customHeight="1">
      <c r="A116" s="13"/>
      <c r="B116" s="102"/>
      <c r="C116" s="102"/>
      <c r="D116" s="102"/>
      <c r="E116" s="13"/>
      <c r="F116" s="13"/>
      <c r="G116" s="13"/>
      <c r="H116" s="13"/>
      <c r="I116" s="13"/>
      <c r="J116" s="13"/>
    </row>
    <row r="117" spans="1:10" ht="14.25" customHeight="1">
      <c r="A117" s="122" t="s">
        <v>1</v>
      </c>
      <c r="B117" s="122" t="s">
        <v>66</v>
      </c>
      <c r="C117" s="122" t="s">
        <v>3</v>
      </c>
      <c r="D117" s="170">
        <v>888</v>
      </c>
      <c r="E117" s="122" t="s">
        <v>4</v>
      </c>
      <c r="F117" s="168" t="s">
        <v>67</v>
      </c>
      <c r="G117" s="102"/>
      <c r="H117" s="159"/>
      <c r="I117" s="14" t="s">
        <v>6</v>
      </c>
      <c r="J117" s="14" t="s">
        <v>7</v>
      </c>
    </row>
    <row r="118" spans="1:10" ht="14.25" customHeight="1">
      <c r="A118" s="102"/>
      <c r="B118" s="102"/>
      <c r="C118" s="102"/>
      <c r="D118" s="102"/>
      <c r="E118" s="102"/>
      <c r="F118" s="102"/>
      <c r="G118" s="102"/>
      <c r="H118" s="159"/>
      <c r="I118" s="156"/>
      <c r="J118" s="156"/>
    </row>
    <row r="119" spans="1:10" ht="17.45" customHeight="1">
      <c r="A119" s="121" t="s">
        <v>8</v>
      </c>
      <c r="B119" s="121" t="s">
        <v>68</v>
      </c>
      <c r="E119" s="121" t="s">
        <v>10</v>
      </c>
      <c r="F119" s="164" t="s">
        <v>69</v>
      </c>
      <c r="G119" s="102"/>
      <c r="H119" s="159"/>
      <c r="I119" s="157"/>
      <c r="J119" s="157"/>
    </row>
    <row r="120" spans="1:10" ht="17.45" customHeight="1">
      <c r="A120" s="102"/>
      <c r="B120" s="102"/>
      <c r="E120" s="102"/>
      <c r="F120" s="102"/>
      <c r="G120" s="102"/>
      <c r="H120" s="159"/>
      <c r="I120" s="15"/>
      <c r="J120" s="15"/>
    </row>
    <row r="121" spans="1:10" ht="17.45" customHeight="1">
      <c r="A121" s="121" t="s">
        <v>12</v>
      </c>
      <c r="B121" s="121" t="s">
        <v>70</v>
      </c>
      <c r="E121" s="2" t="s">
        <v>14</v>
      </c>
      <c r="F121" s="166" t="s">
        <v>15</v>
      </c>
      <c r="G121" s="102"/>
      <c r="H121" s="22"/>
    </row>
    <row r="122" spans="1:10" ht="17.45" customHeight="1">
      <c r="A122" s="102"/>
      <c r="B122" s="102"/>
      <c r="E122" s="2" t="s">
        <v>16</v>
      </c>
      <c r="F122" s="22" t="s">
        <v>17</v>
      </c>
      <c r="G122" s="22"/>
      <c r="H122" s="22"/>
    </row>
    <row r="123" spans="1:10" ht="17.45" customHeight="1">
      <c r="A123" s="2" t="s">
        <v>18</v>
      </c>
      <c r="B123" s="4">
        <v>45834</v>
      </c>
      <c r="E123" s="2" t="s">
        <v>19</v>
      </c>
      <c r="F123" s="153">
        <v>100</v>
      </c>
      <c r="G123" s="102"/>
      <c r="H123" s="22"/>
    </row>
    <row r="124" spans="1:10" ht="17.45" customHeight="1">
      <c r="A124" s="2" t="s">
        <v>20</v>
      </c>
      <c r="B124" s="4">
        <v>45834</v>
      </c>
      <c r="E124" s="2" t="s">
        <v>21</v>
      </c>
      <c r="F124" s="22">
        <v>20</v>
      </c>
      <c r="G124" s="160" t="s">
        <v>22</v>
      </c>
      <c r="H124" s="123">
        <v>2000</v>
      </c>
      <c r="I124" s="124"/>
      <c r="J124" s="125"/>
    </row>
    <row r="125" spans="1:10" ht="17.45" customHeight="1">
      <c r="A125" s="20"/>
      <c r="B125" s="21"/>
      <c r="C125" s="21"/>
      <c r="D125" s="21"/>
      <c r="E125" s="2" t="s">
        <v>23</v>
      </c>
      <c r="F125" s="22" t="s">
        <v>24</v>
      </c>
      <c r="G125" s="126"/>
      <c r="H125" s="126"/>
      <c r="I125" s="105"/>
      <c r="J125" s="127"/>
    </row>
    <row r="126" spans="1:10" ht="13.5" customHeight="1">
      <c r="A126" s="165" t="s">
        <v>71</v>
      </c>
      <c r="B126" s="102"/>
      <c r="C126" s="102"/>
      <c r="D126" s="21"/>
      <c r="F126" s="3"/>
      <c r="G126" s="154" t="s">
        <v>26</v>
      </c>
      <c r="H126" s="167" t="s">
        <v>27</v>
      </c>
      <c r="I126" s="158" t="s">
        <v>28</v>
      </c>
      <c r="J126" s="159"/>
    </row>
    <row r="127" spans="1:10" ht="13.5" customHeight="1">
      <c r="A127" s="102"/>
      <c r="B127" s="102"/>
      <c r="C127" s="102"/>
      <c r="D127" s="21"/>
      <c r="F127" s="3"/>
      <c r="G127" s="155"/>
      <c r="H127" s="155"/>
      <c r="I127" s="105"/>
      <c r="J127" s="127"/>
    </row>
    <row r="128" spans="1:10" ht="13.5" customHeight="1">
      <c r="A128" s="1" t="s">
        <v>29</v>
      </c>
    </row>
    <row r="129" spans="1:10" ht="63" customHeight="1">
      <c r="A129" s="149"/>
      <c r="B129" s="150"/>
      <c r="C129" s="150"/>
      <c r="D129" s="150"/>
      <c r="E129" s="150"/>
      <c r="F129" s="150"/>
      <c r="G129" s="150"/>
      <c r="H129" s="150"/>
      <c r="I129" s="150"/>
      <c r="J129" s="150"/>
    </row>
    <row r="130" spans="1:10" ht="18.75">
      <c r="A130" s="24" t="s">
        <v>30</v>
      </c>
      <c r="B130" s="17" t="s">
        <v>31</v>
      </c>
      <c r="C130" s="161" t="s">
        <v>32</v>
      </c>
      <c r="D130" s="162"/>
      <c r="E130" s="17" t="s">
        <v>33</v>
      </c>
      <c r="F130" s="161" t="s">
        <v>34</v>
      </c>
      <c r="G130" s="162"/>
      <c r="H130" s="162"/>
      <c r="I130" s="163" t="s">
        <v>35</v>
      </c>
      <c r="J130" s="162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3">
        <v>1</v>
      </c>
      <c r="B132" s="25" t="s">
        <v>36</v>
      </c>
      <c r="C132" s="103" t="s">
        <v>37</v>
      </c>
      <c r="D132" s="102"/>
      <c r="E132" s="25" t="s">
        <v>38</v>
      </c>
      <c r="F132" s="103" t="s">
        <v>39</v>
      </c>
      <c r="G132" s="102"/>
      <c r="H132" s="102"/>
      <c r="I132" s="101"/>
      <c r="J132" s="102"/>
    </row>
    <row r="133" spans="1:10" ht="16.5" customHeight="1">
      <c r="A133" s="23">
        <v>1</v>
      </c>
      <c r="B133" s="26" t="s">
        <v>36</v>
      </c>
      <c r="C133" s="103" t="s">
        <v>37</v>
      </c>
      <c r="D133" s="102"/>
      <c r="E133" s="25" t="s">
        <v>40</v>
      </c>
      <c r="F133" s="103" t="s">
        <v>41</v>
      </c>
      <c r="G133" s="102"/>
      <c r="H133" s="102"/>
      <c r="I133" s="101"/>
      <c r="J133" s="102"/>
    </row>
    <row r="134" spans="1:10" ht="16.5" customHeight="1">
      <c r="A134" s="23"/>
      <c r="B134" s="26"/>
      <c r="C134" s="103"/>
      <c r="D134" s="102"/>
      <c r="E134" s="25"/>
      <c r="F134" s="103"/>
      <c r="G134" s="102"/>
      <c r="H134" s="102"/>
      <c r="I134" s="101"/>
      <c r="J134" s="102"/>
    </row>
    <row r="135" spans="1:10" ht="16.5" customHeight="1">
      <c r="A135" s="23"/>
      <c r="B135" s="26"/>
      <c r="C135" s="103"/>
      <c r="D135" s="102"/>
      <c r="E135" s="25"/>
      <c r="F135" s="103"/>
      <c r="G135" s="102"/>
      <c r="H135" s="102"/>
      <c r="I135" s="101"/>
      <c r="J135" s="102"/>
    </row>
    <row r="136" spans="1:10" ht="16.5" customHeight="1">
      <c r="A136" s="23"/>
      <c r="B136" s="26"/>
      <c r="C136" s="103"/>
      <c r="D136" s="102"/>
      <c r="E136" s="25"/>
      <c r="F136" s="103"/>
      <c r="G136" s="102"/>
      <c r="H136" s="102"/>
      <c r="I136" s="101"/>
      <c r="J136" s="102"/>
    </row>
    <row r="137" spans="1:10" ht="16.5" customHeight="1">
      <c r="A137" s="23"/>
      <c r="B137" s="26"/>
      <c r="C137" s="103"/>
      <c r="D137" s="102"/>
      <c r="E137" s="25"/>
      <c r="F137" s="103"/>
      <c r="G137" s="102"/>
      <c r="H137" s="102"/>
      <c r="I137" s="101"/>
      <c r="J137" s="102"/>
    </row>
    <row r="138" spans="1:10" ht="16.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</row>
    <row r="139" spans="1:10" ht="18.75">
      <c r="A139" s="108" t="s">
        <v>42</v>
      </c>
      <c r="B139" s="109"/>
      <c r="C139" s="108" t="s">
        <v>43</v>
      </c>
      <c r="D139" s="109"/>
      <c r="E139" s="109"/>
      <c r="F139" s="18" t="s">
        <v>44</v>
      </c>
      <c r="G139" s="108" t="s">
        <v>45</v>
      </c>
      <c r="H139" s="109"/>
      <c r="I139" s="108" t="s">
        <v>46</v>
      </c>
      <c r="J139" s="109"/>
    </row>
    <row r="140" spans="1:10" ht="14.25" customHeight="1">
      <c r="A140" s="8"/>
      <c r="B140" s="19"/>
      <c r="C140" s="104" t="s">
        <v>47</v>
      </c>
      <c r="D140" s="105"/>
      <c r="E140" s="19"/>
      <c r="F140" s="104" t="s">
        <v>29</v>
      </c>
      <c r="G140" s="105"/>
      <c r="H140" s="105"/>
      <c r="I140" s="105"/>
      <c r="J140" s="105"/>
    </row>
    <row r="141" spans="1:10">
      <c r="A141" s="9"/>
      <c r="C141" s="7"/>
      <c r="D141" s="7"/>
      <c r="E141" s="7"/>
    </row>
    <row r="142" spans="1:10" ht="14.25" customHeight="1">
      <c r="A142" s="103" t="s">
        <v>48</v>
      </c>
      <c r="B142" s="102"/>
      <c r="C142" s="103" t="s">
        <v>49</v>
      </c>
      <c r="D142" s="102"/>
      <c r="E142" s="102"/>
      <c r="F142" s="27" t="s">
        <v>27</v>
      </c>
      <c r="G142" s="106">
        <v>1000</v>
      </c>
      <c r="H142" s="102"/>
      <c r="I142" s="106">
        <v>10</v>
      </c>
      <c r="J142" s="102"/>
    </row>
    <row r="143" spans="1:10" ht="24.95" customHeight="1">
      <c r="A143" s="107" t="s">
        <v>50</v>
      </c>
      <c r="B143" s="102"/>
      <c r="C143" s="103"/>
      <c r="D143" s="102"/>
      <c r="E143" s="102"/>
      <c r="F143" s="103"/>
      <c r="G143" s="102"/>
      <c r="H143" s="102"/>
      <c r="I143" s="102"/>
      <c r="J143" s="102"/>
    </row>
    <row r="144" spans="1:10" ht="14.25" customHeight="1">
      <c r="A144" s="103" t="s">
        <v>72</v>
      </c>
      <c r="B144" s="102"/>
      <c r="C144" s="103" t="s">
        <v>73</v>
      </c>
      <c r="D144" s="102"/>
      <c r="E144" s="102"/>
      <c r="F144" s="27" t="s">
        <v>36</v>
      </c>
      <c r="G144" s="106">
        <v>20</v>
      </c>
      <c r="H144" s="102"/>
      <c r="I144" s="106">
        <v>0.2</v>
      </c>
      <c r="J144" s="102"/>
    </row>
    <row r="145" spans="1:11" ht="24.95" customHeight="1">
      <c r="A145" s="107" t="s">
        <v>74</v>
      </c>
      <c r="B145" s="102"/>
      <c r="C145" s="103" t="s">
        <v>75</v>
      </c>
      <c r="D145" s="102"/>
      <c r="E145" s="102"/>
      <c r="F145" s="103"/>
      <c r="G145" s="102"/>
      <c r="H145" s="102"/>
      <c r="I145" s="102"/>
      <c r="J145" s="102"/>
    </row>
    <row r="146" spans="1:11" ht="14.25" customHeight="1">
      <c r="A146" s="103" t="s">
        <v>76</v>
      </c>
      <c r="B146" s="102"/>
      <c r="C146" s="103" t="s">
        <v>57</v>
      </c>
      <c r="D146" s="102"/>
      <c r="E146" s="102"/>
      <c r="F146" s="27"/>
      <c r="G146" s="106">
        <v>220</v>
      </c>
      <c r="H146" s="102"/>
      <c r="I146" s="106">
        <v>2.2000000000000002</v>
      </c>
      <c r="J146" s="102"/>
    </row>
    <row r="147" spans="1:11" ht="24.95" customHeight="1">
      <c r="A147" s="107" t="s">
        <v>77</v>
      </c>
      <c r="B147" s="102"/>
      <c r="C147" s="103" t="s">
        <v>78</v>
      </c>
      <c r="D147" s="102"/>
      <c r="E147" s="102"/>
      <c r="F147" s="103"/>
      <c r="G147" s="102"/>
      <c r="H147" s="102"/>
      <c r="I147" s="102"/>
      <c r="J147" s="102"/>
    </row>
    <row r="148" spans="1:11" ht="14.25" customHeight="1">
      <c r="A148" s="103" t="s">
        <v>60</v>
      </c>
      <c r="B148" s="102"/>
      <c r="C148" s="103" t="s">
        <v>61</v>
      </c>
      <c r="D148" s="102"/>
      <c r="E148" s="102"/>
      <c r="F148" s="27"/>
      <c r="G148" s="106">
        <v>2</v>
      </c>
      <c r="H148" s="102"/>
      <c r="I148" s="106">
        <v>0.02</v>
      </c>
      <c r="J148" s="102"/>
    </row>
    <row r="149" spans="1:11" ht="24.95" customHeight="1">
      <c r="A149" s="107" t="s">
        <v>62</v>
      </c>
      <c r="B149" s="102"/>
      <c r="C149" s="103" t="s">
        <v>63</v>
      </c>
      <c r="D149" s="102"/>
      <c r="E149" s="102"/>
      <c r="F149" s="103"/>
      <c r="G149" s="102"/>
      <c r="H149" s="102"/>
      <c r="I149" s="102"/>
      <c r="J149" s="102"/>
    </row>
    <row r="150" spans="1:11" ht="14.25" customHeight="1">
      <c r="A150" s="103"/>
      <c r="B150" s="102"/>
      <c r="C150" s="103"/>
      <c r="D150" s="102"/>
      <c r="E150" s="102"/>
      <c r="F150" s="27"/>
      <c r="G150" s="106"/>
      <c r="H150" s="102"/>
      <c r="I150" s="106"/>
      <c r="J150" s="102"/>
    </row>
    <row r="151" spans="1:11" ht="24.95" customHeight="1" thickBot="1">
      <c r="A151" s="107"/>
      <c r="B151" s="102"/>
      <c r="C151" s="103"/>
      <c r="D151" s="102"/>
      <c r="E151" s="102"/>
      <c r="F151" s="103"/>
      <c r="G151" s="102"/>
      <c r="H151" s="102"/>
      <c r="I151" s="102"/>
      <c r="J151" s="102"/>
    </row>
    <row r="152" spans="1:11" s="5" customFormat="1" ht="18" customHeight="1">
      <c r="A152" s="110" t="s">
        <v>82</v>
      </c>
      <c r="B152" s="111"/>
      <c r="C152" s="111"/>
      <c r="D152" s="111"/>
      <c r="E152" s="171" t="s">
        <v>108</v>
      </c>
      <c r="F152" s="172"/>
      <c r="G152" s="173" t="s">
        <v>110</v>
      </c>
      <c r="H152" s="93" t="s">
        <v>99</v>
      </c>
      <c r="I152" s="93"/>
      <c r="J152" s="74" t="s">
        <v>109</v>
      </c>
    </row>
    <row r="153" spans="1:11" s="7" customFormat="1" ht="18" customHeight="1">
      <c r="A153" s="128" t="str">
        <f>_xlfn.XLOOKUP(B117,[1]VFDB2!A:A,[1]VFDB2!B:B)</f>
        <v>8FL281304 5010　L=888</v>
      </c>
      <c r="B153" s="129"/>
      <c r="C153" s="129"/>
      <c r="D153" s="129"/>
      <c r="E153" s="174" t="str" cm="1">
        <f t="array" ref="E153">IFERROR(IF(ISBLANK(INDEX(_xlfn._xlws.FILTER([1]加工記録２!$C$3:$C$445, [1]加工記録２!$T$3:$T$445=B119), 6)), "", INDEX(_xlfn._xlws.FILTER([1]加工記録２!$C$3:$C$445, [1]加工記録２!$T$3:$T$445=B119), 6)),"")</f>
        <v>LED-A888</v>
      </c>
      <c r="F153" s="175"/>
      <c r="G153" s="176" cm="1">
        <f t="array" ref="G153">IFERROR(IF(ISBLANK(INDEX(_xlfn._xlws.FILTER([1]加工記録２!$B$3:$B$445, [1]加工記録２!$T$3:$T$445=B119), 7)), "", INDEX(_xlfn._xlws.FILTER([1]加工記録２!$B$3:$B$445, [1]加工記録２!$T$3:$T$445=B119), 7)),"")</f>
        <v>20</v>
      </c>
      <c r="H153" s="177" t="s">
        <v>100</v>
      </c>
      <c r="I153" s="178" cm="1">
        <f t="array" ref="I153:J153">IFERROR(IF(ISBLANK(INDEX(_xlfn._xlws.FILTER([1]加工記録２!$O$3:$P$445, [1]加工記録２!$T$3:$T$445=B119), 1)), "", INDEX(_xlfn._xlws.FILTER([1]加工記録２!$O$3:$P$445, [1]加工記録２!$T$3:$T$445=B119), 1)),"")</f>
        <v>45821</v>
      </c>
      <c r="J153" s="73">
        <v>21</v>
      </c>
    </row>
    <row r="154" spans="1:11" s="5" customFormat="1" ht="18" customHeight="1">
      <c r="A154" s="131"/>
      <c r="B154" s="132"/>
      <c r="C154" s="132"/>
      <c r="D154" s="132"/>
      <c r="E154" s="174"/>
      <c r="F154" s="175"/>
      <c r="G154" s="176"/>
      <c r="H154" s="177" t="s">
        <v>101</v>
      </c>
      <c r="I154" s="55" cm="1">
        <f t="array" ref="I154:J154">IFERROR(IF(ISBLANK(INDEX(_xlfn._xlws.FILTER([1]加工記録２!$O$3:$P$445, [1]加工記録２!$T$3:$T$445=B119), 2)), "", INDEX(_xlfn._xlws.FILTER([1]加工記録２!$O$3:$P$445, [1]加工記録２!$T$3:$T$445=B119), 2)),"")</f>
        <v>2000</v>
      </c>
      <c r="J154" s="59">
        <v>1</v>
      </c>
      <c r="K154" s="29"/>
    </row>
    <row r="155" spans="1:11" s="7" customFormat="1" ht="18" customHeight="1">
      <c r="A155" s="113" t="s">
        <v>83</v>
      </c>
      <c r="B155" s="135" t="str">
        <f>_xlfn.XLOOKUP(B117,[1]!テーブル5[品目コード],[1]!テーブル5[温度換算],,)</f>
        <v>〇</v>
      </c>
      <c r="C155" s="137" t="s">
        <v>84</v>
      </c>
      <c r="D155" s="179">
        <f>_xlfn.XLOOKUP(B117,[1]!テーブル5[品目コード],[1]!テーブル5[取数],,)</f>
        <v>2</v>
      </c>
      <c r="E155" s="174" t="str">
        <f>_xlfn.XLOOKUP(B117,[1]!テーブル5[品目コード],[1]!テーブル5[備考１],,)</f>
        <v>1箱目の梱包数 目視確認　以降、重量測定</v>
      </c>
      <c r="F155" s="175"/>
      <c r="G155" s="180"/>
      <c r="H155" s="181" t="s">
        <v>102</v>
      </c>
      <c r="I155" s="55" cm="1">
        <f t="array" ref="I155:J155">IFERROR(IF(ISBLANK(INDEX(_xlfn._xlws.FILTER([1]加工記録２!$O$3:$P$445, [1]加工記録２!$T$3:$T$445=B119), 3)), "", INDEX(_xlfn._xlws.FILTER([1]加工記録２!$O$3:$P$445, [1]加工記録２!$T$3:$T$445=B119), 3)),"")</f>
        <v>1011</v>
      </c>
      <c r="J155" s="60" t="str">
        <v/>
      </c>
      <c r="K155" s="30"/>
    </row>
    <row r="156" spans="1:11" s="5" customFormat="1" ht="18" customHeight="1">
      <c r="A156" s="134"/>
      <c r="B156" s="136"/>
      <c r="C156" s="138"/>
      <c r="D156" s="182"/>
      <c r="E156" s="174"/>
      <c r="F156" s="175"/>
      <c r="G156" s="180"/>
      <c r="H156" s="181" t="s">
        <v>103</v>
      </c>
      <c r="I156" s="55" cm="1">
        <f t="array" ref="I156:J156">IFERROR(IF(ISBLANK(INDEX(_xlfn._xlws.FILTER([1]加工記録２!$O$3:$P$445, [1]加工記録２!$T$3:$T$445=B119), 4)), "", INDEX(_xlfn._xlws.FILTER([1]加工記録２!$O$3:$P$445, [1]加工記録２!$T$3:$T$445=B119), 4)),"")</f>
        <v>11</v>
      </c>
      <c r="J156" s="61" t="str">
        <v/>
      </c>
      <c r="K156" s="29"/>
    </row>
    <row r="157" spans="1:11" s="7" customFormat="1" ht="18" customHeight="1">
      <c r="A157" s="141" t="s">
        <v>85</v>
      </c>
      <c r="B157" s="143">
        <f>D117</f>
        <v>888</v>
      </c>
      <c r="C157" s="145" t="s">
        <v>86</v>
      </c>
      <c r="D157" s="183" t="str">
        <f>_xlfn.XLOOKUP(B117,[1]!テーブル5[品目コード],[1]!テーブル5[上限公差],,)</f>
        <v>+0.5</v>
      </c>
      <c r="E157" s="174" t="str">
        <f>_xlfn.XLOOKUP(B117,[1]!テーブル5[品目コード],[1]!テーブル5[備考２],,)</f>
        <v>L=888用　クラフト紙</v>
      </c>
      <c r="F157" s="175"/>
      <c r="G157" s="180"/>
      <c r="H157" s="181" t="s">
        <v>104</v>
      </c>
      <c r="I157" s="55" cm="1">
        <f t="array" ref="I157:J157">IFERROR(IF(ISBLANK(INDEX(_xlfn._xlws.FILTER([1]加工記録２!$O$3:$P$445, [1]加工記録２!$T$3:$T$445=B119), 5)), "", INDEX(_xlfn._xlws.FILTER([1]加工記録２!$O$3:$P$445, [1]加工記録２!$T$3:$T$445=B119), 5)),"")</f>
        <v>22</v>
      </c>
      <c r="J157" s="62" t="str">
        <v/>
      </c>
      <c r="K157" s="30"/>
    </row>
    <row r="158" spans="1:11" s="5" customFormat="1" ht="18" customHeight="1">
      <c r="A158" s="142"/>
      <c r="B158" s="144"/>
      <c r="C158" s="146"/>
      <c r="D158" s="184"/>
      <c r="E158" s="174"/>
      <c r="F158" s="175"/>
      <c r="G158" s="180"/>
      <c r="H158" s="181" t="s">
        <v>105</v>
      </c>
      <c r="I158" s="55" t="str" cm="1">
        <f t="array" ref="I158:J158">IFERROR(IF(ISBLANK(INDEX(_xlfn._xlws.FILTER([1]加工記録２!$O$3:$P$445, [1]加工記録２!$T$3:$T$445=B119), 6)), "", INDEX(_xlfn._xlws.FILTER([1]加工記録２!$O$3:$P$445, [1]加工記録２!$T$3:$T$445=B119), 6)),"")</f>
        <v/>
      </c>
      <c r="J158" s="63" t="str">
        <v/>
      </c>
      <c r="K158" s="29"/>
    </row>
    <row r="159" spans="1:11" s="7" customFormat="1" ht="18" customHeight="1">
      <c r="A159" s="113" t="s">
        <v>87</v>
      </c>
      <c r="B159" s="115" t="str">
        <f>_xlfn.XLOOKUP(B117,[1]!テーブル5[品目コード],[1]!テーブル5[切断寸法],,)</f>
        <v>換算表確認</v>
      </c>
      <c r="C159" s="117" t="s">
        <v>88</v>
      </c>
      <c r="D159" s="183" t="str">
        <f>_xlfn.XLOOKUP(B117,[1]!テーブル5[品目コード],[1]!テーブル5[下限公差],,)</f>
        <v>－0.5</v>
      </c>
      <c r="E159" s="174" t="str">
        <f>_xlfn.XLOOKUP(B117,[1]!テーブル5[品目コード],[1]!テーブル5[梱包方法],,)</f>
        <v>ラベル１枚　長手無　鉢巻１回</v>
      </c>
      <c r="F159" s="175"/>
      <c r="G159" s="180"/>
      <c r="H159" s="181" t="s">
        <v>106</v>
      </c>
      <c r="I159" s="55" t="str" cm="1">
        <f t="array" ref="I159:J159">IFERROR(IF(ISBLANK(INDEX(_xlfn._xlws.FILTER([1]加工記録２!$O$3:$P$445, [1]加工記録２!$T$3:$T$445=B119), 7)), "", INDEX(_xlfn._xlws.FILTER([1]加工記録２!$O$3:$P$445, [1]加工記録２!$T$3:$T$445=B119), 7)),"")</f>
        <v>水野</v>
      </c>
      <c r="J159" s="64" t="str">
        <v/>
      </c>
      <c r="K159" s="30"/>
    </row>
    <row r="160" spans="1:11" s="5" customFormat="1" ht="18" customHeight="1" thickBot="1">
      <c r="A160" s="114"/>
      <c r="B160" s="116"/>
      <c r="C160" s="118"/>
      <c r="D160" s="185"/>
      <c r="E160" s="186"/>
      <c r="F160" s="187"/>
      <c r="G160" s="188"/>
      <c r="H160" s="189" t="s">
        <v>107</v>
      </c>
      <c r="I160" s="28" t="str" cm="1">
        <f t="array" ref="I160:J160">IFERROR(IF(ISBLANK(INDEX(_xlfn._xlws.FILTER([1]加工記録２!$O$3:$P$445, [1]加工記録２!$T$3:$T$445=B119), 8)), "", INDEX(_xlfn._xlws.FILTER([1]加工記録２!$O$3:$P$445, [1]加工記録２!$T$3:$T$445=B119), 8)),"")</f>
        <v>高森</v>
      </c>
      <c r="J160" s="190">
        <v>22</v>
      </c>
    </row>
    <row r="161" spans="1:14" s="36" customFormat="1" ht="18.95" customHeight="1">
      <c r="A161" s="31" t="s">
        <v>89</v>
      </c>
      <c r="B161" s="32" t="s">
        <v>90</v>
      </c>
      <c r="C161" s="33" t="s">
        <v>91</v>
      </c>
      <c r="D161" s="33" t="s">
        <v>92</v>
      </c>
      <c r="E161" s="34" t="s">
        <v>93</v>
      </c>
      <c r="F161" s="65" t="s">
        <v>94</v>
      </c>
      <c r="G161" s="56" t="s">
        <v>111</v>
      </c>
      <c r="H161" s="57" t="s">
        <v>112</v>
      </c>
      <c r="I161" s="66" t="s">
        <v>97</v>
      </c>
      <c r="J161" s="67" t="s">
        <v>98</v>
      </c>
      <c r="K161" s="35"/>
      <c r="L161" s="35"/>
      <c r="M161" s="35"/>
      <c r="N161" s="35"/>
    </row>
    <row r="162" spans="1:14" s="54" customFormat="1" ht="18.95" customHeight="1">
      <c r="A162" s="42" t="str" cm="1">
        <f t="array" ref="A162:J162">IFERROR(IF(ISBLANK(INDEX(_xlfn._xlws.FILTER([1]加工記録２!$D$3:$M$445, [1]加工記録２!$T$3:$T$445=B119), 1)), "", INDEX(_xlfn._xlws.FILTER([1]加工記録２!$D$3:$M$445, [1]加工記録２!$T$3:$T$445=B119), 1)),"")</f>
        <v/>
      </c>
      <c r="B162" s="37" t="str">
        <v/>
      </c>
      <c r="C162" s="38" t="str">
        <v/>
      </c>
      <c r="D162" s="38" t="str">
        <v/>
      </c>
      <c r="E162" s="39" t="str">
        <v/>
      </c>
      <c r="F162" s="45" t="str">
        <v>25E27-08</v>
      </c>
      <c r="G162" s="43">
        <v>886</v>
      </c>
      <c r="H162" s="46">
        <v>443</v>
      </c>
      <c r="I162" s="40" t="str">
        <v/>
      </c>
      <c r="J162" s="41" t="str">
        <v/>
      </c>
      <c r="K162" s="53"/>
      <c r="L162" s="53"/>
      <c r="M162" s="53"/>
      <c r="N162" s="53"/>
    </row>
    <row r="163" spans="1:14" s="54" customFormat="1" ht="18.95" customHeight="1">
      <c r="A163" s="42" cm="1">
        <f t="array" ref="A163:J163">IFERROR(IF(ISBLANK(INDEX(_xlfn._xlws.FILTER([1]加工記録２!$D$3:$M$445, [1]加工記録２!$T$3:$T$445=B119), 2)), "", INDEX(_xlfn._xlws.FILTER([1]加工記録２!$D$3:$M$445, [1]加工記録２!$T$3:$T$445=B119), 2)),"")</f>
        <v>45819</v>
      </c>
      <c r="B163" s="43" t="str">
        <v>25E27-08</v>
      </c>
      <c r="C163" s="43">
        <v>24</v>
      </c>
      <c r="D163" s="43">
        <v>888.23</v>
      </c>
      <c r="E163" s="44">
        <v>888.45</v>
      </c>
      <c r="F163" s="45" t="str">
        <v>25E28-10</v>
      </c>
      <c r="G163" s="43">
        <v>1136</v>
      </c>
      <c r="H163" s="46">
        <v>568</v>
      </c>
      <c r="I163" s="40" t="str">
        <v/>
      </c>
      <c r="J163" s="41" t="str">
        <v/>
      </c>
      <c r="K163" s="53"/>
      <c r="L163" s="53"/>
      <c r="M163" s="53"/>
      <c r="N163" s="53"/>
    </row>
    <row r="164" spans="1:14" s="54" customFormat="1" ht="18.95" customHeight="1">
      <c r="A164" s="42" cm="1">
        <f t="array" ref="A164:J164">IFERROR(IF(ISBLANK(INDEX(_xlfn._xlws.FILTER([1]加工記録２!$D$3:$M$445, [1]加工記録２!$T$3:$T$445=B119), 3)), "", INDEX(_xlfn._xlws.FILTER([1]加工記録２!$D$3:$M$445, [1]加工記録２!$T$3:$T$445=B119), 3)),"")</f>
        <v>45819</v>
      </c>
      <c r="B164" s="43" t="str">
        <v>25E27-08</v>
      </c>
      <c r="C164" s="43">
        <v>24</v>
      </c>
      <c r="D164" s="43">
        <v>888.23</v>
      </c>
      <c r="E164" s="44">
        <v>888.44</v>
      </c>
      <c r="F164" s="45" t="str">
        <v/>
      </c>
      <c r="G164" s="43" t="str">
        <v/>
      </c>
      <c r="H164" s="46" t="str">
        <v/>
      </c>
      <c r="I164" s="40">
        <v>45820</v>
      </c>
      <c r="J164" s="41">
        <v>13</v>
      </c>
      <c r="K164" s="53"/>
      <c r="L164" s="53"/>
      <c r="M164" s="53"/>
      <c r="N164" s="53"/>
    </row>
    <row r="165" spans="1:14" s="54" customFormat="1" ht="18.95" customHeight="1">
      <c r="A165" s="42" cm="1">
        <f t="array" ref="A165:J165">IFERROR(IF(ISBLANK(INDEX(_xlfn._xlws.FILTER([1]加工記録２!$D$3:$M$445, [1]加工記録２!$T$3:$T$445=B119), 4)), "", INDEX(_xlfn._xlws.FILTER([1]加工記録２!$D$3:$M$445, [1]加工記録２!$T$3:$T$445=B119), 4)),"")</f>
        <v>45819</v>
      </c>
      <c r="B165" s="43" t="str">
        <v>25E27-08</v>
      </c>
      <c r="C165" s="43">
        <v>24</v>
      </c>
      <c r="D165" s="43">
        <v>888.23</v>
      </c>
      <c r="E165" s="44">
        <v>888.41</v>
      </c>
      <c r="F165" s="45" t="str">
        <v/>
      </c>
      <c r="G165" s="43" t="str">
        <v/>
      </c>
      <c r="H165" s="46" t="str">
        <v/>
      </c>
      <c r="I165" s="40">
        <v>45821</v>
      </c>
      <c r="J165" s="41">
        <v>7</v>
      </c>
      <c r="K165" s="53"/>
      <c r="L165" s="53"/>
      <c r="M165" s="53"/>
      <c r="N165" s="53"/>
    </row>
    <row r="166" spans="1:14" s="54" customFormat="1" ht="18.95" customHeight="1">
      <c r="A166" s="42" cm="1">
        <f t="array" ref="A166:J166">IFERROR(IF(ISBLANK(INDEX(_xlfn._xlws.FILTER([1]加工記録２!$D$3:$M$445, [1]加工記録２!$T$3:$T$445=B119), 5)), "", INDEX(_xlfn._xlws.FILTER([1]加工記録２!$D$3:$M$445, [1]加工記録２!$T$3:$T$445=B119), 5)),"")</f>
        <v>45820</v>
      </c>
      <c r="B166" s="43" t="str">
        <v>25E28-10</v>
      </c>
      <c r="C166" s="43">
        <v>24</v>
      </c>
      <c r="D166" s="43">
        <v>888.23</v>
      </c>
      <c r="E166" s="44">
        <v>888.3</v>
      </c>
      <c r="F166" s="45" t="str">
        <v/>
      </c>
      <c r="G166" s="43" t="str">
        <v/>
      </c>
      <c r="H166" s="46" t="str">
        <v/>
      </c>
      <c r="I166" s="68" t="str">
        <v/>
      </c>
      <c r="J166" s="69" t="str">
        <v/>
      </c>
      <c r="K166" s="53"/>
      <c r="L166" s="53"/>
      <c r="M166" s="53"/>
      <c r="N166" s="53"/>
    </row>
    <row r="167" spans="1:14" s="54" customFormat="1" ht="18.95" customHeight="1">
      <c r="A167" s="42" cm="1">
        <f t="array" ref="A167:J167">IFERROR(IF(ISBLANK(INDEX(_xlfn._xlws.FILTER([1]加工記録２!$D$3:$M$445, [1]加工記録２!$T$3:$T$445=B119), 6)), "", INDEX(_xlfn._xlws.FILTER([1]加工記録２!$D$3:$M$445, [1]加工記録２!$T$3:$T$445=B119), 6)),"")</f>
        <v>45820</v>
      </c>
      <c r="B167" s="43" t="str">
        <v>25E28-10</v>
      </c>
      <c r="C167" s="43">
        <v>26</v>
      </c>
      <c r="D167" s="43">
        <v>888.35</v>
      </c>
      <c r="E167" s="44">
        <v>888.39</v>
      </c>
      <c r="F167" s="45" t="str">
        <v/>
      </c>
      <c r="G167" s="43" t="str">
        <v/>
      </c>
      <c r="H167" s="70" t="str">
        <v/>
      </c>
      <c r="I167" s="68" t="str">
        <v/>
      </c>
      <c r="J167" s="69" t="str">
        <v/>
      </c>
      <c r="K167" s="53"/>
      <c r="L167" s="53"/>
      <c r="M167" s="53"/>
      <c r="N167" s="53"/>
    </row>
    <row r="168" spans="1:14" s="54" customFormat="1" ht="18.95" customHeight="1">
      <c r="A168" s="42" cm="1">
        <f t="array" ref="A168:J168">IFERROR(IF(ISBLANK(INDEX(_xlfn._xlws.FILTER([1]加工記録２!$D$3:$M$445, [1]加工記録２!$T$3:$T$445=B119), 7)), "", INDEX(_xlfn._xlws.FILTER([1]加工記録２!$D$3:$M$445, [1]加工記録２!$T$3:$T$445=B119), 7)),"")</f>
        <v>45820</v>
      </c>
      <c r="B168" s="43" t="str">
        <v>25E28-10</v>
      </c>
      <c r="C168" s="43">
        <v>26</v>
      </c>
      <c r="D168" s="43">
        <v>888.35</v>
      </c>
      <c r="E168" s="44">
        <v>888.4</v>
      </c>
      <c r="F168" s="45" t="str">
        <v/>
      </c>
      <c r="G168" s="43" t="str">
        <v/>
      </c>
      <c r="H168" s="70" t="str">
        <v/>
      </c>
      <c r="I168" s="68" t="str">
        <v/>
      </c>
      <c r="J168" s="69" t="str">
        <v/>
      </c>
      <c r="K168" s="53"/>
      <c r="L168" s="53"/>
      <c r="M168" s="53"/>
      <c r="N168" s="53"/>
    </row>
    <row r="169" spans="1:14" s="54" customFormat="1" ht="18.95" customHeight="1" thickBot="1">
      <c r="A169" s="47" cm="1">
        <f t="array" ref="A169:J169">IFERROR(IF(ISBLANK(INDEX(_xlfn._xlws.FILTER([1]加工記録２!$D$3:$M$445, [1]加工記録２!$T$3:$T$445=B119), 8)), "", INDEX(_xlfn._xlws.FILTER([1]加工記録２!$D$3:$M$445, [1]加工記録２!$T$3:$T$445=B119), 8)),"")</f>
        <v>45820</v>
      </c>
      <c r="B169" s="48" t="str">
        <v>25E28-10</v>
      </c>
      <c r="C169" s="48">
        <v>26</v>
      </c>
      <c r="D169" s="48">
        <v>888.35</v>
      </c>
      <c r="E169" s="49">
        <v>888.38</v>
      </c>
      <c r="F169" s="78" t="str">
        <v>合計</v>
      </c>
      <c r="G169" s="79">
        <v>2022</v>
      </c>
      <c r="H169" s="80">
        <v>1011</v>
      </c>
      <c r="I169" s="81" t="str">
        <v>合計</v>
      </c>
      <c r="J169" s="82">
        <v>20</v>
      </c>
      <c r="K169" s="53"/>
      <c r="L169" s="53"/>
      <c r="M169" s="53"/>
      <c r="N169" s="53"/>
    </row>
    <row r="170" spans="1:14" ht="13.5" customHeight="1" thickBo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 spans="1:14" ht="6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2"/>
      <c r="B172" s="169" t="s">
        <v>0</v>
      </c>
      <c r="C172" s="102"/>
      <c r="D172" s="102"/>
      <c r="E172" s="12"/>
      <c r="F172" s="12"/>
      <c r="G172" s="12"/>
      <c r="H172" s="12"/>
      <c r="I172" s="12"/>
      <c r="J172" s="12"/>
    </row>
    <row r="173" spans="1:14" ht="14.25" customHeight="1">
      <c r="A173" s="13"/>
      <c r="B173" s="102"/>
      <c r="C173" s="102"/>
      <c r="D173" s="102"/>
      <c r="E173" s="13"/>
      <c r="F173" s="13"/>
      <c r="G173" s="13"/>
      <c r="H173" s="13"/>
      <c r="I173" s="13"/>
      <c r="J173" s="13"/>
    </row>
    <row r="174" spans="1:14" ht="14.25" customHeight="1">
      <c r="A174" s="122" t="s">
        <v>1</v>
      </c>
      <c r="B174" s="122" t="s">
        <v>66</v>
      </c>
      <c r="C174" s="122" t="s">
        <v>3</v>
      </c>
      <c r="D174" s="170">
        <v>888</v>
      </c>
      <c r="E174" s="122" t="s">
        <v>4</v>
      </c>
      <c r="F174" s="168" t="s">
        <v>67</v>
      </c>
      <c r="G174" s="102"/>
      <c r="H174" s="159"/>
      <c r="I174" s="14" t="s">
        <v>6</v>
      </c>
      <c r="J174" s="14" t="s">
        <v>7</v>
      </c>
    </row>
    <row r="175" spans="1:14" ht="14.25" customHeight="1">
      <c r="A175" s="102"/>
      <c r="B175" s="102"/>
      <c r="C175" s="102"/>
      <c r="D175" s="102"/>
      <c r="E175" s="102"/>
      <c r="F175" s="102"/>
      <c r="G175" s="102"/>
      <c r="H175" s="159"/>
      <c r="I175" s="156"/>
      <c r="J175" s="156"/>
    </row>
    <row r="176" spans="1:14" ht="17.45" customHeight="1">
      <c r="A176" s="121" t="s">
        <v>8</v>
      </c>
      <c r="B176" s="121" t="s">
        <v>79</v>
      </c>
      <c r="E176" s="121" t="s">
        <v>10</v>
      </c>
      <c r="F176" s="164" t="s">
        <v>69</v>
      </c>
      <c r="G176" s="102"/>
      <c r="H176" s="159"/>
      <c r="I176" s="157"/>
      <c r="J176" s="157"/>
    </row>
    <row r="177" spans="1:10" ht="17.45" customHeight="1">
      <c r="A177" s="102"/>
      <c r="B177" s="102"/>
      <c r="E177" s="102"/>
      <c r="F177" s="102"/>
      <c r="G177" s="102"/>
      <c r="H177" s="159"/>
      <c r="I177" s="15"/>
      <c r="J177" s="15"/>
    </row>
    <row r="178" spans="1:10" ht="17.45" customHeight="1">
      <c r="A178" s="121" t="s">
        <v>12</v>
      </c>
      <c r="B178" s="121" t="s">
        <v>80</v>
      </c>
      <c r="E178" s="2" t="s">
        <v>14</v>
      </c>
      <c r="F178" s="166" t="s">
        <v>15</v>
      </c>
      <c r="G178" s="102"/>
      <c r="H178" s="22"/>
    </row>
    <row r="179" spans="1:10" ht="17.45" customHeight="1">
      <c r="A179" s="102"/>
      <c r="B179" s="102"/>
      <c r="E179" s="2" t="s">
        <v>16</v>
      </c>
      <c r="F179" s="22" t="s">
        <v>17</v>
      </c>
      <c r="G179" s="22"/>
      <c r="H179" s="22"/>
    </row>
    <row r="180" spans="1:10" ht="17.45" customHeight="1">
      <c r="A180" s="2" t="s">
        <v>18</v>
      </c>
      <c r="B180" s="4">
        <v>45842</v>
      </c>
      <c r="E180" s="2" t="s">
        <v>19</v>
      </c>
      <c r="F180" s="153">
        <v>100</v>
      </c>
      <c r="G180" s="102"/>
      <c r="H180" s="22"/>
    </row>
    <row r="181" spans="1:10" ht="17.45" customHeight="1">
      <c r="A181" s="2" t="s">
        <v>20</v>
      </c>
      <c r="B181" s="4">
        <v>45842</v>
      </c>
      <c r="E181" s="2" t="s">
        <v>21</v>
      </c>
      <c r="F181" s="22">
        <v>20</v>
      </c>
      <c r="G181" s="160" t="s">
        <v>22</v>
      </c>
      <c r="H181" s="123">
        <v>2000</v>
      </c>
      <c r="I181" s="124"/>
      <c r="J181" s="125"/>
    </row>
    <row r="182" spans="1:10" ht="17.45" customHeight="1">
      <c r="A182" s="20"/>
      <c r="B182" s="21"/>
      <c r="C182" s="21"/>
      <c r="D182" s="21"/>
      <c r="E182" s="2" t="s">
        <v>23</v>
      </c>
      <c r="F182" s="22" t="s">
        <v>24</v>
      </c>
      <c r="G182" s="126"/>
      <c r="H182" s="126"/>
      <c r="I182" s="105"/>
      <c r="J182" s="127"/>
    </row>
    <row r="183" spans="1:10" ht="13.5" customHeight="1">
      <c r="A183" s="165" t="s">
        <v>71</v>
      </c>
      <c r="B183" s="102"/>
      <c r="C183" s="102"/>
      <c r="D183" s="21"/>
      <c r="F183" s="3"/>
      <c r="G183" s="154" t="s">
        <v>26</v>
      </c>
      <c r="H183" s="167" t="s">
        <v>27</v>
      </c>
      <c r="I183" s="158" t="s">
        <v>28</v>
      </c>
      <c r="J183" s="159"/>
    </row>
    <row r="184" spans="1:10" ht="13.5" customHeight="1">
      <c r="A184" s="102"/>
      <c r="B184" s="102"/>
      <c r="C184" s="102"/>
      <c r="D184" s="21"/>
      <c r="F184" s="3"/>
      <c r="G184" s="155"/>
      <c r="H184" s="155"/>
      <c r="I184" s="105"/>
      <c r="J184" s="127"/>
    </row>
    <row r="185" spans="1:10" ht="13.5" customHeight="1">
      <c r="A185" s="1" t="s">
        <v>29</v>
      </c>
    </row>
    <row r="186" spans="1:10" ht="63" customHeight="1">
      <c r="A186" s="149"/>
      <c r="B186" s="150"/>
      <c r="C186" s="150"/>
      <c r="D186" s="150"/>
      <c r="E186" s="150"/>
      <c r="F186" s="150"/>
      <c r="G186" s="150"/>
      <c r="H186" s="150"/>
      <c r="I186" s="150"/>
      <c r="J186" s="150"/>
    </row>
    <row r="187" spans="1:10" ht="18.75">
      <c r="A187" s="24" t="s">
        <v>30</v>
      </c>
      <c r="B187" s="17" t="s">
        <v>31</v>
      </c>
      <c r="C187" s="161" t="s">
        <v>32</v>
      </c>
      <c r="D187" s="162"/>
      <c r="E187" s="17" t="s">
        <v>33</v>
      </c>
      <c r="F187" s="161" t="s">
        <v>34</v>
      </c>
      <c r="G187" s="162"/>
      <c r="H187" s="162"/>
      <c r="I187" s="163" t="s">
        <v>35</v>
      </c>
      <c r="J187" s="162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3">
        <v>1</v>
      </c>
      <c r="B189" s="25" t="s">
        <v>36</v>
      </c>
      <c r="C189" s="103" t="s">
        <v>37</v>
      </c>
      <c r="D189" s="102"/>
      <c r="E189" s="25" t="s">
        <v>38</v>
      </c>
      <c r="F189" s="103" t="s">
        <v>39</v>
      </c>
      <c r="G189" s="102"/>
      <c r="H189" s="102"/>
      <c r="I189" s="101"/>
      <c r="J189" s="102"/>
    </row>
    <row r="190" spans="1:10" ht="16.5" customHeight="1">
      <c r="A190" s="23">
        <v>1</v>
      </c>
      <c r="B190" s="26" t="s">
        <v>36</v>
      </c>
      <c r="C190" s="103" t="s">
        <v>37</v>
      </c>
      <c r="D190" s="102"/>
      <c r="E190" s="25" t="s">
        <v>40</v>
      </c>
      <c r="F190" s="103" t="s">
        <v>41</v>
      </c>
      <c r="G190" s="102"/>
      <c r="H190" s="102"/>
      <c r="I190" s="101"/>
      <c r="J190" s="102"/>
    </row>
    <row r="191" spans="1:10" ht="16.5" customHeight="1">
      <c r="A191" s="23"/>
      <c r="B191" s="26"/>
      <c r="C191" s="103"/>
      <c r="D191" s="102"/>
      <c r="E191" s="25"/>
      <c r="F191" s="103"/>
      <c r="G191" s="102"/>
      <c r="H191" s="102"/>
      <c r="I191" s="101"/>
      <c r="J191" s="102"/>
    </row>
    <row r="192" spans="1:10" ht="16.5" customHeight="1">
      <c r="A192" s="23"/>
      <c r="B192" s="26"/>
      <c r="C192" s="103"/>
      <c r="D192" s="102"/>
      <c r="E192" s="25"/>
      <c r="F192" s="103"/>
      <c r="G192" s="102"/>
      <c r="H192" s="102"/>
      <c r="I192" s="101"/>
      <c r="J192" s="102"/>
    </row>
    <row r="193" spans="1:10" ht="16.5" customHeight="1">
      <c r="A193" s="23"/>
      <c r="B193" s="26"/>
      <c r="C193" s="103"/>
      <c r="D193" s="102"/>
      <c r="E193" s="25"/>
      <c r="F193" s="103"/>
      <c r="G193" s="102"/>
      <c r="H193" s="102"/>
      <c r="I193" s="101"/>
      <c r="J193" s="102"/>
    </row>
    <row r="194" spans="1:10" ht="16.5" customHeight="1">
      <c r="A194" s="23"/>
      <c r="B194" s="26"/>
      <c r="C194" s="103"/>
      <c r="D194" s="102"/>
      <c r="E194" s="25"/>
      <c r="F194" s="103"/>
      <c r="G194" s="102"/>
      <c r="H194" s="102"/>
      <c r="I194" s="101"/>
      <c r="J194" s="102"/>
    </row>
    <row r="195" spans="1:10" ht="16.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</row>
    <row r="196" spans="1:10" ht="18.75">
      <c r="A196" s="108" t="s">
        <v>42</v>
      </c>
      <c r="B196" s="109"/>
      <c r="C196" s="108" t="s">
        <v>43</v>
      </c>
      <c r="D196" s="109"/>
      <c r="E196" s="109"/>
      <c r="F196" s="18" t="s">
        <v>44</v>
      </c>
      <c r="G196" s="108" t="s">
        <v>45</v>
      </c>
      <c r="H196" s="109"/>
      <c r="I196" s="108" t="s">
        <v>46</v>
      </c>
      <c r="J196" s="109"/>
    </row>
    <row r="197" spans="1:10" ht="14.25" customHeight="1">
      <c r="A197" s="8"/>
      <c r="B197" s="19"/>
      <c r="C197" s="104" t="s">
        <v>47</v>
      </c>
      <c r="D197" s="105"/>
      <c r="E197" s="19"/>
      <c r="F197" s="104" t="s">
        <v>29</v>
      </c>
      <c r="G197" s="105"/>
      <c r="H197" s="105"/>
      <c r="I197" s="105"/>
      <c r="J197" s="105"/>
    </row>
    <row r="198" spans="1:10">
      <c r="A198" s="9"/>
      <c r="C198" s="7"/>
      <c r="D198" s="7"/>
      <c r="E198" s="7"/>
    </row>
    <row r="199" spans="1:10" ht="14.25" customHeight="1">
      <c r="A199" s="103" t="s">
        <v>48</v>
      </c>
      <c r="B199" s="102"/>
      <c r="C199" s="103" t="s">
        <v>49</v>
      </c>
      <c r="D199" s="102"/>
      <c r="E199" s="102"/>
      <c r="F199" s="27" t="s">
        <v>27</v>
      </c>
      <c r="G199" s="106">
        <v>1000</v>
      </c>
      <c r="H199" s="102"/>
      <c r="I199" s="106">
        <v>10</v>
      </c>
      <c r="J199" s="102"/>
    </row>
    <row r="200" spans="1:10" ht="24.95" customHeight="1">
      <c r="A200" s="107" t="s">
        <v>50</v>
      </c>
      <c r="B200" s="102"/>
      <c r="C200" s="103"/>
      <c r="D200" s="102"/>
      <c r="E200" s="102"/>
      <c r="F200" s="103"/>
      <c r="G200" s="102"/>
      <c r="H200" s="102"/>
      <c r="I200" s="102"/>
      <c r="J200" s="102"/>
    </row>
    <row r="201" spans="1:10" ht="14.25" customHeight="1">
      <c r="A201" s="103" t="s">
        <v>72</v>
      </c>
      <c r="B201" s="102"/>
      <c r="C201" s="103" t="s">
        <v>73</v>
      </c>
      <c r="D201" s="102"/>
      <c r="E201" s="102"/>
      <c r="F201" s="27" t="s">
        <v>36</v>
      </c>
      <c r="G201" s="106">
        <v>20</v>
      </c>
      <c r="H201" s="102"/>
      <c r="I201" s="106">
        <v>0.2</v>
      </c>
      <c r="J201" s="102"/>
    </row>
    <row r="202" spans="1:10" ht="24.95" customHeight="1">
      <c r="A202" s="107" t="s">
        <v>74</v>
      </c>
      <c r="B202" s="102"/>
      <c r="C202" s="103" t="s">
        <v>75</v>
      </c>
      <c r="D202" s="102"/>
      <c r="E202" s="102"/>
      <c r="F202" s="103"/>
      <c r="G202" s="102"/>
      <c r="H202" s="102"/>
      <c r="I202" s="102"/>
      <c r="J202" s="102"/>
    </row>
    <row r="203" spans="1:10" ht="14.25" customHeight="1">
      <c r="A203" s="103" t="s">
        <v>76</v>
      </c>
      <c r="B203" s="102"/>
      <c r="C203" s="103" t="s">
        <v>57</v>
      </c>
      <c r="D203" s="102"/>
      <c r="E203" s="102"/>
      <c r="F203" s="27"/>
      <c r="G203" s="106">
        <v>220</v>
      </c>
      <c r="H203" s="102"/>
      <c r="I203" s="106">
        <v>2.2000000000000002</v>
      </c>
      <c r="J203" s="102"/>
    </row>
    <row r="204" spans="1:10" ht="24.95" customHeight="1">
      <c r="A204" s="107" t="s">
        <v>77</v>
      </c>
      <c r="B204" s="102"/>
      <c r="C204" s="103" t="s">
        <v>78</v>
      </c>
      <c r="D204" s="102"/>
      <c r="E204" s="102"/>
      <c r="F204" s="103"/>
      <c r="G204" s="102"/>
      <c r="H204" s="102"/>
      <c r="I204" s="102"/>
      <c r="J204" s="102"/>
    </row>
    <row r="205" spans="1:10" ht="14.25" customHeight="1">
      <c r="A205" s="103" t="s">
        <v>60</v>
      </c>
      <c r="B205" s="102"/>
      <c r="C205" s="103" t="s">
        <v>61</v>
      </c>
      <c r="D205" s="102"/>
      <c r="E205" s="102"/>
      <c r="F205" s="27"/>
      <c r="G205" s="106">
        <v>2</v>
      </c>
      <c r="H205" s="102"/>
      <c r="I205" s="106">
        <v>0.02</v>
      </c>
      <c r="J205" s="102"/>
    </row>
    <row r="206" spans="1:10" ht="24.95" customHeight="1">
      <c r="A206" s="107" t="s">
        <v>62</v>
      </c>
      <c r="B206" s="102"/>
      <c r="C206" s="103" t="s">
        <v>63</v>
      </c>
      <c r="D206" s="102"/>
      <c r="E206" s="102"/>
      <c r="F206" s="103"/>
      <c r="G206" s="102"/>
      <c r="H206" s="102"/>
      <c r="I206" s="102"/>
      <c r="J206" s="102"/>
    </row>
    <row r="207" spans="1:10" ht="14.25" customHeight="1">
      <c r="A207" s="103"/>
      <c r="B207" s="102"/>
      <c r="C207" s="103"/>
      <c r="D207" s="102"/>
      <c r="E207" s="102"/>
      <c r="F207" s="27"/>
      <c r="G207" s="106"/>
      <c r="H207" s="102"/>
      <c r="I207" s="106"/>
      <c r="J207" s="102"/>
    </row>
    <row r="208" spans="1:10" ht="24.95" customHeight="1" thickBot="1">
      <c r="A208" s="107"/>
      <c r="B208" s="102"/>
      <c r="C208" s="103"/>
      <c r="D208" s="102"/>
      <c r="E208" s="102"/>
      <c r="F208" s="103"/>
      <c r="G208" s="102"/>
      <c r="H208" s="102"/>
      <c r="I208" s="102"/>
      <c r="J208" s="102"/>
    </row>
    <row r="209" spans="1:14" s="5" customFormat="1" ht="18" customHeight="1">
      <c r="A209" s="110" t="s">
        <v>82</v>
      </c>
      <c r="B209" s="111"/>
      <c r="C209" s="111"/>
      <c r="D209" s="111"/>
      <c r="E209" s="171" t="s">
        <v>108</v>
      </c>
      <c r="F209" s="172"/>
      <c r="G209" s="173" t="s">
        <v>110</v>
      </c>
      <c r="H209" s="93" t="s">
        <v>99</v>
      </c>
      <c r="I209" s="93"/>
      <c r="J209" s="74" t="s">
        <v>109</v>
      </c>
    </row>
    <row r="210" spans="1:14" s="7" customFormat="1" ht="18" customHeight="1">
      <c r="A210" s="128" t="str">
        <f>_xlfn.XLOOKUP(B174,[1]VFDB2!A:A,[1]VFDB2!B:B)</f>
        <v>8FL281304 5010　L=888</v>
      </c>
      <c r="B210" s="129"/>
      <c r="C210" s="129"/>
      <c r="D210" s="129"/>
      <c r="E210" s="174" t="str" cm="1">
        <f t="array" ref="E210">IFERROR(IF(ISBLANK(INDEX(_xlfn._xlws.FILTER([1]加工記録２!$C$3:$C$445, [1]加工記録２!$T$3:$T$445=B176), 6)), "", INDEX(_xlfn._xlws.FILTER([1]加工記録２!$C$3:$C$445, [1]加工記録２!$T$3:$T$445=B176), 6)),"")</f>
        <v>LED-A888</v>
      </c>
      <c r="F210" s="175"/>
      <c r="G210" s="176" cm="1">
        <f t="array" ref="G210">IFERROR(IF(ISBLANK(INDEX(_xlfn._xlws.FILTER([1]加工記録２!$B$3:$B$445, [1]加工記録２!$T$3:$T$445=B176), 7)), "", INDEX(_xlfn._xlws.FILTER([1]加工記録２!$B$3:$B$445, [1]加工記録２!$T$3:$T$445=B176), 7)),"")</f>
        <v>20</v>
      </c>
      <c r="H210" s="177" t="s">
        <v>100</v>
      </c>
      <c r="I210" s="178" cm="1">
        <f t="array" ref="I210:J210">IFERROR(IF(ISBLANK(INDEX(_xlfn._xlws.FILTER([1]加工記録２!$O$3:$P$445, [1]加工記録２!$T$3:$T$445=B176), 1)), "", INDEX(_xlfn._xlws.FILTER([1]加工記録２!$O$3:$P$445, [1]加工記録２!$T$3:$T$445=B176), 1)),"")</f>
        <v>45820</v>
      </c>
      <c r="J210" s="73">
        <v>20</v>
      </c>
    </row>
    <row r="211" spans="1:14" s="5" customFormat="1" ht="18" customHeight="1">
      <c r="A211" s="131"/>
      <c r="B211" s="132"/>
      <c r="C211" s="132"/>
      <c r="D211" s="132"/>
      <c r="E211" s="174"/>
      <c r="F211" s="175"/>
      <c r="G211" s="176"/>
      <c r="H211" s="177" t="s">
        <v>101</v>
      </c>
      <c r="I211" s="55" cm="1">
        <f t="array" ref="I211:J211">IFERROR(IF(ISBLANK(INDEX(_xlfn._xlws.FILTER([1]加工記録２!$O$3:$P$445, [1]加工記録２!$T$3:$T$445=B176), 2)), "", INDEX(_xlfn._xlws.FILTER([1]加工記録２!$O$3:$P$445, [1]加工記録２!$T$3:$T$445=B176), 2)),"")</f>
        <v>2000</v>
      </c>
      <c r="J211" s="59" t="str">
        <v/>
      </c>
      <c r="K211" s="29"/>
    </row>
    <row r="212" spans="1:14" s="7" customFormat="1" ht="18" customHeight="1">
      <c r="A212" s="113" t="s">
        <v>83</v>
      </c>
      <c r="B212" s="135" t="str">
        <f>_xlfn.XLOOKUP(B174,[1]!テーブル5[品目コード],[1]!テーブル5[温度換算],,)</f>
        <v>〇</v>
      </c>
      <c r="C212" s="137" t="s">
        <v>84</v>
      </c>
      <c r="D212" s="179">
        <f>_xlfn.XLOOKUP(B174,[1]!テーブル5[品目コード],[1]!テーブル5[取数],,)</f>
        <v>2</v>
      </c>
      <c r="E212" s="174" t="str">
        <f>_xlfn.XLOOKUP(B174,[1]!テーブル5[品目コード],[1]!テーブル5[備考１],,)</f>
        <v>1箱目の梱包数 目視確認　以降、重量測定</v>
      </c>
      <c r="F212" s="175"/>
      <c r="G212" s="180"/>
      <c r="H212" s="181" t="s">
        <v>102</v>
      </c>
      <c r="I212" s="55" cm="1">
        <f t="array" ref="I212:J212">IFERROR(IF(ISBLANK(INDEX(_xlfn._xlws.FILTER([1]加工記録２!$O$3:$P$445, [1]加工記録２!$T$3:$T$445=B176), 3)), "", INDEX(_xlfn._xlws.FILTER([1]加工記録２!$O$3:$P$445, [1]加工記録２!$T$3:$T$445=B176), 3)),"")</f>
        <v>1013</v>
      </c>
      <c r="J212" s="60">
        <v>2</v>
      </c>
      <c r="K212" s="30"/>
    </row>
    <row r="213" spans="1:14" s="5" customFormat="1" ht="18" customHeight="1">
      <c r="A213" s="134"/>
      <c r="B213" s="136"/>
      <c r="C213" s="138"/>
      <c r="D213" s="182"/>
      <c r="E213" s="174"/>
      <c r="F213" s="175"/>
      <c r="G213" s="180"/>
      <c r="H213" s="181" t="s">
        <v>103</v>
      </c>
      <c r="I213" s="55" cm="1">
        <f t="array" ref="I213:J213">IFERROR(IF(ISBLANK(INDEX(_xlfn._xlws.FILTER([1]加工記録２!$O$3:$P$445, [1]加工記録２!$T$3:$T$445=B176), 4)), "", INDEX(_xlfn._xlws.FILTER([1]加工記録２!$O$3:$P$445, [1]加工記録２!$T$3:$T$445=B176), 4)),"")</f>
        <v>13</v>
      </c>
      <c r="J213" s="61" t="str">
        <v/>
      </c>
      <c r="K213" s="29"/>
    </row>
    <row r="214" spans="1:14" s="7" customFormat="1" ht="18" customHeight="1">
      <c r="A214" s="141" t="s">
        <v>85</v>
      </c>
      <c r="B214" s="143">
        <f>D174</f>
        <v>888</v>
      </c>
      <c r="C214" s="145" t="s">
        <v>86</v>
      </c>
      <c r="D214" s="183" t="str">
        <f>_xlfn.XLOOKUP(B174,[1]!テーブル5[品目コード],[1]!テーブル5[上限公差],,)</f>
        <v>+0.5</v>
      </c>
      <c r="E214" s="174" t="str">
        <f>_xlfn.XLOOKUP(B174,[1]!テーブル5[品目コード],[1]!テーブル5[備考２],,)</f>
        <v>L=888用　クラフト紙</v>
      </c>
      <c r="F214" s="175"/>
      <c r="G214" s="180"/>
      <c r="H214" s="181" t="s">
        <v>104</v>
      </c>
      <c r="I214" s="55" cm="1">
        <f t="array" ref="I214:J214">IFERROR(IF(ISBLANK(INDEX(_xlfn._xlws.FILTER([1]加工記録２!$O$3:$P$445, [1]加工記録２!$T$3:$T$445=B176), 5)), "", INDEX(_xlfn._xlws.FILTER([1]加工記録２!$O$3:$P$445, [1]加工記録２!$T$3:$T$445=B176), 5)),"")</f>
        <v>25</v>
      </c>
      <c r="J214" s="62" t="str">
        <v/>
      </c>
      <c r="K214" s="30"/>
    </row>
    <row r="215" spans="1:14" s="5" customFormat="1" ht="18" customHeight="1">
      <c r="A215" s="142"/>
      <c r="B215" s="144"/>
      <c r="C215" s="146"/>
      <c r="D215" s="184"/>
      <c r="E215" s="174"/>
      <c r="F215" s="175"/>
      <c r="G215" s="180"/>
      <c r="H215" s="181" t="s">
        <v>105</v>
      </c>
      <c r="I215" s="55" t="str" cm="1">
        <f t="array" ref="I215:J215">IFERROR(IF(ISBLANK(INDEX(_xlfn._xlws.FILTER([1]加工記録２!$O$3:$P$445, [1]加工記録２!$T$3:$T$445=B176), 6)), "", INDEX(_xlfn._xlws.FILTER([1]加工記録２!$O$3:$P$445, [1]加工記録２!$T$3:$T$445=B176), 6)),"")</f>
        <v/>
      </c>
      <c r="J215" s="63" t="str">
        <v/>
      </c>
      <c r="K215" s="29"/>
    </row>
    <row r="216" spans="1:14" s="7" customFormat="1" ht="18" customHeight="1">
      <c r="A216" s="113" t="s">
        <v>87</v>
      </c>
      <c r="B216" s="115" t="str">
        <f>_xlfn.XLOOKUP(B174,[1]!テーブル5[品目コード],[1]!テーブル5[切断寸法],,)</f>
        <v>換算表確認</v>
      </c>
      <c r="C216" s="117" t="s">
        <v>88</v>
      </c>
      <c r="D216" s="183" t="str">
        <f>_xlfn.XLOOKUP(B174,[1]!テーブル5[品目コード],[1]!テーブル5[下限公差],,)</f>
        <v>－0.5</v>
      </c>
      <c r="E216" s="174" t="str">
        <f>_xlfn.XLOOKUP(B174,[1]!テーブル5[品目コード],[1]!テーブル5[梱包方法],,)</f>
        <v>ラベル１枚　長手無　鉢巻１回</v>
      </c>
      <c r="F216" s="175"/>
      <c r="G216" s="180"/>
      <c r="H216" s="181" t="s">
        <v>106</v>
      </c>
      <c r="I216" s="55" t="str" cm="1">
        <f t="array" ref="I216:J216">IFERROR(IF(ISBLANK(INDEX(_xlfn._xlws.FILTER([1]加工記録２!$O$3:$P$445, [1]加工記録２!$T$3:$T$445=B176), 7)), "", INDEX(_xlfn._xlws.FILTER([1]加工記録２!$O$3:$P$445, [1]加工記録２!$T$3:$T$445=B176), 7)),"")</f>
        <v>水野</v>
      </c>
      <c r="J216" s="64">
        <v>3</v>
      </c>
      <c r="K216" s="30"/>
    </row>
    <row r="217" spans="1:14" s="5" customFormat="1" ht="18" customHeight="1" thickBot="1">
      <c r="A217" s="114"/>
      <c r="B217" s="116"/>
      <c r="C217" s="118"/>
      <c r="D217" s="185"/>
      <c r="E217" s="186"/>
      <c r="F217" s="187"/>
      <c r="G217" s="188"/>
      <c r="H217" s="189" t="s">
        <v>107</v>
      </c>
      <c r="I217" s="28" t="str" cm="1">
        <f t="array" ref="I217:J217">IFERROR(IF(ISBLANK(INDEX(_xlfn._xlws.FILTER([1]加工記録２!$O$3:$P$445, [1]加工記録２!$T$3:$T$445=B176), 8)), "", INDEX(_xlfn._xlws.FILTER([1]加工記録２!$O$3:$P$445, [1]加工記録２!$T$3:$T$445=B176), 8)),"")</f>
        <v>高森</v>
      </c>
      <c r="J217" s="190">
        <v>25</v>
      </c>
    </row>
    <row r="218" spans="1:14" s="36" customFormat="1" ht="18.95" customHeight="1">
      <c r="A218" s="31" t="s">
        <v>89</v>
      </c>
      <c r="B218" s="32" t="s">
        <v>90</v>
      </c>
      <c r="C218" s="33" t="s">
        <v>91</v>
      </c>
      <c r="D218" s="33" t="s">
        <v>92</v>
      </c>
      <c r="E218" s="34" t="s">
        <v>93</v>
      </c>
      <c r="F218" s="65" t="s">
        <v>94</v>
      </c>
      <c r="G218" s="56" t="s">
        <v>111</v>
      </c>
      <c r="H218" s="57" t="s">
        <v>112</v>
      </c>
      <c r="I218" s="66" t="s">
        <v>97</v>
      </c>
      <c r="J218" s="67" t="s">
        <v>98</v>
      </c>
      <c r="K218" s="35"/>
      <c r="L218" s="35"/>
      <c r="M218" s="35"/>
      <c r="N218" s="35"/>
    </row>
    <row r="219" spans="1:14" s="54" customFormat="1" ht="18.95" customHeight="1">
      <c r="A219" s="42" cm="1">
        <f t="array" ref="A219:J219">IFERROR(IF(ISBLANK(INDEX(_xlfn._xlws.FILTER([1]加工記録２!$D$3:$M$445, [1]加工記録２!$T$3:$T$445=B176), 1)), "", INDEX(_xlfn._xlws.FILTER([1]加工記録２!$D$3:$M$445, [1]加工記録２!$T$3:$T$445=B176), 1)),"")</f>
        <v>45798</v>
      </c>
      <c r="B219" s="37" t="str">
        <v>25E14-06</v>
      </c>
      <c r="C219" s="38" t="str">
        <v/>
      </c>
      <c r="D219" s="38" t="str">
        <v/>
      </c>
      <c r="E219" s="39" t="str">
        <v/>
      </c>
      <c r="F219" s="45" t="str">
        <v>25E14-06</v>
      </c>
      <c r="G219" s="43">
        <v>16</v>
      </c>
      <c r="H219" s="46">
        <v>8</v>
      </c>
      <c r="I219" s="40">
        <v>45818</v>
      </c>
      <c r="J219" s="41">
        <v>4</v>
      </c>
      <c r="K219" s="53"/>
      <c r="L219" s="53"/>
      <c r="M219" s="53"/>
      <c r="N219" s="53"/>
    </row>
    <row r="220" spans="1:14" s="54" customFormat="1" ht="18.95" customHeight="1">
      <c r="A220" s="42" cm="1">
        <f t="array" ref="A220:J220">IFERROR(IF(ISBLANK(INDEX(_xlfn._xlws.FILTER([1]加工記録２!$D$3:$M$445, [1]加工記録２!$T$3:$T$445=B176), 2)), "", INDEX(_xlfn._xlws.FILTER([1]加工記録２!$D$3:$M$445, [1]加工記録２!$T$3:$T$445=B176), 2)),"")</f>
        <v>45818</v>
      </c>
      <c r="B220" s="43" t="str">
        <v>25E27-09</v>
      </c>
      <c r="C220" s="43">
        <v>22</v>
      </c>
      <c r="D220" s="43">
        <v>888.12</v>
      </c>
      <c r="E220" s="44">
        <v>888.28</v>
      </c>
      <c r="F220" s="45" t="str">
        <v>25E27-09</v>
      </c>
      <c r="G220" s="43">
        <v>296</v>
      </c>
      <c r="H220" s="46">
        <v>148</v>
      </c>
      <c r="I220" s="40">
        <v>45819</v>
      </c>
      <c r="J220" s="41">
        <v>15</v>
      </c>
      <c r="K220" s="53"/>
      <c r="L220" s="53"/>
      <c r="M220" s="53"/>
      <c r="N220" s="53"/>
    </row>
    <row r="221" spans="1:14" s="54" customFormat="1" ht="18.95" customHeight="1">
      <c r="A221" s="42" cm="1">
        <f t="array" ref="A221:J221">IFERROR(IF(ISBLANK(INDEX(_xlfn._xlws.FILTER([1]加工記録２!$D$3:$M$445, [1]加工記録２!$T$3:$T$445=B176), 3)), "", INDEX(_xlfn._xlws.FILTER([1]加工記録２!$D$3:$M$445, [1]加工記録２!$T$3:$T$445=B176), 3)),"")</f>
        <v>45818</v>
      </c>
      <c r="B221" s="43" t="str">
        <v>25E14-07</v>
      </c>
      <c r="C221" s="43">
        <v>24</v>
      </c>
      <c r="D221" s="43">
        <v>888.23</v>
      </c>
      <c r="E221" s="44">
        <v>888.44</v>
      </c>
      <c r="F221" s="45" t="str">
        <v>25E14-07</v>
      </c>
      <c r="G221" s="43">
        <v>1000</v>
      </c>
      <c r="H221" s="46">
        <v>500</v>
      </c>
      <c r="I221" s="40">
        <v>45820</v>
      </c>
      <c r="J221" s="41">
        <v>1</v>
      </c>
      <c r="K221" s="53"/>
      <c r="L221" s="53"/>
      <c r="M221" s="53"/>
      <c r="N221" s="53"/>
    </row>
    <row r="222" spans="1:14" s="54" customFormat="1" ht="18.95" customHeight="1">
      <c r="A222" s="42" cm="1">
        <f t="array" ref="A222:J222">IFERROR(IF(ISBLANK(INDEX(_xlfn._xlws.FILTER([1]加工記録２!$D$3:$M$445, [1]加工記録２!$T$3:$T$445=B176), 4)), "", INDEX(_xlfn._xlws.FILTER([1]加工記録２!$D$3:$M$445, [1]加工記録２!$T$3:$T$445=B176), 4)),"")</f>
        <v>45818</v>
      </c>
      <c r="B222" s="43" t="str">
        <v>25E14-07</v>
      </c>
      <c r="C222" s="43">
        <v>24</v>
      </c>
      <c r="D222" s="43">
        <v>888.23</v>
      </c>
      <c r="E222" s="44">
        <v>888.49</v>
      </c>
      <c r="F222" s="45" t="str">
        <v>25E27-08</v>
      </c>
      <c r="G222" s="43">
        <v>714</v>
      </c>
      <c r="H222" s="46">
        <v>357</v>
      </c>
      <c r="I222" s="40" t="str">
        <v/>
      </c>
      <c r="J222" s="41" t="str">
        <v/>
      </c>
      <c r="K222" s="53"/>
      <c r="L222" s="53"/>
      <c r="M222" s="53"/>
      <c r="N222" s="53"/>
    </row>
    <row r="223" spans="1:14" s="54" customFormat="1" ht="18.95" customHeight="1">
      <c r="A223" s="42" cm="1">
        <f t="array" ref="A223:J223">IFERROR(IF(ISBLANK(INDEX(_xlfn._xlws.FILTER([1]加工記録２!$D$3:$M$445, [1]加工記録２!$T$3:$T$445=B176), 5)), "", INDEX(_xlfn._xlws.FILTER([1]加工記録２!$D$3:$M$445, [1]加工記録２!$T$3:$T$445=B176), 5)),"")</f>
        <v>45818</v>
      </c>
      <c r="B223" s="43" t="str">
        <v>25E14-07</v>
      </c>
      <c r="C223" s="43">
        <v>24</v>
      </c>
      <c r="D223" s="43">
        <v>888.23</v>
      </c>
      <c r="E223" s="44">
        <v>888.63</v>
      </c>
      <c r="F223" s="45" t="str">
        <v/>
      </c>
      <c r="G223" s="43" t="str">
        <v/>
      </c>
      <c r="H223" s="46" t="str">
        <v/>
      </c>
      <c r="I223" s="68" t="str">
        <v/>
      </c>
      <c r="J223" s="69" t="str">
        <v/>
      </c>
      <c r="K223" s="53"/>
      <c r="L223" s="53"/>
      <c r="M223" s="53"/>
      <c r="N223" s="53"/>
    </row>
    <row r="224" spans="1:14" s="54" customFormat="1" ht="18.95" customHeight="1">
      <c r="A224" s="42" cm="1">
        <f t="array" ref="A224:J224">IFERROR(IF(ISBLANK(INDEX(_xlfn._xlws.FILTER([1]加工記録２!$D$3:$M$445, [1]加工記録２!$T$3:$T$445=B176), 6)), "", INDEX(_xlfn._xlws.FILTER([1]加工記録２!$D$3:$M$445, [1]加工記録２!$T$3:$T$445=B176), 6)),"")</f>
        <v>45819</v>
      </c>
      <c r="B224" s="43" t="str">
        <v>25E27-08</v>
      </c>
      <c r="C224" s="43">
        <v>22</v>
      </c>
      <c r="D224" s="43">
        <v>888.12</v>
      </c>
      <c r="E224" s="44">
        <v>888.34</v>
      </c>
      <c r="F224" s="45" t="str">
        <v/>
      </c>
      <c r="G224" s="43" t="str">
        <v/>
      </c>
      <c r="H224" s="70" t="str">
        <v/>
      </c>
      <c r="I224" s="68" t="str">
        <v/>
      </c>
      <c r="J224" s="69" t="str">
        <v/>
      </c>
      <c r="K224" s="53"/>
      <c r="L224" s="53"/>
      <c r="M224" s="53"/>
      <c r="N224" s="53"/>
    </row>
    <row r="225" spans="1:14" s="54" customFormat="1" ht="18.95" customHeight="1">
      <c r="A225" s="42" cm="1">
        <f t="array" ref="A225:J225">IFERROR(IF(ISBLANK(INDEX(_xlfn._xlws.FILTER([1]加工記録２!$D$3:$M$445, [1]加工記録２!$T$3:$T$445=B176), 7)), "", INDEX(_xlfn._xlws.FILTER([1]加工記録２!$D$3:$M$445, [1]加工記録２!$T$3:$T$445=B176), 7)),"")</f>
        <v>45819</v>
      </c>
      <c r="B225" s="43" t="str">
        <v>25E27-08</v>
      </c>
      <c r="C225" s="43">
        <v>24</v>
      </c>
      <c r="D225" s="43">
        <v>888.23</v>
      </c>
      <c r="E225" s="44">
        <v>888.43</v>
      </c>
      <c r="F225" s="45" t="str">
        <v/>
      </c>
      <c r="G225" s="43" t="str">
        <v/>
      </c>
      <c r="H225" s="70" t="str">
        <v/>
      </c>
      <c r="I225" s="68" t="str">
        <v/>
      </c>
      <c r="J225" s="69" t="str">
        <v/>
      </c>
      <c r="K225" s="53"/>
      <c r="L225" s="53"/>
      <c r="M225" s="53"/>
      <c r="N225" s="53"/>
    </row>
    <row r="226" spans="1:14" s="54" customFormat="1" ht="18.95" customHeight="1" thickBot="1">
      <c r="A226" s="47" t="str" cm="1">
        <f t="array" ref="A226:J226">IFERROR(IF(ISBLANK(INDEX(_xlfn._xlws.FILTER([1]加工記録２!$D$3:$M$445, [1]加工記録２!$T$3:$T$445=B176), 8)), "", INDEX(_xlfn._xlws.FILTER([1]加工記録２!$D$3:$M$445, [1]加工記録２!$T$3:$T$445=B176), 8)),"")</f>
        <v/>
      </c>
      <c r="B226" s="48" t="str">
        <v/>
      </c>
      <c r="C226" s="48" t="str">
        <v/>
      </c>
      <c r="D226" s="48" t="str">
        <v/>
      </c>
      <c r="E226" s="49" t="str">
        <v/>
      </c>
      <c r="F226" s="78" t="str">
        <v>合計</v>
      </c>
      <c r="G226" s="79">
        <v>2026</v>
      </c>
      <c r="H226" s="80">
        <v>1013</v>
      </c>
      <c r="I226" s="81" t="str">
        <v>合計</v>
      </c>
      <c r="J226" s="82">
        <v>20</v>
      </c>
      <c r="K226" s="53"/>
      <c r="L226" s="53"/>
      <c r="M226" s="53"/>
      <c r="N226" s="53"/>
    </row>
    <row r="227" spans="1:14" ht="13.5" customHeight="1" thickBo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</row>
    <row r="228" spans="1:14" ht="6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</sheetData>
  <mergeCells count="428">
    <mergeCell ref="E5:E6"/>
    <mergeCell ref="G67:G68"/>
    <mergeCell ref="I61:I62"/>
    <mergeCell ref="G69:G70"/>
    <mergeCell ref="F7:G7"/>
    <mergeCell ref="C151:E151"/>
    <mergeCell ref="C147:E147"/>
    <mergeCell ref="F20:H20"/>
    <mergeCell ref="A60:A61"/>
    <mergeCell ref="H67:J68"/>
    <mergeCell ref="C26:D26"/>
    <mergeCell ref="E60:E61"/>
    <mergeCell ref="F26:J26"/>
    <mergeCell ref="A32:B32"/>
    <mergeCell ref="B5:B6"/>
    <mergeCell ref="B60:B61"/>
    <mergeCell ref="F77:H77"/>
    <mergeCell ref="C145:E145"/>
    <mergeCell ref="D117:D118"/>
    <mergeCell ref="F149:J149"/>
    <mergeCell ref="A91:B91"/>
    <mergeCell ref="I148:J148"/>
    <mergeCell ref="I82:J82"/>
    <mergeCell ref="C75:D75"/>
    <mergeCell ref="G144:H144"/>
    <mergeCell ref="A147:B147"/>
    <mergeCell ref="C3:C4"/>
    <mergeCell ref="E3:E4"/>
    <mergeCell ref="I19:J19"/>
    <mergeCell ref="F94:J94"/>
    <mergeCell ref="G93:H93"/>
    <mergeCell ref="E119:E120"/>
    <mergeCell ref="F83:J83"/>
    <mergeCell ref="C146:E146"/>
    <mergeCell ref="C30:E30"/>
    <mergeCell ref="G28:H28"/>
    <mergeCell ref="I28:J28"/>
    <mergeCell ref="G30:H30"/>
    <mergeCell ref="C29:E29"/>
    <mergeCell ref="C31:E31"/>
    <mergeCell ref="A38:D38"/>
    <mergeCell ref="A39:D40"/>
    <mergeCell ref="I4:I5"/>
    <mergeCell ref="A7:A8"/>
    <mergeCell ref="A25:B25"/>
    <mergeCell ref="I16:J16"/>
    <mergeCell ref="F16:H16"/>
    <mergeCell ref="B7:B8"/>
    <mergeCell ref="A88:B88"/>
    <mergeCell ref="I76:J76"/>
    <mergeCell ref="A90:B90"/>
    <mergeCell ref="H124:J125"/>
    <mergeCell ref="A33:B33"/>
    <mergeCell ref="F137:H137"/>
    <mergeCell ref="B100:B101"/>
    <mergeCell ref="C100:C101"/>
    <mergeCell ref="D100:D101"/>
    <mergeCell ref="C92:E92"/>
    <mergeCell ref="I79:J79"/>
    <mergeCell ref="C137:D137"/>
    <mergeCell ref="A34:B34"/>
    <mergeCell ref="E38:G38"/>
    <mergeCell ref="F37:J37"/>
    <mergeCell ref="F76:H76"/>
    <mergeCell ref="F75:H75"/>
    <mergeCell ref="A94:B94"/>
    <mergeCell ref="F123:G123"/>
    <mergeCell ref="C78:D78"/>
    <mergeCell ref="I137:J137"/>
    <mergeCell ref="B62:B63"/>
    <mergeCell ref="A126:C127"/>
    <mergeCell ref="A93:B93"/>
    <mergeCell ref="A28:B28"/>
    <mergeCell ref="D60:D61"/>
    <mergeCell ref="C77:D77"/>
    <mergeCell ref="F117:H118"/>
    <mergeCell ref="F79:H79"/>
    <mergeCell ref="I135:J135"/>
    <mergeCell ref="F31:J31"/>
    <mergeCell ref="C34:E34"/>
    <mergeCell ref="A69:C70"/>
    <mergeCell ref="C91:E91"/>
    <mergeCell ref="G89:H89"/>
    <mergeCell ref="C73:D73"/>
    <mergeCell ref="F60:H61"/>
    <mergeCell ref="C79:D79"/>
    <mergeCell ref="B64:B65"/>
    <mergeCell ref="A64:A65"/>
    <mergeCell ref="C76:D76"/>
    <mergeCell ref="F80:H80"/>
    <mergeCell ref="I134:J134"/>
    <mergeCell ref="F135:H135"/>
    <mergeCell ref="E102:G103"/>
    <mergeCell ref="F90:J90"/>
    <mergeCell ref="F73:H73"/>
    <mergeCell ref="C94:E94"/>
    <mergeCell ref="I18:J18"/>
    <mergeCell ref="G34:H34"/>
    <mergeCell ref="F78:H78"/>
    <mergeCell ref="F92:J92"/>
    <mergeCell ref="G91:H91"/>
    <mergeCell ref="G124:G125"/>
    <mergeCell ref="C82:E82"/>
    <mergeCell ref="I130:J130"/>
    <mergeCell ref="C35:E35"/>
    <mergeCell ref="F64:G64"/>
    <mergeCell ref="I118:I119"/>
    <mergeCell ref="H126:H127"/>
    <mergeCell ref="I78:J78"/>
    <mergeCell ref="I25:J25"/>
    <mergeCell ref="I32:J32"/>
    <mergeCell ref="C28:E28"/>
    <mergeCell ref="C36:E36"/>
    <mergeCell ref="C19:D19"/>
    <mergeCell ref="F62:H63"/>
    <mergeCell ref="C89:E89"/>
    <mergeCell ref="C83:D83"/>
    <mergeCell ref="I69:J70"/>
    <mergeCell ref="C88:E88"/>
    <mergeCell ref="E100:G101"/>
    <mergeCell ref="I91:J91"/>
    <mergeCell ref="F134:H134"/>
    <mergeCell ref="I85:J85"/>
    <mergeCell ref="A202:B202"/>
    <mergeCell ref="F133:H133"/>
    <mergeCell ref="A100:A101"/>
    <mergeCell ref="C194:D194"/>
    <mergeCell ref="I150:J150"/>
    <mergeCell ref="A144:B144"/>
    <mergeCell ref="I175:I176"/>
    <mergeCell ref="A151:B151"/>
    <mergeCell ref="A150:B150"/>
    <mergeCell ref="B172:D173"/>
    <mergeCell ref="A196:B196"/>
    <mergeCell ref="A178:A179"/>
    <mergeCell ref="F151:J151"/>
    <mergeCell ref="C85:E85"/>
    <mergeCell ref="C192:D192"/>
    <mergeCell ref="I183:J184"/>
    <mergeCell ref="G148:H148"/>
    <mergeCell ref="G139:H139"/>
    <mergeCell ref="I133:J133"/>
    <mergeCell ref="A149:B149"/>
    <mergeCell ref="C142:E142"/>
    <mergeCell ref="D3:D4"/>
    <mergeCell ref="F35:J35"/>
    <mergeCell ref="C60:C61"/>
    <mergeCell ref="H12:H13"/>
    <mergeCell ref="C132:D132"/>
    <mergeCell ref="C33:E33"/>
    <mergeCell ref="G142:H142"/>
    <mergeCell ref="I142:J142"/>
    <mergeCell ref="I12:J13"/>
    <mergeCell ref="F23:H23"/>
    <mergeCell ref="C20:D20"/>
    <mergeCell ref="C133:D133"/>
    <mergeCell ref="C22:D22"/>
    <mergeCell ref="G25:H25"/>
    <mergeCell ref="C32:E32"/>
    <mergeCell ref="G32:H32"/>
    <mergeCell ref="I22:J22"/>
    <mergeCell ref="E62:E63"/>
    <mergeCell ref="F86:J86"/>
    <mergeCell ref="I75:J75"/>
    <mergeCell ref="A15:J15"/>
    <mergeCell ref="C87:E87"/>
    <mergeCell ref="C136:D136"/>
    <mergeCell ref="F88:J88"/>
    <mergeCell ref="B1:D2"/>
    <mergeCell ref="I20:J20"/>
    <mergeCell ref="G85:H85"/>
    <mergeCell ref="C206:E206"/>
    <mergeCell ref="A117:A118"/>
    <mergeCell ref="C143:E143"/>
    <mergeCell ref="A119:A120"/>
    <mergeCell ref="F147:J147"/>
    <mergeCell ref="B3:B4"/>
    <mergeCell ref="I80:J80"/>
    <mergeCell ref="A87:B87"/>
    <mergeCell ref="I144:J144"/>
    <mergeCell ref="H69:H70"/>
    <mergeCell ref="J61:J62"/>
    <mergeCell ref="B58:D59"/>
    <mergeCell ref="F140:J140"/>
    <mergeCell ref="I34:J34"/>
    <mergeCell ref="D174:D175"/>
    <mergeCell ref="C93:E93"/>
    <mergeCell ref="G36:H36"/>
    <mergeCell ref="I36:J36"/>
    <mergeCell ref="F143:J143"/>
    <mergeCell ref="F119:H120"/>
    <mergeCell ref="A3:A4"/>
    <mergeCell ref="F3:H4"/>
    <mergeCell ref="A89:B89"/>
    <mergeCell ref="F9:G9"/>
    <mergeCell ref="F29:J29"/>
    <mergeCell ref="I136:J136"/>
    <mergeCell ref="B117:B118"/>
    <mergeCell ref="B115:D116"/>
    <mergeCell ref="C134:D134"/>
    <mergeCell ref="B119:B120"/>
    <mergeCell ref="F136:H136"/>
    <mergeCell ref="F5:H6"/>
    <mergeCell ref="I21:J21"/>
    <mergeCell ref="C21:D21"/>
    <mergeCell ref="I23:J23"/>
    <mergeCell ref="C23:D23"/>
    <mergeCell ref="C16:D16"/>
    <mergeCell ref="G10:G11"/>
    <mergeCell ref="J4:J5"/>
    <mergeCell ref="B121:B122"/>
    <mergeCell ref="C37:E37"/>
    <mergeCell ref="A5:A6"/>
    <mergeCell ref="A86:B86"/>
    <mergeCell ref="A12:C13"/>
    <mergeCell ref="F19:H19"/>
    <mergeCell ref="H10:J11"/>
    <mergeCell ref="A82:B82"/>
    <mergeCell ref="I139:J139"/>
    <mergeCell ref="I93:J93"/>
    <mergeCell ref="A92:B92"/>
    <mergeCell ref="E98:G99"/>
    <mergeCell ref="C90:E90"/>
    <mergeCell ref="G12:G13"/>
    <mergeCell ref="I30:J30"/>
    <mergeCell ref="F18:H18"/>
    <mergeCell ref="F22:H22"/>
    <mergeCell ref="F33:J33"/>
    <mergeCell ref="F121:G121"/>
    <mergeCell ref="A129:J129"/>
    <mergeCell ref="I89:J89"/>
    <mergeCell ref="A139:B139"/>
    <mergeCell ref="I73:J73"/>
    <mergeCell ref="C130:D130"/>
    <mergeCell ref="C139:E139"/>
    <mergeCell ref="G82:H82"/>
    <mergeCell ref="A85:B85"/>
    <mergeCell ref="I77:J77"/>
    <mergeCell ref="F132:H132"/>
    <mergeCell ref="I132:J132"/>
    <mergeCell ref="F190:H190"/>
    <mergeCell ref="F204:J204"/>
    <mergeCell ref="I187:J187"/>
    <mergeCell ref="G199:H199"/>
    <mergeCell ref="E176:E177"/>
    <mergeCell ref="F180:G180"/>
    <mergeCell ref="I193:J193"/>
    <mergeCell ref="G183:G184"/>
    <mergeCell ref="C202:E202"/>
    <mergeCell ref="F193:H193"/>
    <mergeCell ref="F176:H177"/>
    <mergeCell ref="A183:C184"/>
    <mergeCell ref="F187:H187"/>
    <mergeCell ref="F178:G178"/>
    <mergeCell ref="I189:J189"/>
    <mergeCell ref="C187:D187"/>
    <mergeCell ref="F191:H191"/>
    <mergeCell ref="C190:D190"/>
    <mergeCell ref="I190:J190"/>
    <mergeCell ref="H183:H184"/>
    <mergeCell ref="C189:D189"/>
    <mergeCell ref="C98:C99"/>
    <mergeCell ref="D98:D99"/>
    <mergeCell ref="I126:J127"/>
    <mergeCell ref="G181:G182"/>
    <mergeCell ref="J175:J176"/>
    <mergeCell ref="I146:J146"/>
    <mergeCell ref="G150:H150"/>
    <mergeCell ref="A186:J186"/>
    <mergeCell ref="F130:H130"/>
    <mergeCell ref="A143:B143"/>
    <mergeCell ref="A142:B142"/>
    <mergeCell ref="A157:A158"/>
    <mergeCell ref="B157:B158"/>
    <mergeCell ref="A102:A103"/>
    <mergeCell ref="B102:B103"/>
    <mergeCell ref="C144:E144"/>
    <mergeCell ref="E117:E118"/>
    <mergeCell ref="A121:A122"/>
    <mergeCell ref="A98:A99"/>
    <mergeCell ref="B98:B99"/>
    <mergeCell ref="F174:H175"/>
    <mergeCell ref="C148:E148"/>
    <mergeCell ref="C149:E149"/>
    <mergeCell ref="I196:J196"/>
    <mergeCell ref="G126:G127"/>
    <mergeCell ref="C80:D80"/>
    <mergeCell ref="G87:H87"/>
    <mergeCell ref="I87:J87"/>
    <mergeCell ref="J118:J119"/>
    <mergeCell ref="C86:E86"/>
    <mergeCell ref="F192:H192"/>
    <mergeCell ref="C196:E196"/>
    <mergeCell ref="F194:H194"/>
    <mergeCell ref="F189:H189"/>
    <mergeCell ref="C191:D191"/>
    <mergeCell ref="F145:J145"/>
    <mergeCell ref="G146:H146"/>
    <mergeCell ref="I191:J191"/>
    <mergeCell ref="C157:C158"/>
    <mergeCell ref="D157:D158"/>
    <mergeCell ref="C102:C103"/>
    <mergeCell ref="D102:D103"/>
    <mergeCell ref="A152:D152"/>
    <mergeCell ref="A153:D154"/>
    <mergeCell ref="C135:D135"/>
    <mergeCell ref="C117:C118"/>
    <mergeCell ref="C150:E150"/>
    <mergeCell ref="C18:D18"/>
    <mergeCell ref="A72:J72"/>
    <mergeCell ref="A45:A46"/>
    <mergeCell ref="B45:B46"/>
    <mergeCell ref="C45:C46"/>
    <mergeCell ref="D45:D46"/>
    <mergeCell ref="A35:B35"/>
    <mergeCell ref="A29:B29"/>
    <mergeCell ref="A31:B31"/>
    <mergeCell ref="A37:B37"/>
    <mergeCell ref="A41:A42"/>
    <mergeCell ref="B41:B42"/>
    <mergeCell ref="C41:C42"/>
    <mergeCell ref="D41:D42"/>
    <mergeCell ref="A43:A44"/>
    <mergeCell ref="B43:B44"/>
    <mergeCell ref="C43:C44"/>
    <mergeCell ref="D43:D44"/>
    <mergeCell ref="A30:B30"/>
    <mergeCell ref="A36:B36"/>
    <mergeCell ref="F66:G66"/>
    <mergeCell ref="F21:H21"/>
    <mergeCell ref="C25:E25"/>
    <mergeCell ref="A62:A63"/>
    <mergeCell ref="A216:A217"/>
    <mergeCell ref="B216:B217"/>
    <mergeCell ref="C216:C217"/>
    <mergeCell ref="D216:D217"/>
    <mergeCell ref="A212:A213"/>
    <mergeCell ref="B212:B213"/>
    <mergeCell ref="C212:C213"/>
    <mergeCell ref="D212:D213"/>
    <mergeCell ref="A214:A215"/>
    <mergeCell ref="B214:B215"/>
    <mergeCell ref="C214:C215"/>
    <mergeCell ref="D214:D215"/>
    <mergeCell ref="A210:D211"/>
    <mergeCell ref="A204:B204"/>
    <mergeCell ref="A206:B206"/>
    <mergeCell ref="A95:D95"/>
    <mergeCell ref="A96:D97"/>
    <mergeCell ref="A155:A156"/>
    <mergeCell ref="B155:B156"/>
    <mergeCell ref="C155:C156"/>
    <mergeCell ref="D155:D156"/>
    <mergeCell ref="C199:E199"/>
    <mergeCell ref="C207:E207"/>
    <mergeCell ref="A146:B146"/>
    <mergeCell ref="C140:D140"/>
    <mergeCell ref="A145:B145"/>
    <mergeCell ref="A148:B148"/>
    <mergeCell ref="E209:F209"/>
    <mergeCell ref="E152:F152"/>
    <mergeCell ref="G196:H196"/>
    <mergeCell ref="G207:H207"/>
    <mergeCell ref="A208:B208"/>
    <mergeCell ref="A203:B203"/>
    <mergeCell ref="C193:D193"/>
    <mergeCell ref="G205:H205"/>
    <mergeCell ref="A209:D209"/>
    <mergeCell ref="A159:A160"/>
    <mergeCell ref="B159:B160"/>
    <mergeCell ref="C159:C160"/>
    <mergeCell ref="D159:D160"/>
    <mergeCell ref="C200:E200"/>
    <mergeCell ref="A176:A177"/>
    <mergeCell ref="B176:B177"/>
    <mergeCell ref="B178:B179"/>
    <mergeCell ref="B174:B175"/>
    <mergeCell ref="F197:J197"/>
    <mergeCell ref="I192:J192"/>
    <mergeCell ref="A199:B199"/>
    <mergeCell ref="A174:A175"/>
    <mergeCell ref="C174:C175"/>
    <mergeCell ref="E174:E175"/>
    <mergeCell ref="H181:J182"/>
    <mergeCell ref="F200:J200"/>
    <mergeCell ref="F208:J208"/>
    <mergeCell ref="C197:D197"/>
    <mergeCell ref="C203:E203"/>
    <mergeCell ref="G203:H203"/>
    <mergeCell ref="A207:B207"/>
    <mergeCell ref="A205:B205"/>
    <mergeCell ref="C208:E208"/>
    <mergeCell ref="A200:B200"/>
    <mergeCell ref="C204:E204"/>
    <mergeCell ref="F206:J206"/>
    <mergeCell ref="F202:J202"/>
    <mergeCell ref="A201:B201"/>
    <mergeCell ref="C205:E205"/>
    <mergeCell ref="I199:J199"/>
    <mergeCell ref="C201:E201"/>
    <mergeCell ref="I207:J207"/>
    <mergeCell ref="G201:H201"/>
    <mergeCell ref="I201:J201"/>
    <mergeCell ref="I203:J203"/>
    <mergeCell ref="I205:J205"/>
    <mergeCell ref="E212:G213"/>
    <mergeCell ref="E214:G215"/>
    <mergeCell ref="E216:G217"/>
    <mergeCell ref="H209:I209"/>
    <mergeCell ref="H152:I152"/>
    <mergeCell ref="H95:I95"/>
    <mergeCell ref="H38:I38"/>
    <mergeCell ref="E153:F154"/>
    <mergeCell ref="G153:G154"/>
    <mergeCell ref="E155:G156"/>
    <mergeCell ref="E157:G158"/>
    <mergeCell ref="E159:G160"/>
    <mergeCell ref="E210:F211"/>
    <mergeCell ref="G210:G211"/>
    <mergeCell ref="E39:F40"/>
    <mergeCell ref="G39:G40"/>
    <mergeCell ref="E41:G42"/>
    <mergeCell ref="E43:G44"/>
    <mergeCell ref="E45:G46"/>
    <mergeCell ref="E95:G95"/>
    <mergeCell ref="E96:F97"/>
    <mergeCell ref="G96:G97"/>
    <mergeCell ref="I194:J194"/>
  </mergeCells>
  <phoneticPr fontId="2"/>
  <conditionalFormatting sqref="D50:D55">
    <cfRule type="cellIs" dxfId="9" priority="5" operator="equal">
      <formula>$D$49</formula>
    </cfRule>
  </conditionalFormatting>
  <conditionalFormatting sqref="D107:D112">
    <cfRule type="cellIs" dxfId="8" priority="6" operator="equal">
      <formula>$D$49</formula>
    </cfRule>
  </conditionalFormatting>
  <conditionalFormatting sqref="D221:D226">
    <cfRule type="cellIs" dxfId="2" priority="2" operator="equal">
      <formula>$D220</formula>
    </cfRule>
  </conditionalFormatting>
  <conditionalFormatting sqref="D164:D169">
    <cfRule type="cellIs" dxfId="0" priority="1" operator="equal">
      <formula>$D163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  <rowBreaks count="3" manualBreakCount="3">
    <brk id="57" max="16383" man="1"/>
    <brk id="114" max="16383" man="1"/>
    <brk id="171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teppei tomita</cp:lastModifiedBy>
  <cp:lastPrinted>2024-07-22T04:35:10Z</cp:lastPrinted>
  <dcterms:created xsi:type="dcterms:W3CDTF">2024-07-11T02:08:33Z</dcterms:created>
  <dcterms:modified xsi:type="dcterms:W3CDTF">2025-06-13T05:27:54Z</dcterms:modified>
</cp:coreProperties>
</file>