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黒部工業－ＰＣ\Desktop\樹脂指示書\"/>
    </mc:Choice>
  </mc:AlternateContent>
  <xr:revisionPtr revIDLastSave="0" documentId="13_ncr:1_{C5F7547B-447A-489D-9891-3E162AC3BC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97" i="1" l="1"/>
  <c r="I397" i="1"/>
  <c r="H397" i="1"/>
  <c r="G397" i="1"/>
  <c r="E397" i="1"/>
  <c r="C397" i="1"/>
  <c r="B397" i="1"/>
  <c r="J396" i="1"/>
  <c r="I396" i="1"/>
  <c r="H396" i="1"/>
  <c r="G396" i="1" s="1"/>
  <c r="E396" i="1"/>
  <c r="C396" i="1"/>
  <c r="B396" i="1"/>
  <c r="J395" i="1"/>
  <c r="I395" i="1"/>
  <c r="I381" i="1" s="1"/>
  <c r="H395" i="1"/>
  <c r="G395" i="1" s="1"/>
  <c r="E395" i="1"/>
  <c r="C395" i="1"/>
  <c r="B395" i="1"/>
  <c r="J394" i="1"/>
  <c r="I394" i="1"/>
  <c r="H394" i="1"/>
  <c r="G394" i="1" s="1"/>
  <c r="E394" i="1"/>
  <c r="C394" i="1"/>
  <c r="B394" i="1"/>
  <c r="J393" i="1"/>
  <c r="I393" i="1"/>
  <c r="H393" i="1"/>
  <c r="G393" i="1"/>
  <c r="E393" i="1"/>
  <c r="C393" i="1"/>
  <c r="B393" i="1"/>
  <c r="H392" i="1"/>
  <c r="G392" i="1" s="1"/>
  <c r="E392" i="1"/>
  <c r="C392" i="1"/>
  <c r="D392" i="1" s="1"/>
  <c r="B392" i="1"/>
  <c r="H391" i="1"/>
  <c r="G391" i="1"/>
  <c r="E391" i="1"/>
  <c r="C391" i="1"/>
  <c r="B391" i="1"/>
  <c r="J390" i="1"/>
  <c r="I390" i="1"/>
  <c r="H390" i="1"/>
  <c r="G390" i="1" s="1"/>
  <c r="B390" i="1"/>
  <c r="J387" i="1"/>
  <c r="I387" i="1"/>
  <c r="H387" i="1"/>
  <c r="E387" i="1"/>
  <c r="D387" i="1"/>
  <c r="H386" i="1"/>
  <c r="H385" i="1"/>
  <c r="E385" i="1"/>
  <c r="D385" i="1"/>
  <c r="B385" i="1"/>
  <c r="J384" i="1"/>
  <c r="I384" i="1"/>
  <c r="H384" i="1"/>
  <c r="E384" i="1"/>
  <c r="H383" i="1"/>
  <c r="D383" i="1"/>
  <c r="B383" i="1"/>
  <c r="H382" i="1"/>
  <c r="J381" i="1"/>
  <c r="A397" i="1" s="1"/>
  <c r="H381" i="1"/>
  <c r="H388" i="1" s="1"/>
  <c r="A381" i="1"/>
  <c r="J340" i="1"/>
  <c r="I340" i="1"/>
  <c r="H340" i="1"/>
  <c r="E340" i="1"/>
  <c r="C340" i="1"/>
  <c r="B340" i="1"/>
  <c r="J339" i="1"/>
  <c r="I339" i="1"/>
  <c r="H339" i="1"/>
  <c r="G339" i="1" s="1"/>
  <c r="E339" i="1"/>
  <c r="C339" i="1"/>
  <c r="B339" i="1"/>
  <c r="J338" i="1"/>
  <c r="I338" i="1"/>
  <c r="I324" i="1" s="1"/>
  <c r="H338" i="1"/>
  <c r="G338" i="1" s="1"/>
  <c r="E338" i="1"/>
  <c r="C338" i="1"/>
  <c r="B338" i="1"/>
  <c r="J337" i="1"/>
  <c r="I337" i="1"/>
  <c r="H337" i="1"/>
  <c r="G337" i="1" s="1"/>
  <c r="E337" i="1"/>
  <c r="C337" i="1"/>
  <c r="B337" i="1"/>
  <c r="A337" i="1"/>
  <c r="J336" i="1"/>
  <c r="I336" i="1"/>
  <c r="H336" i="1"/>
  <c r="G336" i="1"/>
  <c r="E336" i="1"/>
  <c r="C336" i="1"/>
  <c r="D336" i="1" s="1"/>
  <c r="B336" i="1"/>
  <c r="A336" i="1"/>
  <c r="H335" i="1"/>
  <c r="E335" i="1"/>
  <c r="C335" i="1"/>
  <c r="B335" i="1"/>
  <c r="A335" i="1"/>
  <c r="H334" i="1"/>
  <c r="G334" i="1" s="1"/>
  <c r="E334" i="1"/>
  <c r="C334" i="1"/>
  <c r="B334" i="1"/>
  <c r="J333" i="1"/>
  <c r="I333" i="1"/>
  <c r="H333" i="1"/>
  <c r="G333" i="1" s="1"/>
  <c r="B333" i="1"/>
  <c r="A333" i="1"/>
  <c r="J330" i="1"/>
  <c r="I330" i="1"/>
  <c r="H330" i="1"/>
  <c r="E330" i="1"/>
  <c r="D330" i="1"/>
  <c r="H329" i="1"/>
  <c r="H328" i="1"/>
  <c r="E328" i="1"/>
  <c r="D328" i="1"/>
  <c r="B328" i="1"/>
  <c r="J327" i="1"/>
  <c r="I327" i="1"/>
  <c r="H327" i="1"/>
  <c r="E327" i="1"/>
  <c r="H326" i="1"/>
  <c r="D326" i="1"/>
  <c r="G340" i="1" s="1"/>
  <c r="B326" i="1"/>
  <c r="H325" i="1"/>
  <c r="J324" i="1"/>
  <c r="A340" i="1" s="1"/>
  <c r="H324" i="1"/>
  <c r="H331" i="1" s="1"/>
  <c r="E324" i="1"/>
  <c r="A324" i="1"/>
  <c r="J283" i="1"/>
  <c r="I283" i="1"/>
  <c r="H283" i="1"/>
  <c r="G283" i="1"/>
  <c r="E283" i="1"/>
  <c r="C283" i="1"/>
  <c r="B283" i="1"/>
  <c r="A283" i="1"/>
  <c r="J282" i="1"/>
  <c r="I282" i="1"/>
  <c r="H282" i="1"/>
  <c r="G282" i="1"/>
  <c r="E282" i="1"/>
  <c r="C282" i="1"/>
  <c r="B282" i="1"/>
  <c r="A282" i="1"/>
  <c r="J281" i="1"/>
  <c r="I281" i="1"/>
  <c r="H281" i="1"/>
  <c r="G281" i="1"/>
  <c r="E281" i="1"/>
  <c r="C281" i="1"/>
  <c r="B281" i="1"/>
  <c r="A281" i="1"/>
  <c r="J280" i="1"/>
  <c r="I280" i="1"/>
  <c r="H280" i="1"/>
  <c r="G280" i="1"/>
  <c r="E280" i="1"/>
  <c r="D280" i="1"/>
  <c r="C280" i="1"/>
  <c r="B280" i="1"/>
  <c r="A280" i="1"/>
  <c r="J279" i="1"/>
  <c r="I279" i="1"/>
  <c r="H279" i="1"/>
  <c r="G279" i="1"/>
  <c r="E279" i="1"/>
  <c r="D279" i="1"/>
  <c r="C279" i="1"/>
  <c r="B279" i="1"/>
  <c r="A279" i="1"/>
  <c r="H278" i="1"/>
  <c r="G278" i="1"/>
  <c r="E278" i="1"/>
  <c r="D278" i="1"/>
  <c r="C278" i="1"/>
  <c r="B278" i="1"/>
  <c r="A278" i="1"/>
  <c r="H277" i="1"/>
  <c r="G277" i="1"/>
  <c r="E277" i="1"/>
  <c r="C277" i="1"/>
  <c r="B277" i="1"/>
  <c r="A277" i="1"/>
  <c r="J276" i="1"/>
  <c r="I276" i="1"/>
  <c r="H276" i="1"/>
  <c r="G276" i="1"/>
  <c r="B276" i="1"/>
  <c r="A276" i="1"/>
  <c r="H274" i="1"/>
  <c r="J273" i="1"/>
  <c r="I273" i="1"/>
  <c r="H273" i="1"/>
  <c r="E273" i="1"/>
  <c r="D273" i="1"/>
  <c r="H272" i="1"/>
  <c r="H271" i="1"/>
  <c r="E271" i="1"/>
  <c r="D271" i="1"/>
  <c r="B271" i="1"/>
  <c r="J270" i="1"/>
  <c r="I270" i="1"/>
  <c r="H270" i="1"/>
  <c r="E270" i="1"/>
  <c r="H269" i="1"/>
  <c r="D269" i="1"/>
  <c r="B269" i="1"/>
  <c r="H268" i="1"/>
  <c r="J267" i="1"/>
  <c r="I267" i="1"/>
  <c r="H267" i="1"/>
  <c r="A267" i="1"/>
  <c r="J226" i="1"/>
  <c r="I226" i="1"/>
  <c r="H226" i="1"/>
  <c r="G226" i="1"/>
  <c r="E226" i="1"/>
  <c r="C226" i="1"/>
  <c r="B226" i="1"/>
  <c r="A226" i="1"/>
  <c r="J225" i="1"/>
  <c r="I225" i="1"/>
  <c r="H225" i="1"/>
  <c r="G225" i="1"/>
  <c r="E225" i="1"/>
  <c r="C225" i="1"/>
  <c r="B225" i="1"/>
  <c r="A225" i="1"/>
  <c r="J224" i="1"/>
  <c r="I224" i="1"/>
  <c r="H224" i="1"/>
  <c r="G224" i="1"/>
  <c r="E224" i="1"/>
  <c r="C224" i="1"/>
  <c r="B224" i="1"/>
  <c r="A224" i="1"/>
  <c r="J223" i="1"/>
  <c r="I223" i="1"/>
  <c r="H223" i="1"/>
  <c r="G223" i="1"/>
  <c r="E223" i="1"/>
  <c r="C223" i="1"/>
  <c r="B223" i="1"/>
  <c r="A223" i="1"/>
  <c r="J222" i="1"/>
  <c r="I222" i="1"/>
  <c r="H222" i="1"/>
  <c r="G222" i="1"/>
  <c r="E222" i="1"/>
  <c r="C222" i="1"/>
  <c r="B222" i="1"/>
  <c r="A222" i="1"/>
  <c r="H221" i="1"/>
  <c r="G221" i="1"/>
  <c r="E221" i="1"/>
  <c r="D221" i="1"/>
  <c r="C221" i="1"/>
  <c r="B221" i="1"/>
  <c r="A221" i="1"/>
  <c r="H220" i="1"/>
  <c r="G220" i="1"/>
  <c r="E220" i="1"/>
  <c r="C220" i="1"/>
  <c r="B220" i="1"/>
  <c r="A220" i="1"/>
  <c r="J219" i="1"/>
  <c r="I219" i="1"/>
  <c r="H219" i="1"/>
  <c r="G219" i="1"/>
  <c r="B219" i="1"/>
  <c r="A219" i="1"/>
  <c r="H217" i="1"/>
  <c r="J216" i="1"/>
  <c r="I216" i="1"/>
  <c r="H216" i="1"/>
  <c r="E216" i="1"/>
  <c r="D216" i="1"/>
  <c r="H215" i="1"/>
  <c r="H214" i="1"/>
  <c r="E214" i="1"/>
  <c r="D214" i="1"/>
  <c r="B214" i="1"/>
  <c r="J213" i="1"/>
  <c r="I213" i="1"/>
  <c r="H213" i="1"/>
  <c r="E213" i="1"/>
  <c r="H212" i="1"/>
  <c r="D212" i="1"/>
  <c r="B212" i="1"/>
  <c r="H211" i="1"/>
  <c r="J210" i="1"/>
  <c r="I210" i="1"/>
  <c r="H210" i="1"/>
  <c r="E210" i="1"/>
  <c r="A210" i="1"/>
  <c r="J169" i="1"/>
  <c r="I169" i="1"/>
  <c r="H169" i="1"/>
  <c r="E169" i="1"/>
  <c r="C169" i="1"/>
  <c r="B169" i="1"/>
  <c r="J168" i="1"/>
  <c r="I168" i="1"/>
  <c r="H168" i="1"/>
  <c r="G168" i="1" s="1"/>
  <c r="E168" i="1"/>
  <c r="C168" i="1"/>
  <c r="B168" i="1"/>
  <c r="J167" i="1"/>
  <c r="I167" i="1"/>
  <c r="I153" i="1" s="1"/>
  <c r="H167" i="1"/>
  <c r="G167" i="1" s="1"/>
  <c r="E167" i="1"/>
  <c r="C167" i="1"/>
  <c r="B167" i="1"/>
  <c r="J166" i="1"/>
  <c r="I166" i="1"/>
  <c r="H166" i="1"/>
  <c r="E166" i="1"/>
  <c r="C166" i="1"/>
  <c r="B166" i="1"/>
  <c r="A166" i="1"/>
  <c r="J165" i="1"/>
  <c r="I165" i="1"/>
  <c r="H165" i="1"/>
  <c r="G165" i="1"/>
  <c r="E165" i="1"/>
  <c r="C165" i="1"/>
  <c r="B165" i="1"/>
  <c r="A165" i="1"/>
  <c r="H164" i="1"/>
  <c r="E164" i="1"/>
  <c r="D164" i="1"/>
  <c r="C164" i="1"/>
  <c r="B164" i="1"/>
  <c r="A164" i="1"/>
  <c r="H163" i="1"/>
  <c r="G163" i="1" s="1"/>
  <c r="E163" i="1"/>
  <c r="C163" i="1"/>
  <c r="B163" i="1"/>
  <c r="J162" i="1"/>
  <c r="I162" i="1"/>
  <c r="H162" i="1"/>
  <c r="G162" i="1" s="1"/>
  <c r="B162" i="1"/>
  <c r="A162" i="1"/>
  <c r="J159" i="1"/>
  <c r="I159" i="1"/>
  <c r="H159" i="1"/>
  <c r="E159" i="1"/>
  <c r="D159" i="1"/>
  <c r="H158" i="1"/>
  <c r="H157" i="1"/>
  <c r="E157" i="1"/>
  <c r="D157" i="1"/>
  <c r="B157" i="1"/>
  <c r="J156" i="1"/>
  <c r="I156" i="1"/>
  <c r="H156" i="1"/>
  <c r="E156" i="1"/>
  <c r="H155" i="1"/>
  <c r="D155" i="1"/>
  <c r="G166" i="1" s="1"/>
  <c r="B155" i="1"/>
  <c r="H154" i="1"/>
  <c r="J153" i="1"/>
  <c r="A169" i="1" s="1"/>
  <c r="H153" i="1"/>
  <c r="H160" i="1" s="1"/>
  <c r="E153" i="1"/>
  <c r="A153" i="1"/>
  <c r="J112" i="1"/>
  <c r="I112" i="1"/>
  <c r="H112" i="1"/>
  <c r="E112" i="1"/>
  <c r="C112" i="1"/>
  <c r="B112" i="1"/>
  <c r="J111" i="1"/>
  <c r="I111" i="1"/>
  <c r="H111" i="1"/>
  <c r="G111" i="1" s="1"/>
  <c r="E111" i="1"/>
  <c r="C111" i="1"/>
  <c r="B111" i="1"/>
  <c r="J110" i="1"/>
  <c r="I110" i="1"/>
  <c r="H110" i="1"/>
  <c r="G110" i="1" s="1"/>
  <c r="E110" i="1"/>
  <c r="C110" i="1"/>
  <c r="B110" i="1"/>
  <c r="A110" i="1"/>
  <c r="J109" i="1"/>
  <c r="I109" i="1"/>
  <c r="H109" i="1"/>
  <c r="E109" i="1"/>
  <c r="C109" i="1"/>
  <c r="B109" i="1"/>
  <c r="A109" i="1"/>
  <c r="J108" i="1"/>
  <c r="I108" i="1"/>
  <c r="H108" i="1"/>
  <c r="E108" i="1"/>
  <c r="C108" i="1"/>
  <c r="B108" i="1"/>
  <c r="A108" i="1"/>
  <c r="H107" i="1"/>
  <c r="E107" i="1"/>
  <c r="C107" i="1"/>
  <c r="B107" i="1"/>
  <c r="A107" i="1"/>
  <c r="H106" i="1"/>
  <c r="G106" i="1" s="1"/>
  <c r="E106" i="1"/>
  <c r="C106" i="1"/>
  <c r="B106" i="1"/>
  <c r="A106" i="1"/>
  <c r="J105" i="1"/>
  <c r="I105" i="1"/>
  <c r="H105" i="1"/>
  <c r="B105" i="1"/>
  <c r="A105" i="1"/>
  <c r="J102" i="1"/>
  <c r="I102" i="1"/>
  <c r="H102" i="1"/>
  <c r="E102" i="1"/>
  <c r="D102" i="1"/>
  <c r="H101" i="1"/>
  <c r="H100" i="1"/>
  <c r="E100" i="1"/>
  <c r="D100" i="1"/>
  <c r="B100" i="1"/>
  <c r="J99" i="1"/>
  <c r="I99" i="1"/>
  <c r="H99" i="1"/>
  <c r="E99" i="1"/>
  <c r="H98" i="1"/>
  <c r="D98" i="1"/>
  <c r="G105" i="1" s="1"/>
  <c r="B98" i="1"/>
  <c r="H97" i="1"/>
  <c r="J96" i="1"/>
  <c r="A112" i="1" s="1"/>
  <c r="I96" i="1"/>
  <c r="H96" i="1"/>
  <c r="H103" i="1" s="1"/>
  <c r="A96" i="1"/>
  <c r="J55" i="1"/>
  <c r="I55" i="1"/>
  <c r="H55" i="1"/>
  <c r="G55" i="1"/>
  <c r="E55" i="1"/>
  <c r="C55" i="1"/>
  <c r="B55" i="1"/>
  <c r="A55" i="1"/>
  <c r="J54" i="1"/>
  <c r="I54" i="1"/>
  <c r="H54" i="1"/>
  <c r="G54" i="1"/>
  <c r="E54" i="1"/>
  <c r="C54" i="1"/>
  <c r="B54" i="1"/>
  <c r="A54" i="1"/>
  <c r="J53" i="1"/>
  <c r="I53" i="1"/>
  <c r="H53" i="1"/>
  <c r="G53" i="1"/>
  <c r="E53" i="1"/>
  <c r="B53" i="1"/>
  <c r="A53" i="1"/>
  <c r="J52" i="1"/>
  <c r="I52" i="1"/>
  <c r="H52" i="1"/>
  <c r="G52" i="1"/>
  <c r="E52" i="1"/>
  <c r="B52" i="1"/>
  <c r="A52" i="1"/>
  <c r="J51" i="1"/>
  <c r="I51" i="1"/>
  <c r="H51" i="1"/>
  <c r="E51" i="1"/>
  <c r="C51" i="1"/>
  <c r="B51" i="1"/>
  <c r="A51" i="1"/>
  <c r="H50" i="1"/>
  <c r="E50" i="1"/>
  <c r="C50" i="1"/>
  <c r="B50" i="1"/>
  <c r="A50" i="1"/>
  <c r="H49" i="1"/>
  <c r="E49" i="1"/>
  <c r="C49" i="1"/>
  <c r="B49" i="1"/>
  <c r="A49" i="1"/>
  <c r="J48" i="1"/>
  <c r="I48" i="1"/>
  <c r="H48" i="1"/>
  <c r="G48" i="1"/>
  <c r="B48" i="1"/>
  <c r="A48" i="1"/>
  <c r="H46" i="1"/>
  <c r="J45" i="1"/>
  <c r="I45" i="1"/>
  <c r="H45" i="1"/>
  <c r="E45" i="1"/>
  <c r="D45" i="1"/>
  <c r="H44" i="1"/>
  <c r="H43" i="1"/>
  <c r="E43" i="1"/>
  <c r="D43" i="1"/>
  <c r="B43" i="1"/>
  <c r="J42" i="1"/>
  <c r="I42" i="1"/>
  <c r="H42" i="1"/>
  <c r="E42" i="1"/>
  <c r="H41" i="1"/>
  <c r="D41" i="1"/>
  <c r="B41" i="1"/>
  <c r="H40" i="1"/>
  <c r="J39" i="1"/>
  <c r="I39" i="1"/>
  <c r="H39" i="1"/>
  <c r="A39" i="1"/>
  <c r="A391" i="1" l="1"/>
  <c r="A395" i="1"/>
  <c r="A396" i="1"/>
  <c r="A392" i="1"/>
  <c r="A394" i="1"/>
  <c r="E381" i="1"/>
  <c r="A390" i="1"/>
  <c r="A393" i="1"/>
  <c r="A334" i="1"/>
  <c r="G335" i="1"/>
  <c r="A338" i="1"/>
  <c r="A339" i="1"/>
  <c r="G169" i="1"/>
  <c r="A163" i="1"/>
  <c r="G164" i="1"/>
  <c r="A167" i="1"/>
  <c r="A168" i="1"/>
  <c r="G108" i="1"/>
  <c r="G112" i="1"/>
  <c r="G107" i="1"/>
  <c r="G109" i="1"/>
  <c r="A111" i="1"/>
</calcChain>
</file>

<file path=xl/sharedStrings.xml><?xml version="1.0" encoding="utf-8"?>
<sst xmlns="http://schemas.openxmlformats.org/spreadsheetml/2006/main" count="699" uniqueCount="136">
  <si>
    <t>検査梱包指示書</t>
  </si>
  <si>
    <t>品目番号</t>
  </si>
  <si>
    <t>J1EKACB22204150</t>
  </si>
  <si>
    <t>Ｌ寸</t>
  </si>
  <si>
    <t>名称</t>
  </si>
  <si>
    <t>001EGAW 415</t>
  </si>
  <si>
    <t>上長</t>
  </si>
  <si>
    <t>係員</t>
  </si>
  <si>
    <t>製造指図№</t>
  </si>
  <si>
    <t>000000000003621</t>
  </si>
  <si>
    <t>原料名</t>
  </si>
  <si>
    <t>(J1VB075) (J6VT048)</t>
  </si>
  <si>
    <t>発注明細№</t>
  </si>
  <si>
    <t>000000000757219</t>
  </si>
  <si>
    <t>色　名</t>
  </si>
  <si>
    <t>ﾎﾜｲﾄ</t>
  </si>
  <si>
    <t>製品Grp</t>
  </si>
  <si>
    <t>J1EC</t>
  </si>
  <si>
    <t>開始日</t>
  </si>
  <si>
    <t>入り数</t>
  </si>
  <si>
    <t>終了日</t>
  </si>
  <si>
    <t>梱包数</t>
  </si>
  <si>
    <t>指示数量</t>
  </si>
  <si>
    <t>金　型</t>
  </si>
  <si>
    <t>3714</t>
  </si>
  <si>
    <t>*J1EKACB22204150*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</si>
  <si>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</si>
  <si>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</si>
  <si>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</si>
  <si>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</si>
  <si>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</si>
  <si>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</si>
  <si>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</si>
  <si>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</si>
  <si>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</si>
  <si>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</si>
  <si>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</si>
  <si>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</si>
  <si>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</si>
  <si>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</si>
  <si>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</si>
  <si>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</si>
  <si>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</si>
  <si>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</si>
  <si>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</si>
  <si>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</si>
  <si>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</si>
  <si>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</si>
  <si>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J1EKACA22215000</t>
  </si>
  <si>
    <t>@001EGAW 1500</t>
  </si>
  <si>
    <t>*J1EKACA22215000*</t>
  </si>
  <si>
    <t>S-20</t>
  </si>
  <si>
    <t>*J6DK0003*</t>
  </si>
  <si>
    <t>J1EKACB22205080</t>
  </si>
  <si>
    <t>001EGAW 508</t>
  </si>
  <si>
    <t>000000000003622</t>
  </si>
  <si>
    <t>000000000757220</t>
  </si>
  <si>
    <t>*J1EKACB22205080*</t>
  </si>
  <si>
    <t>J6DK0004</t>
  </si>
  <si>
    <t>S-30</t>
  </si>
  <si>
    <t>*J6DK0004*</t>
  </si>
  <si>
    <t>J1EKACB22205650</t>
  </si>
  <si>
    <t>001EGAW 565</t>
  </si>
  <si>
    <t>000000000003623</t>
  </si>
  <si>
    <t>000000000757221</t>
  </si>
  <si>
    <t>*J1EKACB22205650*</t>
  </si>
  <si>
    <t>J1EKACB22206330</t>
  </si>
  <si>
    <t>001EGAW 633</t>
  </si>
  <si>
    <t>000000000003624</t>
  </si>
  <si>
    <t>000000000757222</t>
  </si>
  <si>
    <t>*J1EKACB22206330*</t>
  </si>
  <si>
    <t>J6DK0005</t>
  </si>
  <si>
    <t>S-40</t>
  </si>
  <si>
    <t>*J6DK0005*</t>
  </si>
  <si>
    <t>J1EKACB22206520</t>
  </si>
  <si>
    <t>001EGAW 652</t>
  </si>
  <si>
    <t>000000000003625</t>
  </si>
  <si>
    <t>000000000757223</t>
  </si>
  <si>
    <t>*J1EKACB22206520*</t>
  </si>
  <si>
    <t>J1EKACB22206650</t>
  </si>
  <si>
    <t>001EGAW 665</t>
  </si>
  <si>
    <t>000000000003626</t>
  </si>
  <si>
    <t>000000000757224</t>
  </si>
  <si>
    <t>*J1EKACB22206650*</t>
  </si>
  <si>
    <t>J1EKACB22207150</t>
  </si>
  <si>
    <t>001EGAW 715</t>
  </si>
  <si>
    <t>000000000003627</t>
  </si>
  <si>
    <t>000000000757225</t>
  </si>
  <si>
    <t>*J1EKACB22207150*</t>
  </si>
  <si>
    <t>*J6DA0008*</t>
  </si>
  <si>
    <t>J6DK0003</t>
    <phoneticPr fontId="2"/>
  </si>
  <si>
    <t>J6DK0004</t>
    <phoneticPr fontId="2"/>
  </si>
  <si>
    <t>J6DK0005</t>
    <phoneticPr fontId="2"/>
  </si>
  <si>
    <t>製品名</t>
    <rPh sb="0" eb="3">
      <t>セイヒンメイ</t>
    </rPh>
    <phoneticPr fontId="2"/>
  </si>
  <si>
    <t>梱包箱</t>
    <rPh sb="0" eb="3">
      <t>コンポウバコ</t>
    </rPh>
    <phoneticPr fontId="2"/>
  </si>
  <si>
    <t>A.不良内訳</t>
    <rPh sb="2" eb="4">
      <t>フリョウ</t>
    </rPh>
    <rPh sb="4" eb="6">
      <t>ウチワケ</t>
    </rPh>
    <phoneticPr fontId="2"/>
  </si>
  <si>
    <t>入庫日</t>
    <rPh sb="0" eb="2">
      <t>ニュウコ</t>
    </rPh>
    <rPh sb="2" eb="3">
      <t>ビ</t>
    </rPh>
    <phoneticPr fontId="2"/>
  </si>
  <si>
    <t>入庫数</t>
    <rPh sb="0" eb="3">
      <t>ニュウコスウ</t>
    </rPh>
    <phoneticPr fontId="2"/>
  </si>
  <si>
    <t>キズ</t>
    <phoneticPr fontId="2"/>
  </si>
  <si>
    <t>端材使用　　　　　　　　 　有 ・ 無</t>
    <rPh sb="0" eb="2">
      <t>ハザイ</t>
    </rPh>
    <rPh sb="2" eb="4">
      <t>シヨウ</t>
    </rPh>
    <rPh sb="14" eb="15">
      <t>アリ</t>
    </rPh>
    <rPh sb="18" eb="19">
      <t>ナシ</t>
    </rPh>
    <phoneticPr fontId="2"/>
  </si>
  <si>
    <t>凹み</t>
    <rPh sb="0" eb="1">
      <t>ヘコ</t>
    </rPh>
    <phoneticPr fontId="2"/>
  </si>
  <si>
    <t>温度換算</t>
    <rPh sb="0" eb="4">
      <t>オンドカンサン</t>
    </rPh>
    <phoneticPr fontId="2"/>
  </si>
  <si>
    <t>取数</t>
    <rPh sb="0" eb="1">
      <t>ト</t>
    </rPh>
    <rPh sb="1" eb="2">
      <t>スウ</t>
    </rPh>
    <phoneticPr fontId="2"/>
  </si>
  <si>
    <t>備考</t>
    <rPh sb="0" eb="2">
      <t>ビコウ</t>
    </rPh>
    <phoneticPr fontId="2"/>
  </si>
  <si>
    <t>異物</t>
    <rPh sb="0" eb="2">
      <t>イブツ</t>
    </rPh>
    <phoneticPr fontId="2"/>
  </si>
  <si>
    <t>切断者</t>
    <rPh sb="0" eb="2">
      <t>セツダン</t>
    </rPh>
    <rPh sb="2" eb="3">
      <t>シャ</t>
    </rPh>
    <phoneticPr fontId="2"/>
  </si>
  <si>
    <t>検査者</t>
    <rPh sb="0" eb="2">
      <t>ケンサ</t>
    </rPh>
    <rPh sb="2" eb="3">
      <t>シャ</t>
    </rPh>
    <phoneticPr fontId="2"/>
  </si>
  <si>
    <t>欠け</t>
    <rPh sb="0" eb="1">
      <t>カ</t>
    </rPh>
    <phoneticPr fontId="2"/>
  </si>
  <si>
    <t>L寸</t>
    <rPh sb="1" eb="2">
      <t>スン</t>
    </rPh>
    <phoneticPr fontId="2"/>
  </si>
  <si>
    <t>+公差</t>
    <phoneticPr fontId="2"/>
  </si>
  <si>
    <t>メヤニ</t>
    <phoneticPr fontId="2"/>
  </si>
  <si>
    <t>梱包方法</t>
    <rPh sb="0" eb="2">
      <t>コンポウ</t>
    </rPh>
    <rPh sb="2" eb="4">
      <t>ホウホウ</t>
    </rPh>
    <phoneticPr fontId="2"/>
  </si>
  <si>
    <t>ベコツキ</t>
    <phoneticPr fontId="2"/>
  </si>
  <si>
    <t>E.製品不良数</t>
    <rPh sb="2" eb="4">
      <t>セイヒン</t>
    </rPh>
    <rPh sb="4" eb="7">
      <t>フリョウスウ</t>
    </rPh>
    <phoneticPr fontId="2"/>
  </si>
  <si>
    <t>F,基材不良</t>
    <rPh sb="2" eb="4">
      <t>キザイ</t>
    </rPh>
    <rPh sb="4" eb="6">
      <t>フリョウ</t>
    </rPh>
    <phoneticPr fontId="2"/>
  </si>
  <si>
    <t>切断寸法</t>
    <rPh sb="0" eb="2">
      <t>セツダン</t>
    </rPh>
    <rPh sb="2" eb="4">
      <t>スンポウ</t>
    </rPh>
    <phoneticPr fontId="2"/>
  </si>
  <si>
    <t>-公差</t>
    <rPh sb="1" eb="3">
      <t>コウサ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</si>
  <si>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</si>
  <si>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</si>
  <si>
    <t>作業日</t>
    <rPh sb="0" eb="3">
      <t>サギョウビ</t>
    </rPh>
    <phoneticPr fontId="2"/>
  </si>
  <si>
    <t>基材Lot</t>
    <rPh sb="0" eb="2">
      <t>キザイ</t>
    </rPh>
    <phoneticPr fontId="2"/>
  </si>
  <si>
    <t>温度</t>
    <rPh sb="0" eb="2">
      <t>オンド</t>
    </rPh>
    <phoneticPr fontId="2"/>
  </si>
  <si>
    <t>換算寸法</t>
    <rPh sb="0" eb="2">
      <t>カンサン</t>
    </rPh>
    <rPh sb="2" eb="4">
      <t>スンポウ</t>
    </rPh>
    <phoneticPr fontId="2"/>
  </si>
  <si>
    <t>計測値</t>
    <rPh sb="0" eb="3">
      <t>ケイソクチ</t>
    </rPh>
    <phoneticPr fontId="2"/>
  </si>
  <si>
    <t>備考、箱番号等</t>
    <phoneticPr fontId="2"/>
  </si>
  <si>
    <t>B.加工数</t>
    <rPh sb="2" eb="5">
      <t>カコウスウ</t>
    </rPh>
    <phoneticPr fontId="2"/>
  </si>
  <si>
    <t>C.基材換算</t>
    <rPh sb="2" eb="4">
      <t>キザイ</t>
    </rPh>
    <rPh sb="4" eb="6">
      <t>カンサン</t>
    </rPh>
    <phoneticPr fontId="2"/>
  </si>
  <si>
    <t>D,端材使用</t>
    <rPh sb="2" eb="4">
      <t>ハザイ</t>
    </rPh>
    <rPh sb="4" eb="6">
      <t>シヨウ</t>
    </rPh>
    <phoneticPr fontId="2"/>
  </si>
  <si>
    <t>使用基材数</t>
    <rPh sb="0" eb="2">
      <t>シヨウ</t>
    </rPh>
    <rPh sb="2" eb="5">
      <t>キザイスウ</t>
    </rPh>
    <phoneticPr fontId="2"/>
  </si>
  <si>
    <t>※前回加工による端数品</t>
    <phoneticPr fontId="2"/>
  </si>
  <si>
    <t>加工Lot</t>
    <rPh sb="0" eb="2">
      <t>カコウ</t>
    </rPh>
    <phoneticPr fontId="2"/>
  </si>
  <si>
    <t>箱数</t>
    <rPh sb="0" eb="2">
      <t>ハコスウ</t>
    </rPh>
    <phoneticPr fontId="2"/>
  </si>
  <si>
    <t>S-20 　　　　　8枚</t>
    <rPh sb="11" eb="12">
      <t>マイ</t>
    </rPh>
    <phoneticPr fontId="2"/>
  </si>
  <si>
    <t>S-30 　 9     枚</t>
    <phoneticPr fontId="2"/>
  </si>
  <si>
    <t>S-40 　 14      枚</t>
    <phoneticPr fontId="2"/>
  </si>
  <si>
    <t>端材品</t>
    <rPh sb="0" eb="2">
      <t>ハザイ</t>
    </rPh>
    <rPh sb="2" eb="3">
      <t>ヒン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</si>
</sst>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[$-F800]dddd\,\ mmmm\ dd\,\ yyyy"/>
    <numFmt numFmtId="177" formatCode="#,##0.0_ "/>
    <numFmt numFmtId="178" formatCode="#,##0_ "/>
    <numFmt numFmtId="179" formatCode="#"/>
    <numFmt numFmtId="180" formatCode="m/d"/>
    <numFmt numFmtId="181" formatCode="&quot;L=&quot;0.0_ "/>
    <numFmt numFmtId="182" formatCode="0.00_ "/>
    <numFmt numFmtId="183" formatCode="yy\,mm\,dd"/>
    <numFmt numFmtId="184" formatCode="#&quot;箱&quot;"/>
  </numFmts>
  <fonts count="35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0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b/>
      <sz val="16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sz val="10"/>
      <color theme="1"/>
      <name val="游ゴシック"/>
      <family val="3"/>
      <charset val="128"/>
      <scheme val="minor"/>
    </font>
    <font>
      <b/>
      <sz val="10"/>
      <color theme="0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31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3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13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3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0" fillId="0" borderId="5" xfId="0" applyBorder="1" applyAlignment="1"/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49" fontId="15" fillId="3" borderId="11" xfId="1" applyNumberFormat="1" applyFont="1" applyFill="1" applyBorder="1" applyAlignment="1">
      <alignment horizontal="left" vertical="center" shrinkToFit="1"/>
    </xf>
    <xf numFmtId="0" fontId="14" fillId="3" borderId="18" xfId="0" applyFont="1" applyFill="1" applyBorder="1">
      <alignment vertical="center"/>
    </xf>
    <xf numFmtId="49" fontId="16" fillId="4" borderId="3" xfId="1" applyNumberFormat="1" applyFont="1" applyFill="1" applyBorder="1" applyAlignment="1">
      <alignment horizontal="center" vertical="center" shrinkToFit="1"/>
    </xf>
    <xf numFmtId="49" fontId="16" fillId="4" borderId="2" xfId="1" applyNumberFormat="1" applyFont="1" applyFill="1" applyBorder="1" applyAlignment="1">
      <alignment horizontal="center" vertical="center" shrinkToFit="1"/>
    </xf>
    <xf numFmtId="49" fontId="16" fillId="0" borderId="2" xfId="1" applyNumberFormat="1" applyFont="1" applyBorder="1" applyAlignment="1">
      <alignment horizontal="center" vertical="center" shrinkToFit="1"/>
    </xf>
    <xf numFmtId="179" fontId="16" fillId="0" borderId="2" xfId="1" applyNumberFormat="1" applyFont="1" applyBorder="1" applyAlignment="1">
      <alignment horizontal="center" vertical="center" shrinkToFit="1"/>
    </xf>
    <xf numFmtId="49" fontId="21" fillId="0" borderId="0" xfId="1" applyNumberFormat="1" applyFont="1" applyAlignment="1">
      <alignment horizontal="left" vertical="center" shrinkToFit="1"/>
    </xf>
    <xf numFmtId="49" fontId="24" fillId="0" borderId="0" xfId="1" applyNumberFormat="1" applyFont="1" applyAlignment="1">
      <alignment horizontal="left" vertical="center" shrinkToFit="1"/>
    </xf>
    <xf numFmtId="49" fontId="27" fillId="4" borderId="2" xfId="1" applyNumberFormat="1" applyFont="1" applyFill="1" applyBorder="1" applyAlignment="1">
      <alignment horizontal="center" vertical="center" shrinkToFit="1"/>
    </xf>
    <xf numFmtId="49" fontId="4" fillId="0" borderId="3" xfId="1" applyNumberFormat="1" applyFont="1" applyBorder="1" applyAlignment="1">
      <alignment horizontal="center" vertical="center" shrinkToFit="1"/>
    </xf>
    <xf numFmtId="179" fontId="6" fillId="0" borderId="3" xfId="1" applyNumberFormat="1" applyFont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/>
    </xf>
    <xf numFmtId="49" fontId="20" fillId="0" borderId="22" xfId="1" applyNumberFormat="1" applyFont="1" applyBorder="1" applyAlignment="1">
      <alignment vertical="center" shrinkToFit="1"/>
    </xf>
    <xf numFmtId="49" fontId="20" fillId="0" borderId="22" xfId="1" applyNumberFormat="1" applyFont="1" applyBorder="1" applyAlignment="1">
      <alignment horizontal="center" vertical="center" shrinkToFit="1"/>
    </xf>
    <xf numFmtId="49" fontId="20" fillId="0" borderId="22" xfId="0" applyNumberFormat="1" applyFont="1" applyBorder="1" applyAlignment="1">
      <alignment horizontal="center" vertical="center" shrinkToFit="1"/>
    </xf>
    <xf numFmtId="0" fontId="29" fillId="0" borderId="22" xfId="0" applyFont="1" applyBorder="1">
      <alignment vertical="center"/>
    </xf>
    <xf numFmtId="49" fontId="20" fillId="0" borderId="23" xfId="0" applyNumberFormat="1" applyFont="1" applyBorder="1" applyAlignment="1">
      <alignment horizontal="center" vertical="center" shrinkToFit="1"/>
    </xf>
    <xf numFmtId="49" fontId="27" fillId="4" borderId="18" xfId="1" applyNumberFormat="1" applyFont="1" applyFill="1" applyBorder="1" applyAlignment="1">
      <alignment horizontal="center" vertical="center" shrinkToFit="1"/>
    </xf>
    <xf numFmtId="0" fontId="30" fillId="0" borderId="0" xfId="0" applyFont="1">
      <alignment vertical="center"/>
    </xf>
    <xf numFmtId="49" fontId="20" fillId="0" borderId="0" xfId="0" applyNumberFormat="1" applyFont="1" applyAlignment="1">
      <alignment vertical="top" shrinkToFit="1"/>
    </xf>
    <xf numFmtId="180" fontId="31" fillId="4" borderId="24" xfId="0" applyNumberFormat="1" applyFont="1" applyFill="1" applyBorder="1" applyAlignment="1">
      <alignment horizontal="center" vertical="center"/>
    </xf>
    <xf numFmtId="0" fontId="31" fillId="4" borderId="2" xfId="0" applyFont="1" applyFill="1" applyBorder="1" applyAlignment="1">
      <alignment horizontal="center" vertical="center"/>
    </xf>
    <xf numFmtId="0" fontId="31" fillId="4" borderId="25" xfId="0" applyFont="1" applyFill="1" applyBorder="1" applyAlignment="1">
      <alignment horizontal="center" vertical="center"/>
    </xf>
    <xf numFmtId="0" fontId="32" fillId="4" borderId="25" xfId="0" applyFont="1" applyFill="1" applyBorder="1">
      <alignment vertical="center"/>
    </xf>
    <xf numFmtId="0" fontId="29" fillId="4" borderId="2" xfId="0" applyFont="1" applyFill="1" applyBorder="1">
      <alignment vertical="center"/>
    </xf>
    <xf numFmtId="0" fontId="16" fillId="4" borderId="2" xfId="0" applyFont="1" applyFill="1" applyBorder="1" applyAlignment="1">
      <alignment horizontal="center" vertical="top" shrinkToFit="1"/>
    </xf>
    <xf numFmtId="0" fontId="31" fillId="4" borderId="26" xfId="0" applyFont="1" applyFill="1" applyBorder="1" applyAlignment="1">
      <alignment horizontal="center" vertical="center"/>
    </xf>
    <xf numFmtId="0" fontId="33" fillId="0" borderId="0" xfId="0" applyFont="1">
      <alignment vertical="center"/>
    </xf>
    <xf numFmtId="49" fontId="16" fillId="0" borderId="0" xfId="0" applyNumberFormat="1" applyFont="1" applyAlignment="1">
      <alignment vertical="top" shrinkToFit="1"/>
    </xf>
    <xf numFmtId="49" fontId="27" fillId="0" borderId="0" xfId="0" applyNumberFormat="1" applyFont="1" applyAlignment="1">
      <alignment vertical="top" shrinkToFit="1"/>
    </xf>
    <xf numFmtId="180" fontId="31" fillId="0" borderId="24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182" fontId="34" fillId="5" borderId="2" xfId="0" applyNumberFormat="1" applyFont="1" applyFill="1" applyBorder="1" applyAlignment="1">
      <alignment horizontal="center" vertical="center"/>
    </xf>
    <xf numFmtId="182" fontId="29" fillId="0" borderId="2" xfId="0" applyNumberFormat="1" applyFont="1" applyBorder="1" applyAlignment="1">
      <alignment horizontal="center" vertical="center"/>
    </xf>
    <xf numFmtId="0" fontId="31" fillId="0" borderId="2" xfId="0" applyFont="1" applyBorder="1">
      <alignment vertical="center"/>
    </xf>
    <xf numFmtId="0" fontId="16" fillId="0" borderId="2" xfId="0" applyFont="1" applyBorder="1" applyAlignment="1">
      <alignment horizontal="center" vertical="top" shrinkToFit="1"/>
    </xf>
    <xf numFmtId="0" fontId="31" fillId="5" borderId="26" xfId="0" applyFont="1" applyFill="1" applyBorder="1" applyAlignment="1">
      <alignment horizontal="center" vertical="center"/>
    </xf>
    <xf numFmtId="0" fontId="26" fillId="6" borderId="9" xfId="0" applyFont="1" applyFill="1" applyBorder="1" applyAlignment="1">
      <alignment horizontal="center" vertical="center"/>
    </xf>
    <xf numFmtId="0" fontId="26" fillId="6" borderId="27" xfId="0" applyFont="1" applyFill="1" applyBorder="1" applyAlignment="1">
      <alignment horizontal="center" vertical="center"/>
    </xf>
    <xf numFmtId="183" fontId="31" fillId="0" borderId="21" xfId="0" applyNumberFormat="1" applyFont="1" applyBorder="1" applyAlignment="1">
      <alignment horizontal="center" vertical="center"/>
    </xf>
    <xf numFmtId="184" fontId="31" fillId="0" borderId="23" xfId="0" applyNumberFormat="1" applyFont="1" applyBorder="1" applyAlignment="1">
      <alignment horizontal="center" vertical="center"/>
    </xf>
    <xf numFmtId="183" fontId="31" fillId="0" borderId="24" xfId="0" applyNumberFormat="1" applyFont="1" applyBorder="1" applyAlignment="1">
      <alignment horizontal="center" vertical="center"/>
    </xf>
    <xf numFmtId="184" fontId="31" fillId="0" borderId="26" xfId="0" applyNumberFormat="1" applyFont="1" applyBorder="1" applyAlignment="1">
      <alignment horizontal="center" vertical="center"/>
    </xf>
    <xf numFmtId="180" fontId="31" fillId="0" borderId="28" xfId="0" applyNumberFormat="1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182" fontId="34" fillId="5" borderId="29" xfId="0" applyNumberFormat="1" applyFont="1" applyFill="1" applyBorder="1" applyAlignment="1">
      <alignment horizontal="center" vertical="center"/>
    </xf>
    <xf numFmtId="182" fontId="29" fillId="0" borderId="29" xfId="0" applyNumberFormat="1" applyFont="1" applyBorder="1" applyAlignment="1">
      <alignment horizontal="center" vertical="center"/>
    </xf>
    <xf numFmtId="0" fontId="31" fillId="0" borderId="29" xfId="0" applyFont="1" applyBorder="1">
      <alignment vertical="center"/>
    </xf>
    <xf numFmtId="0" fontId="16" fillId="0" borderId="29" xfId="0" applyFont="1" applyBorder="1" applyAlignment="1">
      <alignment horizontal="center" vertical="top" shrinkToFit="1"/>
    </xf>
    <xf numFmtId="0" fontId="31" fillId="5" borderId="30" xfId="0" applyFont="1" applyFill="1" applyBorder="1" applyAlignment="1">
      <alignment horizontal="center" vertical="center"/>
    </xf>
    <xf numFmtId="183" fontId="31" fillId="0" borderId="28" xfId="0" applyNumberFormat="1" applyFont="1" applyBorder="1" applyAlignment="1">
      <alignment horizontal="center" vertical="center"/>
    </xf>
    <xf numFmtId="184" fontId="31" fillId="0" borderId="30" xfId="0" applyNumberFormat="1" applyFont="1" applyBorder="1" applyAlignment="1">
      <alignment horizontal="center" vertical="center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0" fontId="12" fillId="0" borderId="0" xfId="0" applyFont="1">
      <alignment vertical="center"/>
    </xf>
    <xf numFmtId="49" fontId="1" fillId="0" borderId="0" xfId="1" applyNumberFormat="1" applyAlignment="1">
      <alignment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1" fillId="0" borderId="0" xfId="1" applyNumberFormat="1" applyFont="1" applyAlignment="1">
      <alignment vertical="center" shrinkToFit="1"/>
    </xf>
    <xf numFmtId="49" fontId="8" fillId="0" borderId="0" xfId="1" applyNumberFormat="1" applyFont="1" applyAlignment="1">
      <alignment horizontal="left" vertical="center" shrinkToFit="1"/>
    </xf>
    <xf numFmtId="178" fontId="11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left" vertical="center" shrinkToFit="1"/>
    </xf>
    <xf numFmtId="0" fontId="1" fillId="0" borderId="0" xfId="0" applyFont="1">
      <alignment vertical="center"/>
    </xf>
    <xf numFmtId="49" fontId="12" fillId="0" borderId="0" xfId="1" applyNumberFormat="1" applyFont="1" applyAlignment="1">
      <alignment horizontal="right" vertical="center" shrinkToFit="1"/>
    </xf>
    <xf numFmtId="49" fontId="10" fillId="0" borderId="0" xfId="1" applyNumberFormat="1" applyFont="1" applyAlignment="1">
      <alignment vertical="center" shrinkToFit="1"/>
    </xf>
    <xf numFmtId="49" fontId="11" fillId="0" borderId="2" xfId="1" applyNumberFormat="1" applyFont="1" applyBorder="1" applyAlignment="1">
      <alignment vertical="center" shrinkToFit="1"/>
    </xf>
    <xf numFmtId="0" fontId="0" fillId="0" borderId="6" xfId="0" applyBorder="1" applyAlignment="1"/>
    <xf numFmtId="177" fontId="12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10" xfId="0" applyBorder="1" applyAlignment="1"/>
    <xf numFmtId="0" fontId="0" fillId="0" borderId="12" xfId="0" applyBorder="1" applyAlignment="1"/>
    <xf numFmtId="49" fontId="7" fillId="0" borderId="0" xfId="1" applyNumberFormat="1" applyFont="1" applyAlignment="1">
      <alignment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2" fillId="0" borderId="10" xfId="1" applyNumberFormat="1" applyFont="1" applyBorder="1" applyAlignment="1">
      <alignment vertical="center" shrinkToFit="1"/>
    </xf>
    <xf numFmtId="49" fontId="11" fillId="0" borderId="4" xfId="1" applyNumberFormat="1" applyFont="1" applyBorder="1" applyAlignment="1">
      <alignment horizontal="left" vertical="center" shrinkToFit="1"/>
    </xf>
    <xf numFmtId="0" fontId="0" fillId="0" borderId="4" xfId="0" applyBorder="1" applyAlignment="1"/>
    <xf numFmtId="49" fontId="10" fillId="0" borderId="4" xfId="1" applyNumberFormat="1" applyFont="1" applyBorder="1" applyAlignment="1">
      <alignment horizontal="left" vertical="center" shrinkToFit="1"/>
    </xf>
    <xf numFmtId="49" fontId="11" fillId="0" borderId="11" xfId="1" applyNumberFormat="1" applyFont="1" applyBorder="1" applyAlignment="1">
      <alignment horizontal="center"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11" fillId="0" borderId="6" xfId="1" applyNumberFormat="1" applyFont="1" applyBorder="1" applyAlignment="1">
      <alignment vertical="center" shrinkToFit="1"/>
    </xf>
    <xf numFmtId="49" fontId="16" fillId="4" borderId="17" xfId="1" applyNumberFormat="1" applyFont="1" applyFill="1" applyBorder="1" applyAlignment="1">
      <alignment horizontal="center" vertical="center" shrinkToFit="1"/>
    </xf>
    <xf numFmtId="49" fontId="16" fillId="4" borderId="18" xfId="1" applyNumberFormat="1" applyFont="1" applyFill="1" applyBorder="1" applyAlignment="1">
      <alignment horizontal="center" vertical="center" shrinkToFit="1"/>
    </xf>
    <xf numFmtId="49" fontId="9" fillId="0" borderId="0" xfId="1" applyNumberFormat="1" applyFont="1" applyAlignment="1">
      <alignment vertical="center" shrinkToFit="1"/>
    </xf>
    <xf numFmtId="49" fontId="12" fillId="0" borderId="8" xfId="1" applyNumberFormat="1" applyFont="1" applyBorder="1" applyAlignment="1">
      <alignment horizontal="right"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177" fontId="10" fillId="0" borderId="0" xfId="1" applyNumberFormat="1" applyFont="1" applyAlignment="1">
      <alignment vertical="center" shrinkToFit="1"/>
    </xf>
    <xf numFmtId="49" fontId="11" fillId="0" borderId="12" xfId="1" applyNumberFormat="1" applyFont="1" applyBorder="1" applyAlignment="1">
      <alignment vertical="center" shrinkToFit="1"/>
    </xf>
    <xf numFmtId="0" fontId="22" fillId="0" borderId="3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49" fontId="14" fillId="2" borderId="19" xfId="1" applyNumberFormat="1" applyFont="1" applyFill="1" applyBorder="1" applyAlignment="1">
      <alignment horizontal="center" vertical="center" shrinkToFit="1"/>
    </xf>
    <xf numFmtId="49" fontId="14" fillId="2" borderId="16" xfId="1" applyNumberFormat="1" applyFont="1" applyFill="1" applyBorder="1" applyAlignment="1">
      <alignment horizontal="center" vertical="center" shrinkToFit="1"/>
    </xf>
    <xf numFmtId="0" fontId="23" fillId="0" borderId="15" xfId="1" applyFont="1" applyBorder="1" applyAlignment="1">
      <alignment horizontal="center" vertical="center" shrinkToFit="1"/>
    </xf>
    <xf numFmtId="0" fontId="23" fillId="0" borderId="12" xfId="1" applyFont="1" applyBorder="1" applyAlignment="1">
      <alignment horizontal="center" vertical="center" shrinkToFit="1"/>
    </xf>
    <xf numFmtId="0" fontId="14" fillId="3" borderId="2" xfId="0" applyFont="1" applyFill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shrinkToFit="1"/>
    </xf>
    <xf numFmtId="0" fontId="25" fillId="0" borderId="3" xfId="1" applyFont="1" applyBorder="1" applyAlignment="1">
      <alignment horizontal="center" vertical="center" shrinkToFit="1"/>
    </xf>
    <xf numFmtId="0" fontId="25" fillId="0" borderId="6" xfId="1" applyFont="1" applyBorder="1" applyAlignment="1">
      <alignment horizontal="center" vertical="center" shrinkToFit="1"/>
    </xf>
    <xf numFmtId="179" fontId="19" fillId="0" borderId="2" xfId="1" applyNumberFormat="1" applyFont="1" applyBorder="1" applyAlignment="1">
      <alignment horizontal="center" vertical="center" shrinkToFit="1"/>
    </xf>
    <xf numFmtId="49" fontId="4" fillId="0" borderId="3" xfId="1" applyNumberFormat="1" applyFont="1" applyBorder="1" applyAlignment="1">
      <alignment horizontal="left" vertical="center" shrinkToFit="1"/>
    </xf>
    <xf numFmtId="179" fontId="19" fillId="0" borderId="18" xfId="1" applyNumberFormat="1" applyFont="1" applyBorder="1" applyAlignment="1">
      <alignment horizontal="center" vertical="center" shrinkToFit="1"/>
    </xf>
    <xf numFmtId="0" fontId="14" fillId="2" borderId="11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49" fontId="17" fillId="0" borderId="19" xfId="1" applyNumberFormat="1" applyFont="1" applyBorder="1" applyAlignment="1">
      <alignment horizontal="center" vertical="center" shrinkToFit="1"/>
    </xf>
    <xf numFmtId="49" fontId="17" fillId="0" borderId="14" xfId="1" applyNumberFormat="1" applyFont="1" applyBorder="1" applyAlignment="1">
      <alignment horizontal="center" vertical="center" shrinkToFit="1"/>
    </xf>
    <xf numFmtId="49" fontId="17" fillId="0" borderId="16" xfId="1" applyNumberFormat="1" applyFont="1" applyBorder="1" applyAlignment="1">
      <alignment horizontal="center" vertical="center" shrinkToFit="1"/>
    </xf>
    <xf numFmtId="49" fontId="17" fillId="0" borderId="10" xfId="1" applyNumberFormat="1" applyFont="1" applyBorder="1" applyAlignment="1">
      <alignment horizontal="center" vertical="center" shrinkToFit="1"/>
    </xf>
    <xf numFmtId="179" fontId="18" fillId="0" borderId="11" xfId="0" applyNumberFormat="1" applyFont="1" applyBorder="1" applyAlignment="1">
      <alignment horizontal="left" vertical="center" shrinkToFit="1"/>
    </xf>
    <xf numFmtId="179" fontId="18" fillId="0" borderId="18" xfId="0" applyNumberFormat="1" applyFont="1" applyBorder="1" applyAlignment="1">
      <alignment horizontal="left" vertical="center" shrinkToFit="1"/>
    </xf>
    <xf numFmtId="180" fontId="19" fillId="0" borderId="3" xfId="1" applyNumberFormat="1" applyFont="1" applyBorder="1" applyAlignment="1">
      <alignment horizontal="center" vertical="center" shrinkToFit="1"/>
    </xf>
    <xf numFmtId="180" fontId="19" fillId="0" borderId="6" xfId="1" applyNumberFormat="1" applyFont="1" applyBorder="1" applyAlignment="1">
      <alignment horizontal="center" vertical="center" shrinkToFit="1"/>
    </xf>
    <xf numFmtId="0" fontId="20" fillId="0" borderId="2" xfId="0" applyFont="1" applyBorder="1" applyAlignment="1">
      <alignment horizontal="left" vertical="center"/>
    </xf>
    <xf numFmtId="0" fontId="14" fillId="2" borderId="2" xfId="0" applyFont="1" applyFill="1" applyBorder="1" applyAlignment="1">
      <alignment horizontal="center" vertical="center"/>
    </xf>
    <xf numFmtId="49" fontId="14" fillId="2" borderId="2" xfId="1" applyNumberFormat="1" applyFont="1" applyFill="1" applyBorder="1" applyAlignment="1">
      <alignment horizontal="center" vertical="center" shrinkToFit="1"/>
    </xf>
    <xf numFmtId="181" fontId="22" fillId="0" borderId="3" xfId="0" applyNumberFormat="1" applyFont="1" applyBorder="1" applyAlignment="1">
      <alignment horizontal="center" vertical="center"/>
    </xf>
    <xf numFmtId="181" fontId="22" fillId="0" borderId="6" xfId="0" applyNumberFormat="1" applyFont="1" applyBorder="1" applyAlignment="1">
      <alignment horizontal="center" vertical="center"/>
    </xf>
    <xf numFmtId="49" fontId="26" fillId="2" borderId="19" xfId="0" applyNumberFormat="1" applyFont="1" applyFill="1" applyBorder="1" applyAlignment="1">
      <alignment horizontal="center" vertical="center"/>
    </xf>
    <xf numFmtId="49" fontId="26" fillId="2" borderId="16" xfId="0" applyNumberFormat="1" applyFont="1" applyFill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4" fillId="3" borderId="2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center" vertical="center"/>
    </xf>
    <xf numFmtId="182" fontId="22" fillId="0" borderId="3" xfId="0" applyNumberFormat="1" applyFont="1" applyBorder="1" applyAlignment="1">
      <alignment horizontal="center" vertical="center"/>
    </xf>
    <xf numFmtId="182" fontId="22" fillId="0" borderId="5" xfId="0" applyNumberFormat="1" applyFont="1" applyBorder="1" applyAlignment="1">
      <alignment horizontal="center" vertical="center"/>
    </xf>
    <xf numFmtId="49" fontId="26" fillId="2" borderId="19" xfId="1" applyNumberFormat="1" applyFont="1" applyFill="1" applyBorder="1" applyAlignment="1">
      <alignment horizontal="center" vertical="center" shrinkToFit="1"/>
    </xf>
    <xf numFmtId="49" fontId="26" fillId="2" borderId="20" xfId="1" applyNumberFormat="1" applyFont="1" applyFill="1" applyBorder="1" applyAlignment="1">
      <alignment horizontal="center" vertical="center" shrinkToFit="1"/>
    </xf>
    <xf numFmtId="0" fontId="22" fillId="0" borderId="4" xfId="0" applyFont="1" applyBorder="1" applyAlignment="1">
      <alignment horizontal="center" vertical="center"/>
    </xf>
    <xf numFmtId="179" fontId="28" fillId="0" borderId="2" xfId="0" applyNumberFormat="1" applyFont="1" applyBorder="1" applyAlignment="1">
      <alignment horizontal="left" vertical="center"/>
    </xf>
  </cellXfs>
  <cellStyles count="2">
    <cellStyle name="標準" xfId="0" builtinId="0"/>
    <cellStyle name="標準 2" xfId="1" xr:uid="{00000000-0005-0000-0000-000001000000}"/>
  </cellStyles>
  <dxfs count="40">
    <dxf>
      <font>
        <color theme="0" tint="-4.9989318521683403E-2"/>
      </font>
    </dxf>
    <dxf>
      <font>
        <b/>
        <i val="0"/>
        <color theme="0"/>
      </font>
    </dxf>
    <dxf>
      <font>
        <color theme="0" tint="-4.9989318521683403E-2"/>
      </font>
    </dxf>
    <dxf>
      <font>
        <b/>
        <i val="0"/>
        <color theme="0"/>
      </font>
    </dxf>
    <dxf>
      <font>
        <color theme="0" tint="-4.9989318521683403E-2"/>
      </font>
    </dxf>
    <dxf>
      <font>
        <b/>
        <i val="0"/>
        <color theme="0"/>
      </font>
    </dxf>
    <dxf>
      <font>
        <color theme="0" tint="-4.9989318521683403E-2"/>
      </font>
    </dxf>
    <dxf>
      <font>
        <b/>
        <i val="0"/>
        <color theme="0"/>
      </font>
    </dxf>
    <dxf>
      <font>
        <color theme="0" tint="-4.9989318521683403E-2"/>
      </font>
    </dxf>
    <dxf>
      <font>
        <b/>
        <i val="0"/>
        <color theme="0"/>
      </font>
    </dxf>
    <dxf>
      <font>
        <color theme="0" tint="-4.9989318521683403E-2"/>
      </font>
    </dxf>
    <dxf>
      <font>
        <b/>
        <i val="0"/>
        <color theme="0"/>
      </font>
    </dxf>
    <dxf>
      <font>
        <color theme="0" tint="-4.9989318521683403E-2"/>
      </font>
    </dxf>
    <dxf>
      <font>
        <b/>
        <i val="0"/>
        <color theme="0"/>
      </font>
    </dxf>
    <dxf>
      <font>
        <color theme="0" tint="-4.9989318521683403E-2"/>
      </font>
    </dxf>
    <dxf>
      <font>
        <b/>
        <i val="0"/>
        <color theme="0"/>
      </font>
    </dxf>
    <dxf>
      <font>
        <color theme="0" tint="-4.9989318521683403E-2"/>
      </font>
    </dxf>
    <dxf>
      <font>
        <b/>
        <i val="0"/>
        <color theme="0"/>
      </font>
    </dxf>
    <dxf>
      <font>
        <color theme="0" tint="-4.9989318521683403E-2"/>
      </font>
    </dxf>
    <dxf>
      <font>
        <b/>
        <i val="0"/>
        <color theme="0"/>
      </font>
    </dxf>
    <dxf>
      <font>
        <color theme="0" tint="-4.9989318521683403E-2"/>
      </font>
    </dxf>
    <dxf>
      <font>
        <b/>
        <i val="0"/>
        <color theme="0"/>
      </font>
    </dxf>
    <dxf>
      <font>
        <color theme="0" tint="-4.9989318521683403E-2"/>
      </font>
    </dxf>
    <dxf>
      <font>
        <b/>
        <i val="0"/>
        <color theme="0"/>
      </font>
    </dxf>
    <dxf>
      <font>
        <color theme="0" tint="-4.9989318521683403E-2"/>
      </font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190500</xdr:colOff>
      <xdr:row>3</xdr:row>
      <xdr:rowOff>76200</xdr:rowOff>
    </xdr:from>
    <xdr:to>
      <xdr:col>9</xdr:col>
      <xdr:colOff>638175</xdr:colOff>
      <xdr:row>5</xdr:row>
      <xdr:rowOff>123825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B9707F2-8EBC-4EE4-210C-9BB421B2B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15375" y="61912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60</xdr:row>
      <xdr:rowOff>133350</xdr:rowOff>
    </xdr:from>
    <xdr:to>
      <xdr:col>9</xdr:col>
      <xdr:colOff>609600</xdr:colOff>
      <xdr:row>62</xdr:row>
      <xdr:rowOff>180975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2EF2B30-AC45-4A8D-AF32-A6218DA8A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1390650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209550</xdr:colOff>
      <xdr:row>117</xdr:row>
      <xdr:rowOff>104775</xdr:rowOff>
    </xdr:from>
    <xdr:to>
      <xdr:col>9</xdr:col>
      <xdr:colOff>657225</xdr:colOff>
      <xdr:row>119</xdr:row>
      <xdr:rowOff>152400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EA8E81C-F8B5-40DB-B470-2D9990F25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4425" y="2710815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171450</xdr:colOff>
      <xdr:row>174</xdr:row>
      <xdr:rowOff>66675</xdr:rowOff>
    </xdr:from>
    <xdr:to>
      <xdr:col>9</xdr:col>
      <xdr:colOff>619125</xdr:colOff>
      <xdr:row>176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6008805-3768-4A54-8C02-E9892FEF9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325" y="4030027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231</xdr:row>
      <xdr:rowOff>104775</xdr:rowOff>
    </xdr:from>
    <xdr:to>
      <xdr:col>9</xdr:col>
      <xdr:colOff>581025</xdr:colOff>
      <xdr:row>233</xdr:row>
      <xdr:rowOff>152400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68CA52E-4432-464F-B375-F8C76CCC1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8225" y="5356860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288</xdr:row>
      <xdr:rowOff>76200</xdr:rowOff>
    </xdr:from>
    <xdr:to>
      <xdr:col>9</xdr:col>
      <xdr:colOff>638175</xdr:colOff>
      <xdr:row>290</xdr:row>
      <xdr:rowOff>123825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C8481F75-9500-49E2-8747-8BF696470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15375" y="6677025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345</xdr:row>
      <xdr:rowOff>85725</xdr:rowOff>
    </xdr:from>
    <xdr:to>
      <xdr:col>9</xdr:col>
      <xdr:colOff>600075</xdr:colOff>
      <xdr:row>347</xdr:row>
      <xdr:rowOff>133350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5701D14-94C8-48E7-B8B2-0C47E3FB6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7275" y="8001000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190500</xdr:colOff>
      <xdr:row>345</xdr:row>
      <xdr:rowOff>133350</xdr:rowOff>
    </xdr:from>
    <xdr:to>
      <xdr:col>8</xdr:col>
      <xdr:colOff>581025</xdr:colOff>
      <xdr:row>347</xdr:row>
      <xdr:rowOff>123825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B9A5A7A-6815-70DC-B8FF-AA61A919A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50" y="80057625"/>
          <a:ext cx="390525" cy="390525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190500</xdr:colOff>
      <xdr:row>288</xdr:row>
      <xdr:rowOff>95250</xdr:rowOff>
    </xdr:from>
    <xdr:to>
      <xdr:col>8</xdr:col>
      <xdr:colOff>609600</xdr:colOff>
      <xdr:row>290</xdr:row>
      <xdr:rowOff>114300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FABA6727-B73E-4010-A8F0-960193A72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50" y="6678930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231</xdr:row>
      <xdr:rowOff>85725</xdr:rowOff>
    </xdr:from>
    <xdr:to>
      <xdr:col>8</xdr:col>
      <xdr:colOff>657225</xdr:colOff>
      <xdr:row>233</xdr:row>
      <xdr:rowOff>190500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1709D820-0BAF-46B0-840B-5BDAA90FA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650" y="53549550"/>
          <a:ext cx="504825" cy="504825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174</xdr:row>
      <xdr:rowOff>57150</xdr:rowOff>
    </xdr:from>
    <xdr:to>
      <xdr:col>8</xdr:col>
      <xdr:colOff>619125</xdr:colOff>
      <xdr:row>176</xdr:row>
      <xdr:rowOff>152400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5066A4F2-8E5F-44BB-AE79-434E4D9D0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9075" y="40290750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209550</xdr:colOff>
      <xdr:row>117</xdr:row>
      <xdr:rowOff>114300</xdr:rowOff>
    </xdr:from>
    <xdr:to>
      <xdr:col>8</xdr:col>
      <xdr:colOff>676275</xdr:colOff>
      <xdr:row>119</xdr:row>
      <xdr:rowOff>180975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DAE5CBFA-8B80-4481-9165-8444B92D9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27117675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60</xdr:row>
      <xdr:rowOff>76200</xdr:rowOff>
    </xdr:from>
    <xdr:to>
      <xdr:col>8</xdr:col>
      <xdr:colOff>676275</xdr:colOff>
      <xdr:row>62</xdr:row>
      <xdr:rowOff>180975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DF328BE1-671D-A9F2-A7F8-A14959C45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6700" y="13849350"/>
          <a:ext cx="504825" cy="504825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161926</xdr:colOff>
      <xdr:row>3</xdr:row>
      <xdr:rowOff>76201</xdr:rowOff>
    </xdr:from>
    <xdr:to>
      <xdr:col>8</xdr:col>
      <xdr:colOff>657226</xdr:colOff>
      <xdr:row>5</xdr:row>
      <xdr:rowOff>171451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FEA4F73B-E832-D2E6-1CD8-CC29326ED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6" y="619126"/>
          <a:ext cx="4953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0658;&#37096;&#24037;&#26989;&#65293;&#65328;&#65315;\Desktop\NVBF2506.xlsm" TargetMode="External"/><Relationship Id="rId1" Type="http://schemas.openxmlformats.org/officeDocument/2006/relationships/externalLinkPath" Target="/Users/&#40658;&#37096;&#24037;&#26989;&#65293;&#65328;&#65315;/Desktop/NVBF250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8FL基材M"/>
      <sheetName val="加工記録表"/>
      <sheetName val="納品明細書"/>
      <sheetName val="請求"/>
      <sheetName val="依頼書保管"/>
      <sheetName val="指図書"/>
      <sheetName val="VFDB2"/>
      <sheetName val="温度換算"/>
      <sheetName val="網戸日程"/>
    </sheetNames>
    <sheetDataSet>
      <sheetData sheetId="0"/>
      <sheetData sheetId="1"/>
      <sheetData sheetId="2">
        <row r="2">
          <cell r="B2" t="str">
            <v>No</v>
          </cell>
          <cell r="C2" t="str">
            <v>品名</v>
          </cell>
          <cell r="P2" t="str">
            <v>温度２</v>
          </cell>
          <cell r="Q2" t="str">
            <v>温度３</v>
          </cell>
          <cell r="R2" t="str">
            <v>温度４</v>
          </cell>
          <cell r="S2" t="str">
            <v>温度５</v>
          </cell>
          <cell r="T2" t="str">
            <v>温度６</v>
          </cell>
          <cell r="U2" t="str">
            <v>温度７</v>
          </cell>
          <cell r="V2" t="str">
            <v>温度８</v>
          </cell>
          <cell r="W2" t="str">
            <v>寸法２</v>
          </cell>
          <cell r="X2" t="str">
            <v>寸法３</v>
          </cell>
          <cell r="Y2" t="str">
            <v>寸法４</v>
          </cell>
          <cell r="Z2" t="str">
            <v>寸法５</v>
          </cell>
          <cell r="AA2" t="str">
            <v>寸法６</v>
          </cell>
          <cell r="AB2" t="str">
            <v>寸法７</v>
          </cell>
          <cell r="AC2" t="str">
            <v>寸法８</v>
          </cell>
          <cell r="AD2" t="str">
            <v>加工数</v>
          </cell>
          <cell r="AE2" t="str">
            <v>基材
不良</v>
          </cell>
          <cell r="AF2" t="str">
            <v>製品
不良</v>
          </cell>
          <cell r="AG2" t="str">
            <v>基材
使用</v>
          </cell>
          <cell r="AH2" t="str">
            <v>ｷｽﾞ</v>
          </cell>
          <cell r="AI2" t="str">
            <v>凹み</v>
          </cell>
          <cell r="AJ2" t="str">
            <v>異物</v>
          </cell>
          <cell r="AK2" t="str">
            <v>ﾒﾔﾆ</v>
          </cell>
          <cell r="AL2" t="str">
            <v>欠け</v>
          </cell>
          <cell r="AM2" t="str">
            <v>ベコツキ</v>
          </cell>
          <cell r="AN2" t="str">
            <v>その他</v>
          </cell>
          <cell r="AO2" t="str">
            <v>端材</v>
          </cell>
          <cell r="AQ2" t="str">
            <v>加工日内訳</v>
          </cell>
          <cell r="BB2" t="str">
            <v>加工日1</v>
          </cell>
          <cell r="BC2" t="str">
            <v>加工日2</v>
          </cell>
          <cell r="BD2" t="str">
            <v>加工日3</v>
          </cell>
          <cell r="BE2" t="str">
            <v>加工日4</v>
          </cell>
          <cell r="BF2" t="str">
            <v>加工日5</v>
          </cell>
          <cell r="BG2" t="str">
            <v>加工日6</v>
          </cell>
          <cell r="BH2" t="str">
            <v>加工日7</v>
          </cell>
          <cell r="BI2" t="str">
            <v>加工日8</v>
          </cell>
          <cell r="BJ2" t="str">
            <v>Lot1</v>
          </cell>
          <cell r="BK2" t="str">
            <v>Lot2</v>
          </cell>
          <cell r="BL2" t="str">
            <v>Lot3</v>
          </cell>
          <cell r="BM2" t="str">
            <v>Lot4</v>
          </cell>
          <cell r="BN2" t="str">
            <v>Lot5</v>
          </cell>
          <cell r="BO2" t="str">
            <v>Lot6</v>
          </cell>
          <cell r="BP2" t="str">
            <v>Lot7</v>
          </cell>
          <cell r="BQ2" t="str">
            <v>Lot8</v>
          </cell>
          <cell r="BR2" t="str">
            <v>使1</v>
          </cell>
          <cell r="BS2" t="str">
            <v>使2</v>
          </cell>
          <cell r="BT2" t="str">
            <v>使3</v>
          </cell>
          <cell r="BU2" t="str">
            <v>使4</v>
          </cell>
          <cell r="BV2" t="str">
            <v>使5</v>
          </cell>
          <cell r="BW2" t="str">
            <v>使6</v>
          </cell>
          <cell r="BX2" t="str">
            <v>使7</v>
          </cell>
          <cell r="BY2" t="str">
            <v>使8</v>
          </cell>
          <cell r="CA2" t="str">
            <v>切断者</v>
          </cell>
          <cell r="CB2" t="str">
            <v>検査者</v>
          </cell>
        </row>
        <row r="3">
          <cell r="B3" t="str">
            <v>00754612</v>
          </cell>
          <cell r="C3" t="str">
            <v>灯具カバーPC IN 2130　L=908</v>
          </cell>
          <cell r="P3" t="str">
            <v/>
          </cell>
          <cell r="Q3" t="str">
            <v/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  <cell r="W3" t="str">
            <v/>
          </cell>
          <cell r="X3" t="str">
            <v/>
          </cell>
          <cell r="Y3" t="str">
            <v/>
          </cell>
          <cell r="Z3" t="str">
            <v/>
          </cell>
          <cell r="AA3" t="str">
            <v/>
          </cell>
          <cell r="AB3" t="str">
            <v/>
          </cell>
          <cell r="AC3" t="str">
            <v/>
          </cell>
          <cell r="AD3">
            <v>176</v>
          </cell>
          <cell r="AE3">
            <v>27</v>
          </cell>
          <cell r="AF3">
            <v>27</v>
          </cell>
          <cell r="AG3">
            <v>203</v>
          </cell>
          <cell r="AH3">
            <v>7</v>
          </cell>
          <cell r="AI3">
            <v>19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Q3">
            <v>45806</v>
          </cell>
          <cell r="AR3">
            <v>2</v>
          </cell>
          <cell r="AS3">
            <v>45807</v>
          </cell>
          <cell r="AT3">
            <v>9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B3">
            <v>45768</v>
          </cell>
          <cell r="BC3">
            <v>45806</v>
          </cell>
          <cell r="BD3" t="str">
            <v/>
          </cell>
          <cell r="BE3" t="str">
            <v/>
          </cell>
          <cell r="BF3" t="str">
            <v/>
          </cell>
          <cell r="BG3" t="str">
            <v/>
          </cell>
          <cell r="BH3" t="str">
            <v/>
          </cell>
          <cell r="BI3" t="str">
            <v/>
          </cell>
          <cell r="BJ3" t="str">
            <v>25D10-01</v>
          </cell>
          <cell r="BK3" t="str">
            <v>25E17-01</v>
          </cell>
          <cell r="BL3" t="str">
            <v/>
          </cell>
          <cell r="BM3" t="str">
            <v/>
          </cell>
          <cell r="BN3" t="str">
            <v/>
          </cell>
          <cell r="BO3" t="str">
            <v/>
          </cell>
          <cell r="BP3" t="str">
            <v/>
          </cell>
          <cell r="BQ3" t="str">
            <v/>
          </cell>
          <cell r="BR3">
            <v>3</v>
          </cell>
          <cell r="BS3">
            <v>200</v>
          </cell>
          <cell r="BT3" t="str">
            <v/>
          </cell>
          <cell r="BU3" t="str">
            <v/>
          </cell>
          <cell r="BV3" t="str">
            <v/>
          </cell>
          <cell r="BW3" t="str">
            <v/>
          </cell>
          <cell r="BX3" t="str">
            <v/>
          </cell>
          <cell r="BY3" t="str">
            <v/>
          </cell>
          <cell r="CA3" t="str">
            <v>-</v>
          </cell>
          <cell r="CB3" t="str">
            <v>高森</v>
          </cell>
          <cell r="CD3" t="str">
            <v>000000000003339</v>
          </cell>
        </row>
        <row r="5">
          <cell r="C5">
            <v>176</v>
          </cell>
        </row>
        <row r="7">
          <cell r="C7">
            <v>45807</v>
          </cell>
        </row>
        <row r="11">
          <cell r="B11" t="str">
            <v>00754613</v>
          </cell>
          <cell r="C11" t="str">
            <v>灯具カバーPC IN 2050　L=1183.5</v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>
            <v>288</v>
          </cell>
          <cell r="AE11">
            <v>102</v>
          </cell>
          <cell r="AF11">
            <v>102</v>
          </cell>
          <cell r="AG11">
            <v>390</v>
          </cell>
          <cell r="AH11">
            <v>8</v>
          </cell>
          <cell r="AI11">
            <v>87</v>
          </cell>
          <cell r="AJ11">
            <v>7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Q11">
            <v>0</v>
          </cell>
          <cell r="AR11">
            <v>0</v>
          </cell>
          <cell r="AS11">
            <v>45807</v>
          </cell>
          <cell r="AT11">
            <v>7</v>
          </cell>
          <cell r="AU11">
            <v>45810</v>
          </cell>
          <cell r="AV11">
            <v>8</v>
          </cell>
          <cell r="AW11">
            <v>45811</v>
          </cell>
          <cell r="AX11">
            <v>3</v>
          </cell>
          <cell r="AY11">
            <v>0</v>
          </cell>
          <cell r="AZ11">
            <v>0</v>
          </cell>
          <cell r="BB11" t="str">
            <v>3/18/</v>
          </cell>
          <cell r="BC11">
            <v>45807</v>
          </cell>
          <cell r="BD11">
            <v>45810</v>
          </cell>
          <cell r="BE11">
            <v>45811</v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>25C11-01</v>
          </cell>
          <cell r="BK11" t="str">
            <v>25E17-01</v>
          </cell>
          <cell r="BL11" t="str">
            <v>25E20-02</v>
          </cell>
          <cell r="BM11" t="str">
            <v>25E20-02</v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>
            <v>3</v>
          </cell>
          <cell r="BS11">
            <v>200</v>
          </cell>
          <cell r="BT11">
            <v>187</v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CA11" t="str">
            <v>-</v>
          </cell>
          <cell r="CB11" t="str">
            <v>高森
水野・富田</v>
          </cell>
          <cell r="CD11" t="str">
            <v>000000000003340</v>
          </cell>
        </row>
        <row r="13">
          <cell r="C13">
            <v>288</v>
          </cell>
        </row>
        <row r="15">
          <cell r="C15">
            <v>45811</v>
          </cell>
        </row>
        <row r="19">
          <cell r="B19" t="str">
            <v>00758074</v>
          </cell>
          <cell r="C19" t="str">
            <v>特注　灯具カバーPC　L=503</v>
          </cell>
          <cell r="P19">
            <v>22</v>
          </cell>
          <cell r="Q19">
            <v>22</v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>
            <v>503.7</v>
          </cell>
          <cell r="X19">
            <v>503.7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>
            <v>10</v>
          </cell>
          <cell r="AE19" t="str">
            <v/>
          </cell>
          <cell r="AF19">
            <v>0</v>
          </cell>
          <cell r="AG19" t="str">
            <v/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10</v>
          </cell>
          <cell r="AQ19">
            <v>45806</v>
          </cell>
          <cell r="AR19">
            <v>5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B19" t="str">
            <v/>
          </cell>
          <cell r="BC19">
            <v>45806</v>
          </cell>
          <cell r="BD19">
            <v>45806</v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>25D11-01</v>
          </cell>
          <cell r="BL19" t="str">
            <v>25D11-01</v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>
            <v>0</v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CA19" t="str">
            <v>富田</v>
          </cell>
          <cell r="CB19" t="str">
            <v>高森</v>
          </cell>
          <cell r="CD19" t="str">
            <v>Z002</v>
          </cell>
        </row>
        <row r="21">
          <cell r="C21">
            <v>10</v>
          </cell>
        </row>
        <row r="23">
          <cell r="C23">
            <v>45806</v>
          </cell>
        </row>
        <row r="27">
          <cell r="B27" t="str">
            <v>00758073</v>
          </cell>
          <cell r="C27" t="str">
            <v>特注　灯具カバーPC　L=669</v>
          </cell>
          <cell r="P27">
            <v>22</v>
          </cell>
          <cell r="Q27">
            <v>22</v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>
            <v>670.15</v>
          </cell>
          <cell r="X27">
            <v>670.2</v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>
            <v>10</v>
          </cell>
          <cell r="AE27" t="str">
            <v/>
          </cell>
          <cell r="AF27">
            <v>0</v>
          </cell>
          <cell r="AG27" t="str">
            <v/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10</v>
          </cell>
          <cell r="AQ27">
            <v>45806</v>
          </cell>
          <cell r="AR27">
            <v>5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B27" t="str">
            <v/>
          </cell>
          <cell r="BC27">
            <v>45806</v>
          </cell>
          <cell r="BD27">
            <v>45806</v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>25D10-01</v>
          </cell>
          <cell r="BL27" t="str">
            <v>25D10-01</v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>
            <v>0</v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CA27" t="str">
            <v>富田</v>
          </cell>
          <cell r="CB27" t="str">
            <v>高森</v>
          </cell>
          <cell r="CD27" t="str">
            <v>Z001</v>
          </cell>
        </row>
        <row r="29">
          <cell r="C29">
            <v>10</v>
          </cell>
        </row>
        <row r="31">
          <cell r="C31">
            <v>45806</v>
          </cell>
        </row>
        <row r="35">
          <cell r="B35" t="str">
            <v>00757225</v>
          </cell>
          <cell r="C35" t="str">
            <v>001EGAW　715</v>
          </cell>
          <cell r="P35">
            <v>24</v>
          </cell>
          <cell r="Q35">
            <v>24</v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>
            <v>715.39</v>
          </cell>
          <cell r="X35">
            <v>715.21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>
            <v>400</v>
          </cell>
          <cell r="AE35">
            <v>0</v>
          </cell>
          <cell r="AF35">
            <v>0</v>
          </cell>
          <cell r="AG35">
            <v>200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Q35">
            <v>45810</v>
          </cell>
          <cell r="AR35">
            <v>2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B35" t="str">
            <v/>
          </cell>
          <cell r="BC35">
            <v>45810</v>
          </cell>
          <cell r="BD35">
            <v>45810</v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>25A17B</v>
          </cell>
          <cell r="BL35" t="str">
            <v>25E26C</v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>
            <v>200</v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CA35" t="str">
            <v>富田</v>
          </cell>
          <cell r="CB35" t="str">
            <v>-</v>
          </cell>
          <cell r="CD35" t="str">
            <v>000000000003627</v>
          </cell>
        </row>
        <row r="37">
          <cell r="C37">
            <v>400</v>
          </cell>
        </row>
        <row r="39">
          <cell r="C39">
            <v>45810</v>
          </cell>
        </row>
        <row r="43">
          <cell r="B43" t="str">
            <v>00757224</v>
          </cell>
          <cell r="C43" t="str">
            <v>001EGAW　665</v>
          </cell>
          <cell r="P43" t="str">
            <v/>
          </cell>
          <cell r="Q43">
            <v>22</v>
          </cell>
          <cell r="R43">
            <v>22</v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>
            <v>665.19</v>
          </cell>
          <cell r="Y43">
            <v>665.13</v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>
            <v>200</v>
          </cell>
          <cell r="AE43">
            <v>0</v>
          </cell>
          <cell r="AF43">
            <v>0</v>
          </cell>
          <cell r="AG43">
            <v>100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Q43">
            <v>45811</v>
          </cell>
          <cell r="AR43">
            <v>1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B43" t="str">
            <v/>
          </cell>
          <cell r="BC43" t="str">
            <v/>
          </cell>
          <cell r="BD43">
            <v>45811</v>
          </cell>
          <cell r="BE43">
            <v>45811</v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>25E26C</v>
          </cell>
          <cell r="BM43" t="str">
            <v>25E26C</v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>
            <v>100</v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CA43" t="str">
            <v>水野</v>
          </cell>
          <cell r="CB43" t="str">
            <v>-</v>
          </cell>
          <cell r="CD43" t="str">
            <v>000000000003626</v>
          </cell>
        </row>
        <row r="45">
          <cell r="C45">
            <v>200</v>
          </cell>
        </row>
        <row r="47">
          <cell r="C47">
            <v>45811</v>
          </cell>
        </row>
        <row r="51">
          <cell r="B51" t="str">
            <v>00757223</v>
          </cell>
          <cell r="C51" t="str">
            <v>001EGAW　652</v>
          </cell>
          <cell r="P51">
            <v>22</v>
          </cell>
          <cell r="Q51">
            <v>24</v>
          </cell>
          <cell r="R51">
            <v>26</v>
          </cell>
          <cell r="S51">
            <v>26</v>
          </cell>
          <cell r="T51" t="str">
            <v/>
          </cell>
          <cell r="U51" t="str">
            <v/>
          </cell>
          <cell r="V51" t="str">
            <v/>
          </cell>
          <cell r="W51">
            <v>651.97</v>
          </cell>
          <cell r="X51">
            <v>652.20000000000005</v>
          </cell>
          <cell r="Y51">
            <v>652.16999999999996</v>
          </cell>
          <cell r="Z51">
            <v>652.03</v>
          </cell>
          <cell r="AA51" t="str">
            <v/>
          </cell>
          <cell r="AB51" t="str">
            <v/>
          </cell>
          <cell r="AC51" t="str">
            <v/>
          </cell>
          <cell r="AD51">
            <v>2700</v>
          </cell>
          <cell r="AE51">
            <v>0</v>
          </cell>
          <cell r="AF51">
            <v>0</v>
          </cell>
          <cell r="AG51">
            <v>1350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Q51">
            <v>45811</v>
          </cell>
          <cell r="AR51">
            <v>14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B51" t="str">
            <v/>
          </cell>
          <cell r="BC51">
            <v>45811</v>
          </cell>
          <cell r="BD51">
            <v>45811</v>
          </cell>
          <cell r="BE51">
            <v>45811</v>
          </cell>
          <cell r="BF51">
            <v>45811</v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>25E26C</v>
          </cell>
          <cell r="BL51" t="str">
            <v>25E24A</v>
          </cell>
          <cell r="BM51" t="str">
            <v>25E26C</v>
          </cell>
          <cell r="BN51" t="str">
            <v>25E26B</v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>
            <v>600</v>
          </cell>
          <cell r="BT51">
            <v>450</v>
          </cell>
          <cell r="BU51" t="str">
            <v/>
          </cell>
          <cell r="BV51">
            <v>300</v>
          </cell>
          <cell r="BW51" t="str">
            <v/>
          </cell>
          <cell r="BX51" t="str">
            <v/>
          </cell>
          <cell r="BY51" t="str">
            <v/>
          </cell>
          <cell r="CA51" t="str">
            <v>富田・水野</v>
          </cell>
          <cell r="CB51" t="str">
            <v>-</v>
          </cell>
          <cell r="CD51" t="str">
            <v>000000000003625</v>
          </cell>
        </row>
        <row r="53">
          <cell r="C53">
            <v>2700</v>
          </cell>
        </row>
        <row r="55">
          <cell r="C55">
            <v>45811</v>
          </cell>
        </row>
        <row r="59">
          <cell r="B59" t="str">
            <v>00757222</v>
          </cell>
          <cell r="C59" t="str">
            <v>001EGAW　633</v>
          </cell>
          <cell r="P59">
            <v>20</v>
          </cell>
          <cell r="Q59">
            <v>20</v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>
            <v>633.41999999999996</v>
          </cell>
          <cell r="X59">
            <v>633.45000000000005</v>
          </cell>
          <cell r="Y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>
            <v>200</v>
          </cell>
          <cell r="AE59">
            <v>0</v>
          </cell>
          <cell r="AF59">
            <v>0</v>
          </cell>
          <cell r="AG59">
            <v>100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Q59">
            <v>45812</v>
          </cell>
          <cell r="AR59">
            <v>1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B59" t="str">
            <v/>
          </cell>
          <cell r="BC59">
            <v>45812</v>
          </cell>
          <cell r="BD59">
            <v>45812</v>
          </cell>
          <cell r="BE59" t="str">
            <v/>
          </cell>
          <cell r="BF59" t="str">
            <v/>
          </cell>
          <cell r="BG59" t="str">
            <v/>
          </cell>
          <cell r="BH59" t="str">
            <v/>
          </cell>
          <cell r="BI59" t="str">
            <v/>
          </cell>
          <cell r="BJ59" t="str">
            <v/>
          </cell>
          <cell r="BK59" t="str">
            <v>25E23C</v>
          </cell>
          <cell r="BL59" t="str">
            <v>25E23C</v>
          </cell>
          <cell r="BM59" t="str">
            <v/>
          </cell>
          <cell r="BN59" t="str">
            <v/>
          </cell>
          <cell r="BO59" t="str">
            <v/>
          </cell>
          <cell r="BP59" t="str">
            <v/>
          </cell>
          <cell r="BQ59" t="str">
            <v/>
          </cell>
          <cell r="BR59" t="str">
            <v/>
          </cell>
          <cell r="BS59">
            <v>100</v>
          </cell>
          <cell r="BT59" t="str">
            <v/>
          </cell>
          <cell r="BU59" t="str">
            <v/>
          </cell>
          <cell r="BV59" t="str">
            <v/>
          </cell>
          <cell r="BW59" t="str">
            <v/>
          </cell>
          <cell r="BX59" t="str">
            <v/>
          </cell>
          <cell r="BY59" t="str">
            <v/>
          </cell>
          <cell r="CA59" t="str">
            <v>水野</v>
          </cell>
          <cell r="CB59" t="str">
            <v>-</v>
          </cell>
          <cell r="CD59" t="str">
            <v>000000000003624</v>
          </cell>
        </row>
        <row r="61">
          <cell r="C61">
            <v>200</v>
          </cell>
        </row>
        <row r="63">
          <cell r="C63">
            <v>45812</v>
          </cell>
        </row>
        <row r="67">
          <cell r="B67" t="str">
            <v>00757221</v>
          </cell>
          <cell r="C67" t="str">
            <v>001EGAW　565</v>
          </cell>
          <cell r="P67">
            <v>24</v>
          </cell>
          <cell r="Q67">
            <v>24</v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>
            <v>565.16999999999996</v>
          </cell>
          <cell r="X67">
            <v>565.42999999999995</v>
          </cell>
          <cell r="Y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>
            <v>800</v>
          </cell>
          <cell r="AE67">
            <v>0</v>
          </cell>
          <cell r="AF67">
            <v>0</v>
          </cell>
          <cell r="AG67">
            <v>400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Q67">
            <v>45812</v>
          </cell>
          <cell r="AR67">
            <v>4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B67" t="str">
            <v/>
          </cell>
          <cell r="BC67">
            <v>45812</v>
          </cell>
          <cell r="BD67">
            <v>45812</v>
          </cell>
          <cell r="BE67" t="str">
            <v/>
          </cell>
          <cell r="BF67" t="str">
            <v/>
          </cell>
          <cell r="BG67" t="str">
            <v/>
          </cell>
          <cell r="BH67" t="str">
            <v/>
          </cell>
          <cell r="BI67" t="str">
            <v/>
          </cell>
          <cell r="BJ67" t="str">
            <v/>
          </cell>
          <cell r="BK67" t="str">
            <v>25E23C</v>
          </cell>
          <cell r="BL67" t="str">
            <v>25E23C</v>
          </cell>
          <cell r="BM67" t="str">
            <v/>
          </cell>
          <cell r="BN67" t="str">
            <v/>
          </cell>
          <cell r="BO67" t="str">
            <v/>
          </cell>
          <cell r="BP67" t="str">
            <v/>
          </cell>
          <cell r="BQ67" t="str">
            <v/>
          </cell>
          <cell r="BR67" t="str">
            <v/>
          </cell>
          <cell r="BS67">
            <v>400</v>
          </cell>
          <cell r="BT67" t="str">
            <v/>
          </cell>
          <cell r="BU67" t="str">
            <v/>
          </cell>
          <cell r="BV67" t="str">
            <v/>
          </cell>
          <cell r="BW67" t="str">
            <v/>
          </cell>
          <cell r="BX67" t="str">
            <v/>
          </cell>
          <cell r="BY67" t="str">
            <v/>
          </cell>
          <cell r="CA67" t="str">
            <v>水野</v>
          </cell>
          <cell r="CB67" t="str">
            <v>-</v>
          </cell>
          <cell r="CD67" t="str">
            <v>000000000003623</v>
          </cell>
        </row>
        <row r="69">
          <cell r="C69">
            <v>800</v>
          </cell>
        </row>
        <row r="71">
          <cell r="C71">
            <v>45812</v>
          </cell>
        </row>
        <row r="75">
          <cell r="B75" t="str">
            <v>00757220</v>
          </cell>
          <cell r="C75" t="str">
            <v>001EGAW　508</v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V75" t="str">
            <v/>
          </cell>
          <cell r="W75">
            <v>508.41</v>
          </cell>
          <cell r="X75">
            <v>508.04</v>
          </cell>
          <cell r="Y75">
            <v>508.02</v>
          </cell>
          <cell r="Z75">
            <v>508.02</v>
          </cell>
          <cell r="AA75">
            <v>507.84</v>
          </cell>
          <cell r="AB75" t="str">
            <v/>
          </cell>
          <cell r="AC75" t="str">
            <v/>
          </cell>
          <cell r="AD75">
            <v>1700</v>
          </cell>
          <cell r="AE75">
            <v>6</v>
          </cell>
          <cell r="AF75">
            <v>12</v>
          </cell>
          <cell r="AG75">
            <v>856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12</v>
          </cell>
          <cell r="AO75">
            <v>0</v>
          </cell>
          <cell r="AQ75">
            <v>45812</v>
          </cell>
          <cell r="AR75">
            <v>8</v>
          </cell>
          <cell r="AS75">
            <v>45813</v>
          </cell>
          <cell r="AT75">
            <v>1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B75" t="str">
            <v/>
          </cell>
          <cell r="BC75">
            <v>45812</v>
          </cell>
          <cell r="BD75">
            <v>45812</v>
          </cell>
          <cell r="BE75">
            <v>45812</v>
          </cell>
          <cell r="BF75">
            <v>45813</v>
          </cell>
          <cell r="BG75">
            <v>45813</v>
          </cell>
          <cell r="BH75" t="str">
            <v/>
          </cell>
          <cell r="BI75" t="str">
            <v/>
          </cell>
          <cell r="BJ75" t="str">
            <v/>
          </cell>
          <cell r="BK75" t="str">
            <v>25E24A</v>
          </cell>
          <cell r="BL75" t="str">
            <v>25E23C</v>
          </cell>
          <cell r="BM75" t="str">
            <v>25A15B</v>
          </cell>
          <cell r="BN75" t="str">
            <v>25E22B</v>
          </cell>
          <cell r="BO75" t="str">
            <v>25E22B</v>
          </cell>
          <cell r="BP75" t="str">
            <v/>
          </cell>
          <cell r="BQ75" t="str">
            <v/>
          </cell>
          <cell r="BR75" t="str">
            <v/>
          </cell>
          <cell r="BS75">
            <v>50</v>
          </cell>
          <cell r="BT75">
            <v>300</v>
          </cell>
          <cell r="BU75">
            <v>6</v>
          </cell>
          <cell r="BV75">
            <v>500</v>
          </cell>
          <cell r="BW75" t="str">
            <v/>
          </cell>
          <cell r="BX75" t="str">
            <v/>
          </cell>
          <cell r="BY75" t="str">
            <v/>
          </cell>
          <cell r="CA75" t="str">
            <v>水野</v>
          </cell>
          <cell r="CB75" t="str">
            <v>-</v>
          </cell>
          <cell r="CD75" t="str">
            <v>000000000003622</v>
          </cell>
        </row>
        <row r="77">
          <cell r="C77">
            <v>1700</v>
          </cell>
        </row>
        <row r="79">
          <cell r="C79">
            <v>45813</v>
          </cell>
        </row>
        <row r="83">
          <cell r="B83" t="str">
            <v>00757219</v>
          </cell>
          <cell r="C83" t="str">
            <v>001EGAW　415</v>
          </cell>
          <cell r="P83" t="str">
            <v/>
          </cell>
          <cell r="Q83" t="str">
            <v/>
          </cell>
          <cell r="R83" t="str">
            <v/>
          </cell>
          <cell r="S83" t="str">
            <v>-</v>
          </cell>
          <cell r="T83" t="str">
            <v>-</v>
          </cell>
          <cell r="U83" t="str">
            <v/>
          </cell>
          <cell r="V83" t="str">
            <v/>
          </cell>
          <cell r="W83">
            <v>415.12</v>
          </cell>
          <cell r="X83" t="str">
            <v/>
          </cell>
          <cell r="Y83">
            <v>415.12</v>
          </cell>
          <cell r="Z83" t="str">
            <v/>
          </cell>
          <cell r="AA83">
            <v>415.21</v>
          </cell>
          <cell r="AB83" t="str">
            <v/>
          </cell>
          <cell r="AC83" t="str">
            <v/>
          </cell>
          <cell r="AD83">
            <v>1500</v>
          </cell>
          <cell r="AE83">
            <v>1</v>
          </cell>
          <cell r="AF83">
            <v>2</v>
          </cell>
          <cell r="AG83">
            <v>212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2</v>
          </cell>
          <cell r="AO83">
            <v>866</v>
          </cell>
          <cell r="AQ83">
            <v>45813</v>
          </cell>
          <cell r="AR83">
            <v>8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B83" t="str">
            <v/>
          </cell>
          <cell r="BC83">
            <v>45813</v>
          </cell>
          <cell r="BD83">
            <v>45813</v>
          </cell>
          <cell r="BE83">
            <v>45813</v>
          </cell>
          <cell r="BF83">
            <v>45813</v>
          </cell>
          <cell r="BG83">
            <v>45813</v>
          </cell>
          <cell r="BH83" t="str">
            <v/>
          </cell>
          <cell r="BI83" t="str">
            <v/>
          </cell>
          <cell r="BJ83" t="str">
            <v/>
          </cell>
          <cell r="BK83" t="str">
            <v>25E22B</v>
          </cell>
          <cell r="BL83" t="str">
            <v>25E23C</v>
          </cell>
          <cell r="BM83" t="str">
            <v>25E24A</v>
          </cell>
          <cell r="BN83" t="str">
            <v>25E23B</v>
          </cell>
          <cell r="BO83" t="str">
            <v>25A15B</v>
          </cell>
          <cell r="BP83" t="str">
            <v/>
          </cell>
          <cell r="BQ83" t="str">
            <v/>
          </cell>
          <cell r="BR83" t="str">
            <v/>
          </cell>
          <cell r="BS83">
            <v>0</v>
          </cell>
          <cell r="BT83">
            <v>0</v>
          </cell>
          <cell r="BU83">
            <v>0</v>
          </cell>
          <cell r="BV83">
            <v>200</v>
          </cell>
          <cell r="BW83">
            <v>12</v>
          </cell>
          <cell r="BX83" t="str">
            <v/>
          </cell>
          <cell r="BY83" t="str">
            <v/>
          </cell>
          <cell r="CA83" t="str">
            <v>水野</v>
          </cell>
          <cell r="CB83" t="str">
            <v>-</v>
          </cell>
          <cell r="CD83" t="str">
            <v>000000000003621</v>
          </cell>
        </row>
        <row r="85">
          <cell r="C85">
            <v>1500</v>
          </cell>
        </row>
        <row r="87">
          <cell r="C87">
            <v>45813</v>
          </cell>
        </row>
        <row r="91">
          <cell r="B91" t="str">
            <v>00758109</v>
          </cell>
          <cell r="C91" t="str">
            <v>8FL281304 6110　L=1478</v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B91" t="str">
            <v/>
          </cell>
          <cell r="BC91" t="str">
            <v/>
          </cell>
          <cell r="BD91" t="str">
            <v/>
          </cell>
          <cell r="BE91" t="str">
            <v/>
          </cell>
          <cell r="BF91" t="str">
            <v/>
          </cell>
          <cell r="BG91" t="str">
            <v/>
          </cell>
          <cell r="BH91" t="str">
            <v/>
          </cell>
          <cell r="BI91" t="str">
            <v/>
          </cell>
          <cell r="BJ91" t="str">
            <v/>
          </cell>
          <cell r="BK91" t="str">
            <v/>
          </cell>
          <cell r="BL91" t="str">
            <v/>
          </cell>
          <cell r="BM91" t="str">
            <v/>
          </cell>
          <cell r="BN91" t="str">
            <v/>
          </cell>
          <cell r="BO91" t="str">
            <v/>
          </cell>
          <cell r="BP91" t="str">
            <v/>
          </cell>
          <cell r="BQ91" t="str">
            <v/>
          </cell>
          <cell r="BR91" t="str">
            <v/>
          </cell>
          <cell r="BS91" t="str">
            <v/>
          </cell>
          <cell r="BT91" t="str">
            <v/>
          </cell>
          <cell r="BU91" t="str">
            <v/>
          </cell>
          <cell r="BV91" t="str">
            <v/>
          </cell>
          <cell r="BW91" t="str">
            <v/>
          </cell>
          <cell r="BX91" t="str">
            <v/>
          </cell>
          <cell r="BY91" t="str">
            <v/>
          </cell>
          <cell r="CA91">
            <v>0</v>
          </cell>
          <cell r="CB91">
            <v>0</v>
          </cell>
          <cell r="CD91" t="str">
            <v>000000000003691</v>
          </cell>
        </row>
        <row r="93">
          <cell r="C93">
            <v>0</v>
          </cell>
        </row>
        <row r="95">
          <cell r="C95">
            <v>0</v>
          </cell>
        </row>
        <row r="99">
          <cell r="B99" t="str">
            <v>00758108</v>
          </cell>
          <cell r="C99" t="str">
            <v>8FL281304 4810　L=297</v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Y99" t="str">
            <v/>
          </cell>
          <cell r="Z99" t="str">
            <v/>
          </cell>
          <cell r="AA99" t="str">
            <v/>
          </cell>
          <cell r="AB99" t="str">
            <v/>
          </cell>
          <cell r="AC99" t="str">
            <v/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B99" t="str">
            <v/>
          </cell>
          <cell r="BC99" t="str">
            <v/>
          </cell>
          <cell r="BD99" t="str">
            <v/>
          </cell>
          <cell r="BE99" t="str">
            <v/>
          </cell>
          <cell r="BF99" t="str">
            <v/>
          </cell>
          <cell r="BG99" t="str">
            <v/>
          </cell>
          <cell r="BH99" t="str">
            <v/>
          </cell>
          <cell r="BI99" t="str">
            <v/>
          </cell>
          <cell r="BJ99" t="str">
            <v/>
          </cell>
          <cell r="BK99" t="str">
            <v/>
          </cell>
          <cell r="BL99" t="str">
            <v/>
          </cell>
          <cell r="BM99" t="str">
            <v/>
          </cell>
          <cell r="BN99" t="str">
            <v/>
          </cell>
          <cell r="BO99" t="str">
            <v/>
          </cell>
          <cell r="BP99" t="str">
            <v/>
          </cell>
          <cell r="BQ99" t="str">
            <v/>
          </cell>
          <cell r="BR99" t="str">
            <v/>
          </cell>
          <cell r="BS99" t="str">
            <v/>
          </cell>
          <cell r="BT99" t="str">
            <v/>
          </cell>
          <cell r="BU99" t="str">
            <v/>
          </cell>
          <cell r="BV99" t="str">
            <v/>
          </cell>
          <cell r="BW99" t="str">
            <v/>
          </cell>
          <cell r="BX99" t="str">
            <v/>
          </cell>
          <cell r="BY99" t="str">
            <v/>
          </cell>
          <cell r="CA99">
            <v>0</v>
          </cell>
          <cell r="CB99">
            <v>0</v>
          </cell>
          <cell r="CD99" t="str">
            <v>000000000003690</v>
          </cell>
        </row>
        <row r="101">
          <cell r="C101">
            <v>0</v>
          </cell>
        </row>
        <row r="103">
          <cell r="C103">
            <v>0</v>
          </cell>
        </row>
        <row r="107">
          <cell r="B107" t="str">
            <v>00749887</v>
          </cell>
          <cell r="C107" t="str">
            <v>PK-59827 L=700</v>
          </cell>
          <cell r="P107" t="str">
            <v/>
          </cell>
          <cell r="Q107" t="str">
            <v/>
          </cell>
          <cell r="R107" t="str">
            <v/>
          </cell>
          <cell r="S107" t="str">
            <v/>
          </cell>
          <cell r="T107" t="str">
            <v/>
          </cell>
          <cell r="U107" t="str">
            <v/>
          </cell>
          <cell r="V107" t="str">
            <v/>
          </cell>
          <cell r="W107" t="str">
            <v/>
          </cell>
          <cell r="X107" t="str">
            <v/>
          </cell>
          <cell r="Y107" t="str">
            <v/>
          </cell>
          <cell r="Z107" t="str">
            <v/>
          </cell>
          <cell r="AA107" t="str">
            <v/>
          </cell>
          <cell r="AB107" t="str">
            <v/>
          </cell>
          <cell r="AC107" t="str">
            <v/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B107" t="str">
            <v/>
          </cell>
          <cell r="BC107" t="str">
            <v/>
          </cell>
          <cell r="BD107" t="str">
            <v/>
          </cell>
          <cell r="BE107" t="str">
            <v/>
          </cell>
          <cell r="BF107" t="str">
            <v/>
          </cell>
          <cell r="BG107" t="str">
            <v/>
          </cell>
          <cell r="BH107" t="str">
            <v/>
          </cell>
          <cell r="BI107" t="str">
            <v/>
          </cell>
          <cell r="BJ107" t="str">
            <v/>
          </cell>
          <cell r="BK107" t="str">
            <v/>
          </cell>
          <cell r="BL107" t="str">
            <v/>
          </cell>
          <cell r="BM107" t="str">
            <v/>
          </cell>
          <cell r="BN107" t="str">
            <v/>
          </cell>
          <cell r="BO107" t="str">
            <v/>
          </cell>
          <cell r="BP107" t="str">
            <v/>
          </cell>
          <cell r="BQ107" t="str">
            <v/>
          </cell>
          <cell r="BR107" t="str">
            <v/>
          </cell>
          <cell r="BS107" t="str">
            <v/>
          </cell>
          <cell r="BT107" t="str">
            <v/>
          </cell>
          <cell r="BU107" t="str">
            <v/>
          </cell>
          <cell r="BV107" t="str">
            <v/>
          </cell>
          <cell r="BW107" t="str">
            <v/>
          </cell>
          <cell r="BX107" t="str">
            <v/>
          </cell>
          <cell r="BY107" t="str">
            <v/>
          </cell>
          <cell r="CA107">
            <v>0</v>
          </cell>
          <cell r="CB107">
            <v>0</v>
          </cell>
          <cell r="CD107" t="str">
            <v>000000000002883</v>
          </cell>
        </row>
        <row r="109">
          <cell r="C109">
            <v>0</v>
          </cell>
        </row>
        <row r="111">
          <cell r="C111">
            <v>0</v>
          </cell>
        </row>
        <row r="115">
          <cell r="B115" t="str">
            <v>00</v>
          </cell>
          <cell r="P115" t="str">
            <v/>
          </cell>
          <cell r="Q115" t="str">
            <v/>
          </cell>
          <cell r="R115" t="str">
            <v/>
          </cell>
          <cell r="S115" t="str">
            <v/>
          </cell>
          <cell r="T115" t="str">
            <v/>
          </cell>
          <cell r="U115" t="str">
            <v/>
          </cell>
          <cell r="V115" t="str">
            <v/>
          </cell>
          <cell r="W115" t="str">
            <v/>
          </cell>
          <cell r="X115" t="str">
            <v/>
          </cell>
          <cell r="Y115" t="str">
            <v/>
          </cell>
          <cell r="Z115" t="str">
            <v/>
          </cell>
          <cell r="AA115" t="str">
            <v/>
          </cell>
          <cell r="AB115" t="str">
            <v/>
          </cell>
          <cell r="AC115" t="str">
            <v/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B115" t="str">
            <v/>
          </cell>
          <cell r="BC115" t="str">
            <v/>
          </cell>
          <cell r="BD115" t="str">
            <v/>
          </cell>
          <cell r="BE115" t="str">
            <v/>
          </cell>
          <cell r="BF115" t="str">
            <v/>
          </cell>
          <cell r="BG115" t="str">
            <v/>
          </cell>
          <cell r="BH115" t="str">
            <v/>
          </cell>
          <cell r="BI115" t="str">
            <v/>
          </cell>
          <cell r="BJ115" t="str">
            <v/>
          </cell>
          <cell r="BK115" t="str">
            <v/>
          </cell>
          <cell r="BL115" t="str">
            <v/>
          </cell>
          <cell r="BM115" t="str">
            <v/>
          </cell>
          <cell r="BN115" t="str">
            <v/>
          </cell>
          <cell r="BO115" t="str">
            <v/>
          </cell>
          <cell r="BP115" t="str">
            <v/>
          </cell>
          <cell r="BQ115" t="str">
            <v/>
          </cell>
          <cell r="BR115" t="str">
            <v/>
          </cell>
          <cell r="BS115" t="str">
            <v/>
          </cell>
          <cell r="BT115" t="str">
            <v/>
          </cell>
          <cell r="BU115" t="str">
            <v/>
          </cell>
          <cell r="BV115" t="str">
            <v/>
          </cell>
          <cell r="BW115" t="str">
            <v/>
          </cell>
          <cell r="BX115" t="str">
            <v/>
          </cell>
          <cell r="BY115" t="str">
            <v/>
          </cell>
          <cell r="CA115">
            <v>0</v>
          </cell>
          <cell r="CB115">
            <v>0</v>
          </cell>
          <cell r="CD115" t="str">
            <v/>
          </cell>
        </row>
        <row r="117">
          <cell r="C117">
            <v>0</v>
          </cell>
        </row>
        <row r="119">
          <cell r="C119">
            <v>0</v>
          </cell>
        </row>
        <row r="123">
          <cell r="B123" t="str">
            <v>00</v>
          </cell>
          <cell r="CD123" t="str">
            <v/>
          </cell>
        </row>
        <row r="131">
          <cell r="B131" t="str">
            <v>00</v>
          </cell>
          <cell r="CD131" t="str">
            <v/>
          </cell>
        </row>
        <row r="139">
          <cell r="B139" t="str">
            <v>00</v>
          </cell>
          <cell r="CD139" t="str">
            <v/>
          </cell>
        </row>
        <row r="147">
          <cell r="B147" t="str">
            <v>00</v>
          </cell>
          <cell r="CD147" t="str">
            <v/>
          </cell>
        </row>
        <row r="155">
          <cell r="B155" t="str">
            <v>00</v>
          </cell>
          <cell r="CD155" t="str">
            <v/>
          </cell>
        </row>
        <row r="163">
          <cell r="B163" t="str">
            <v>00</v>
          </cell>
          <cell r="CD163" t="str">
            <v/>
          </cell>
        </row>
        <row r="171">
          <cell r="B171" t="str">
            <v>00</v>
          </cell>
          <cell r="CD171" t="str">
            <v/>
          </cell>
        </row>
        <row r="179">
          <cell r="B179" t="str">
            <v>00</v>
          </cell>
          <cell r="CD179" t="str">
            <v/>
          </cell>
        </row>
        <row r="187">
          <cell r="B187" t="str">
            <v>00</v>
          </cell>
          <cell r="CD187" t="str">
            <v/>
          </cell>
        </row>
        <row r="195">
          <cell r="B195" t="str">
            <v>00</v>
          </cell>
          <cell r="CD195" t="str">
            <v/>
          </cell>
        </row>
        <row r="203">
          <cell r="B203" t="str">
            <v>00</v>
          </cell>
          <cell r="CD203" t="str">
            <v/>
          </cell>
        </row>
        <row r="211">
          <cell r="B211" t="str">
            <v>00</v>
          </cell>
          <cell r="CD211" t="str">
            <v/>
          </cell>
        </row>
        <row r="219">
          <cell r="B219" t="str">
            <v>00</v>
          </cell>
          <cell r="CD219" t="str">
            <v/>
          </cell>
        </row>
        <row r="227">
          <cell r="B227" t="str">
            <v>00</v>
          </cell>
          <cell r="CD227" t="str">
            <v/>
          </cell>
        </row>
        <row r="235">
          <cell r="B235" t="str">
            <v>00</v>
          </cell>
          <cell r="CD235" t="str">
            <v/>
          </cell>
        </row>
        <row r="243">
          <cell r="B243" t="str">
            <v>00</v>
          </cell>
          <cell r="CD243" t="str">
            <v/>
          </cell>
        </row>
        <row r="251">
          <cell r="B251" t="str">
            <v>00</v>
          </cell>
          <cell r="CD251" t="str">
            <v/>
          </cell>
        </row>
        <row r="259">
          <cell r="B259" t="str">
            <v>00</v>
          </cell>
          <cell r="CD259" t="str">
            <v/>
          </cell>
        </row>
        <row r="267">
          <cell r="B267" t="str">
            <v>00</v>
          </cell>
          <cell r="CD267" t="str">
            <v/>
          </cell>
        </row>
        <row r="275">
          <cell r="B275" t="str">
            <v>00</v>
          </cell>
          <cell r="CD275" t="str">
            <v/>
          </cell>
        </row>
        <row r="283">
          <cell r="B283" t="str">
            <v>00</v>
          </cell>
          <cell r="CD283" t="str">
            <v/>
          </cell>
        </row>
        <row r="291">
          <cell r="B291" t="str">
            <v>00</v>
          </cell>
          <cell r="CD291" t="str">
            <v/>
          </cell>
        </row>
        <row r="299">
          <cell r="B299" t="str">
            <v>00</v>
          </cell>
          <cell r="CD299" t="str">
            <v/>
          </cell>
        </row>
        <row r="307">
          <cell r="B307" t="str">
            <v>00</v>
          </cell>
          <cell r="CD307" t="str">
            <v/>
          </cell>
        </row>
        <row r="315">
          <cell r="B315" t="str">
            <v>00</v>
          </cell>
          <cell r="CD315" t="str">
            <v/>
          </cell>
        </row>
        <row r="323">
          <cell r="B323" t="str">
            <v>00</v>
          </cell>
          <cell r="CD323" t="str">
            <v/>
          </cell>
        </row>
        <row r="331">
          <cell r="B331" t="str">
            <v>00</v>
          </cell>
          <cell r="CD331" t="str">
            <v/>
          </cell>
        </row>
        <row r="339">
          <cell r="B339" t="str">
            <v>00</v>
          </cell>
          <cell r="CD339" t="str">
            <v/>
          </cell>
        </row>
        <row r="347">
          <cell r="B347" t="str">
            <v>00</v>
          </cell>
          <cell r="CD347" t="str">
            <v/>
          </cell>
        </row>
        <row r="355">
          <cell r="B355" t="str">
            <v>00</v>
          </cell>
          <cell r="CD355" t="str">
            <v/>
          </cell>
        </row>
        <row r="363">
          <cell r="B363" t="str">
            <v>00</v>
          </cell>
          <cell r="CD363" t="str">
            <v/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品名・温度</v>
          </cell>
          <cell r="C1" t="str">
            <v>C</v>
          </cell>
        </row>
        <row r="2">
          <cell r="A2" t="str">
            <v>灯具カバーPC　2070  L=196604</v>
          </cell>
          <cell r="C2">
            <v>1964</v>
          </cell>
        </row>
        <row r="3">
          <cell r="A3" t="str">
            <v>灯具カバーPC　2070  L=196606</v>
          </cell>
          <cell r="C3">
            <v>1964.2</v>
          </cell>
        </row>
        <row r="4">
          <cell r="A4" t="str">
            <v>灯具カバーPC　2070  L=196608</v>
          </cell>
          <cell r="C4">
            <v>1964.5</v>
          </cell>
        </row>
        <row r="5">
          <cell r="A5" t="str">
            <v>灯具カバーPC　2070  L=196610</v>
          </cell>
          <cell r="C5">
            <v>1964.7</v>
          </cell>
        </row>
        <row r="6">
          <cell r="A6" t="str">
            <v>灯具カバーPC　2070  L=196612</v>
          </cell>
          <cell r="C6">
            <v>1965</v>
          </cell>
        </row>
        <row r="7">
          <cell r="A7" t="str">
            <v>灯具カバーPC　2070  L=196614</v>
          </cell>
          <cell r="C7">
            <v>1965.2</v>
          </cell>
        </row>
        <row r="8">
          <cell r="A8" t="str">
            <v>灯具カバーPC　2070  L=196616</v>
          </cell>
          <cell r="C8">
            <v>1965.5</v>
          </cell>
        </row>
        <row r="9">
          <cell r="A9" t="str">
            <v>灯具カバーPC　2070  L=196618</v>
          </cell>
          <cell r="C9">
            <v>1965.7</v>
          </cell>
        </row>
        <row r="10">
          <cell r="A10" t="str">
            <v>灯具カバーPC　2070  L=196620</v>
          </cell>
          <cell r="C10">
            <v>1966</v>
          </cell>
        </row>
        <row r="11">
          <cell r="A11" t="str">
            <v>灯具カバーPC　2070  L=196622</v>
          </cell>
          <cell r="C11">
            <v>1966.3</v>
          </cell>
        </row>
        <row r="12">
          <cell r="A12" t="str">
            <v>灯具カバーPC　2070  L=196624</v>
          </cell>
          <cell r="C12">
            <v>1966.5</v>
          </cell>
        </row>
        <row r="13">
          <cell r="A13" t="str">
            <v>灯具カバーPC　2070  L=196626</v>
          </cell>
          <cell r="C13">
            <v>1966.8</v>
          </cell>
        </row>
        <row r="14">
          <cell r="A14" t="str">
            <v>灯具カバーPC　2070  L=196628</v>
          </cell>
          <cell r="C14">
            <v>1967</v>
          </cell>
        </row>
        <row r="15">
          <cell r="A15" t="str">
            <v>灯具カバーPC　2070  L=196630</v>
          </cell>
          <cell r="C15">
            <v>1967.3</v>
          </cell>
        </row>
        <row r="16">
          <cell r="A16" t="str">
            <v>灯具カバーPC　2070  L=196632</v>
          </cell>
          <cell r="C16">
            <v>1967.5</v>
          </cell>
        </row>
        <row r="17">
          <cell r="A17" t="str">
            <v>灯具カバーPC　2100  L=192304</v>
          </cell>
          <cell r="C17">
            <v>1921</v>
          </cell>
        </row>
        <row r="18">
          <cell r="A18" t="str">
            <v>灯具カバーPC　2100  L=192306</v>
          </cell>
          <cell r="C18">
            <v>1921.3</v>
          </cell>
        </row>
        <row r="19">
          <cell r="A19" t="str">
            <v>灯具カバーPC　2100  L=192308</v>
          </cell>
          <cell r="C19">
            <v>1921.5</v>
          </cell>
        </row>
        <row r="20">
          <cell r="A20" t="str">
            <v>灯具カバーPC　2100  L=192310</v>
          </cell>
          <cell r="C20">
            <v>1921.8</v>
          </cell>
        </row>
        <row r="21">
          <cell r="A21" t="str">
            <v>灯具カバーPC　2100  L=192312</v>
          </cell>
          <cell r="C21">
            <v>1922.1</v>
          </cell>
        </row>
        <row r="22">
          <cell r="A22" t="str">
            <v>灯具カバーPC　2100  L=192314</v>
          </cell>
          <cell r="C22">
            <v>1922.3</v>
          </cell>
        </row>
        <row r="23">
          <cell r="A23" t="str">
            <v>灯具カバーPC　2100  L=192316</v>
          </cell>
          <cell r="C23">
            <v>1922.5</v>
          </cell>
        </row>
        <row r="24">
          <cell r="A24" t="str">
            <v>灯具カバーPC　2100  L=192318</v>
          </cell>
          <cell r="C24">
            <v>1922.7</v>
          </cell>
        </row>
        <row r="25">
          <cell r="A25" t="str">
            <v>灯具カバーPC　2100  L=192320</v>
          </cell>
          <cell r="C25">
            <v>1923</v>
          </cell>
        </row>
        <row r="26">
          <cell r="A26" t="str">
            <v>灯具カバーPC　2100  L=192322</v>
          </cell>
          <cell r="C26">
            <v>1923.2</v>
          </cell>
        </row>
        <row r="27">
          <cell r="A27" t="str">
            <v>灯具カバーPC　2100  L=192324</v>
          </cell>
          <cell r="C27">
            <v>1923.5</v>
          </cell>
        </row>
        <row r="28">
          <cell r="A28" t="str">
            <v>灯具カバーPC　2100  L=192326</v>
          </cell>
          <cell r="C28">
            <v>1923.7</v>
          </cell>
        </row>
        <row r="29">
          <cell r="A29" t="str">
            <v>灯具カバーPC　2100  L=192328</v>
          </cell>
          <cell r="C29">
            <v>1924</v>
          </cell>
        </row>
        <row r="30">
          <cell r="A30" t="str">
            <v>灯具カバーPC　2100  L=192330</v>
          </cell>
          <cell r="C30">
            <v>1924.2</v>
          </cell>
        </row>
        <row r="31">
          <cell r="A31" t="str">
            <v>灯具カバーPC　2100  L=192332</v>
          </cell>
          <cell r="C31">
            <v>1924.5</v>
          </cell>
        </row>
        <row r="32">
          <cell r="A32" t="str">
            <v>灯具カバーPC　2110  L=181504</v>
          </cell>
          <cell r="C32">
            <v>1812.9</v>
          </cell>
        </row>
        <row r="33">
          <cell r="A33" t="str">
            <v>灯具カバーPC　2110  L=181506</v>
          </cell>
          <cell r="C33">
            <v>1813.1</v>
          </cell>
        </row>
        <row r="34">
          <cell r="A34" t="str">
            <v>灯具カバーPC　2110  L=181508</v>
          </cell>
          <cell r="C34">
            <v>1813.3</v>
          </cell>
        </row>
        <row r="35">
          <cell r="A35" t="str">
            <v>灯具カバーPC　2110  L=181510</v>
          </cell>
          <cell r="C35">
            <v>1813.5</v>
          </cell>
        </row>
        <row r="36">
          <cell r="A36" t="str">
            <v>灯具カバーPC　2110  L=181512</v>
          </cell>
          <cell r="C36">
            <v>1813.8</v>
          </cell>
        </row>
        <row r="37">
          <cell r="A37" t="str">
            <v>灯具カバーPC　2110  L=181514</v>
          </cell>
          <cell r="C37">
            <v>1814.1</v>
          </cell>
        </row>
        <row r="38">
          <cell r="A38" t="str">
            <v>灯具カバーPC　2110  L=181516</v>
          </cell>
          <cell r="C38">
            <v>1814.3</v>
          </cell>
        </row>
        <row r="39">
          <cell r="A39" t="str">
            <v>灯具カバーPC　2110  L=181518</v>
          </cell>
          <cell r="C39">
            <v>1814.8</v>
          </cell>
        </row>
        <row r="40">
          <cell r="A40" t="str">
            <v>灯具カバーPC　2110  L=181520</v>
          </cell>
          <cell r="C40">
            <v>1815</v>
          </cell>
        </row>
        <row r="41">
          <cell r="A41" t="str">
            <v>灯具カバーPC　2110  L=181522</v>
          </cell>
          <cell r="C41">
            <v>1815.2</v>
          </cell>
        </row>
        <row r="42">
          <cell r="A42" t="str">
            <v>灯具カバーPC　2110  L=181524</v>
          </cell>
          <cell r="C42">
            <v>1815.5</v>
          </cell>
        </row>
        <row r="43">
          <cell r="A43" t="str">
            <v>灯具カバーPC　2110  L=181526</v>
          </cell>
          <cell r="C43">
            <v>1815.7</v>
          </cell>
        </row>
        <row r="44">
          <cell r="A44" t="str">
            <v>灯具カバーPC　2110  L=181528</v>
          </cell>
          <cell r="C44">
            <v>1815.9</v>
          </cell>
        </row>
        <row r="45">
          <cell r="A45" t="str">
            <v>灯具カバーPC　2110  L=181530</v>
          </cell>
          <cell r="C45">
            <v>1816.2</v>
          </cell>
        </row>
        <row r="46">
          <cell r="A46" t="str">
            <v>灯具カバーPC　2110  L=181532</v>
          </cell>
          <cell r="C46">
            <v>1816.4</v>
          </cell>
        </row>
        <row r="47">
          <cell r="A47" t="str">
            <v>灯具カバーPC　2080  L=154004</v>
          </cell>
          <cell r="C47">
            <v>1538.4</v>
          </cell>
        </row>
        <row r="48">
          <cell r="A48" t="str">
            <v>灯具カバーPC　2080  L=154006</v>
          </cell>
          <cell r="C48">
            <v>1538.6</v>
          </cell>
        </row>
        <row r="49">
          <cell r="A49" t="str">
            <v>灯具カバーPC　2080  L=154008</v>
          </cell>
          <cell r="C49">
            <v>1538.8</v>
          </cell>
        </row>
        <row r="50">
          <cell r="A50" t="str">
            <v>灯具カバーPC　2080  L=154010</v>
          </cell>
          <cell r="C50">
            <v>1539</v>
          </cell>
        </row>
        <row r="51">
          <cell r="A51" t="str">
            <v>灯具カバーPC　2080  L=154012</v>
          </cell>
          <cell r="C51">
            <v>1539.2</v>
          </cell>
        </row>
        <row r="52">
          <cell r="A52" t="str">
            <v>灯具カバーPC　2080  L=154014</v>
          </cell>
          <cell r="C52">
            <v>1539.4</v>
          </cell>
        </row>
        <row r="53">
          <cell r="A53" t="str">
            <v>灯具カバーPC　2080  L=154016</v>
          </cell>
          <cell r="C53">
            <v>1539.6</v>
          </cell>
        </row>
        <row r="54">
          <cell r="A54" t="str">
            <v>灯具カバーPC　2080  L=154018</v>
          </cell>
          <cell r="C54">
            <v>1539.8</v>
          </cell>
        </row>
        <row r="55">
          <cell r="A55" t="str">
            <v>灯具カバーPC　2080  L=154020</v>
          </cell>
          <cell r="C55">
            <v>1540</v>
          </cell>
        </row>
        <row r="56">
          <cell r="A56" t="str">
            <v>灯具カバーPC　2080  L=154022</v>
          </cell>
          <cell r="C56">
            <v>1540.2</v>
          </cell>
        </row>
        <row r="57">
          <cell r="A57" t="str">
            <v>灯具カバーPC　2080  L=154024</v>
          </cell>
          <cell r="C57">
            <v>1540.4</v>
          </cell>
        </row>
        <row r="58">
          <cell r="A58" t="str">
            <v>灯具カバーPC　2080  L=154026</v>
          </cell>
          <cell r="C58">
            <v>1540.6</v>
          </cell>
        </row>
        <row r="59">
          <cell r="A59" t="str">
            <v>灯具カバーPC　2080  L=154028</v>
          </cell>
          <cell r="C59">
            <v>1540.8</v>
          </cell>
        </row>
        <row r="60">
          <cell r="A60" t="str">
            <v>灯具カバーPC　2080  L=154030</v>
          </cell>
          <cell r="C60">
            <v>1541</v>
          </cell>
        </row>
        <row r="61">
          <cell r="A61" t="str">
            <v>灯具カバーPC　2080  L=154032</v>
          </cell>
          <cell r="C61">
            <v>1541.2</v>
          </cell>
        </row>
        <row r="62">
          <cell r="A62" t="str">
            <v>灯具カバーPC　2060  L=1258.502</v>
          </cell>
          <cell r="C62">
            <v>1257</v>
          </cell>
        </row>
        <row r="63">
          <cell r="A63" t="str">
            <v>灯具カバーPC　2060  L=1258.504</v>
          </cell>
          <cell r="C63">
            <v>1257.2</v>
          </cell>
        </row>
        <row r="64">
          <cell r="A64" t="str">
            <v>灯具カバーPC　2060  L=1258.506</v>
          </cell>
          <cell r="C64">
            <v>1257.3</v>
          </cell>
        </row>
        <row r="65">
          <cell r="A65" t="str">
            <v>灯具カバーPC　2060  L=1258.508</v>
          </cell>
          <cell r="C65">
            <v>1257.5</v>
          </cell>
        </row>
        <row r="66">
          <cell r="A66" t="str">
            <v>灯具カバーPC　2060  L=1258.510</v>
          </cell>
          <cell r="C66">
            <v>1257.7</v>
          </cell>
        </row>
        <row r="67">
          <cell r="A67" t="str">
            <v>灯具カバーPC　2060  L=1258.512</v>
          </cell>
          <cell r="C67">
            <v>1257.8</v>
          </cell>
        </row>
        <row r="68">
          <cell r="A68" t="str">
            <v>灯具カバーPC　2060  L=1258.514</v>
          </cell>
          <cell r="C68">
            <v>1258</v>
          </cell>
        </row>
        <row r="69">
          <cell r="A69" t="str">
            <v>灯具カバーPC　2060  L=1258.516</v>
          </cell>
          <cell r="C69">
            <v>1258.2</v>
          </cell>
        </row>
        <row r="70">
          <cell r="A70" t="str">
            <v>灯具カバーPC　2060  L=1258.518</v>
          </cell>
          <cell r="C70">
            <v>1258.4000000000001</v>
          </cell>
        </row>
        <row r="71">
          <cell r="A71" t="str">
            <v>灯具カバーPC　2060  L=1258.520</v>
          </cell>
          <cell r="C71">
            <v>1258.5</v>
          </cell>
        </row>
        <row r="72">
          <cell r="A72" t="str">
            <v>灯具カバーPC　2060  L=1258.522</v>
          </cell>
          <cell r="C72">
            <v>1258.7</v>
          </cell>
        </row>
        <row r="73">
          <cell r="A73" t="str">
            <v>灯具カバーPC　2060  L=1258.524</v>
          </cell>
          <cell r="C73">
            <v>1258.8</v>
          </cell>
        </row>
        <row r="74">
          <cell r="A74" t="str">
            <v>灯具カバーPC　2060  L=1258.526</v>
          </cell>
          <cell r="C74">
            <v>1259</v>
          </cell>
        </row>
        <row r="75">
          <cell r="A75" t="str">
            <v>灯具カバーPC　2060  L=1258.528</v>
          </cell>
          <cell r="C75">
            <v>1259.2</v>
          </cell>
        </row>
        <row r="76">
          <cell r="A76" t="str">
            <v>灯具カバーPC　2060  L=1258.530</v>
          </cell>
          <cell r="C76">
            <v>1259.3</v>
          </cell>
        </row>
        <row r="77">
          <cell r="A77" t="str">
            <v>灯具カバーPC　2060  L=1258.532</v>
          </cell>
          <cell r="C77">
            <v>1259.5</v>
          </cell>
        </row>
        <row r="78">
          <cell r="A78" t="str">
            <v>灯具カバーPC　2050  L=1183.502</v>
          </cell>
          <cell r="C78">
            <v>1182.0999999999999</v>
          </cell>
        </row>
        <row r="79">
          <cell r="A79" t="str">
            <v>灯具カバーPC　2050  L=1183.504</v>
          </cell>
          <cell r="C79">
            <v>1182.3</v>
          </cell>
        </row>
        <row r="80">
          <cell r="A80" t="str">
            <v>灯具カバーPC　2050  L=1183.506</v>
          </cell>
          <cell r="C80">
            <v>1182.4000000000001</v>
          </cell>
        </row>
        <row r="81">
          <cell r="A81" t="str">
            <v>灯具カバーPC　2050  L=1183.508</v>
          </cell>
          <cell r="C81">
            <v>1182.5999999999999</v>
          </cell>
        </row>
        <row r="82">
          <cell r="A82" t="str">
            <v>灯具カバーPC　2050  L=1183.510</v>
          </cell>
          <cell r="C82">
            <v>1182.7</v>
          </cell>
        </row>
        <row r="83">
          <cell r="A83" t="str">
            <v>灯具カバーPC　2050  L=1183.512</v>
          </cell>
          <cell r="C83">
            <v>1182.9000000000001</v>
          </cell>
        </row>
        <row r="84">
          <cell r="A84" t="str">
            <v>灯具カバーPC　2050  L=1183.514</v>
          </cell>
          <cell r="C84">
            <v>1183</v>
          </cell>
        </row>
        <row r="85">
          <cell r="A85" t="str">
            <v>灯具カバーPC　2050  L=1183.516</v>
          </cell>
          <cell r="C85">
            <v>1183.2</v>
          </cell>
        </row>
        <row r="86">
          <cell r="A86" t="str">
            <v>灯具カバーPC　2050  L=1183.518</v>
          </cell>
          <cell r="C86">
            <v>1183.3</v>
          </cell>
        </row>
        <row r="87">
          <cell r="A87" t="str">
            <v>灯具カバーPC　2050  L=1183.520</v>
          </cell>
          <cell r="C87">
            <v>1183.5</v>
          </cell>
        </row>
        <row r="88">
          <cell r="A88" t="str">
            <v>灯具カバーPC　2050  L=1183.522</v>
          </cell>
          <cell r="C88">
            <v>1183.7</v>
          </cell>
        </row>
        <row r="89">
          <cell r="A89" t="str">
            <v>灯具カバーPC　2050  L=1183.524</v>
          </cell>
          <cell r="C89">
            <v>1183.8</v>
          </cell>
        </row>
        <row r="90">
          <cell r="A90" t="str">
            <v>灯具カバーPC　2050  L=1183.526</v>
          </cell>
          <cell r="C90">
            <v>1184</v>
          </cell>
        </row>
        <row r="91">
          <cell r="A91" t="str">
            <v>灯具カバーPC　2050  L=1183.528</v>
          </cell>
          <cell r="C91">
            <v>1184.0999999999999</v>
          </cell>
        </row>
        <row r="92">
          <cell r="A92" t="str">
            <v>灯具カバーPC　2050  L=1183.530</v>
          </cell>
          <cell r="C92">
            <v>1184.3</v>
          </cell>
        </row>
        <row r="93">
          <cell r="A93" t="str">
            <v>灯具カバーPC　2050  L=1183.532</v>
          </cell>
          <cell r="C93">
            <v>1184.4000000000001</v>
          </cell>
        </row>
        <row r="94">
          <cell r="A94" t="str">
            <v>灯具カバーPC　2130  L=90804</v>
          </cell>
          <cell r="C94">
            <v>907.1</v>
          </cell>
        </row>
        <row r="95">
          <cell r="A95" t="str">
            <v>灯具カバーPC　2130  L=90806</v>
          </cell>
          <cell r="C95">
            <v>907.2</v>
          </cell>
        </row>
        <row r="96">
          <cell r="A96" t="str">
            <v>灯具カバーPC　2130  L=90808</v>
          </cell>
          <cell r="C96">
            <v>907.3</v>
          </cell>
        </row>
        <row r="97">
          <cell r="A97" t="str">
            <v>灯具カバーPC　2130  L=90810</v>
          </cell>
          <cell r="C97">
            <v>907.4</v>
          </cell>
        </row>
        <row r="98">
          <cell r="A98" t="str">
            <v>灯具カバーPC　2130  L=90812</v>
          </cell>
          <cell r="C98">
            <v>907.5</v>
          </cell>
        </row>
        <row r="99">
          <cell r="A99" t="str">
            <v>灯具カバーPC　2130  L=90814</v>
          </cell>
          <cell r="C99">
            <v>907.6</v>
          </cell>
        </row>
        <row r="100">
          <cell r="A100" t="str">
            <v>灯具カバーPC　2130  L=90816</v>
          </cell>
          <cell r="C100">
            <v>907.8</v>
          </cell>
        </row>
        <row r="101">
          <cell r="A101" t="str">
            <v>灯具カバーPC　2130  L=90818</v>
          </cell>
          <cell r="C101">
            <v>907.9</v>
          </cell>
        </row>
        <row r="102">
          <cell r="A102" t="str">
            <v>灯具カバーPC　2130  L=90820</v>
          </cell>
          <cell r="C102">
            <v>908</v>
          </cell>
        </row>
        <row r="103">
          <cell r="A103" t="str">
            <v>灯具カバーPC　2130  L=90822</v>
          </cell>
          <cell r="C103">
            <v>908.1</v>
          </cell>
        </row>
        <row r="104">
          <cell r="A104" t="str">
            <v>灯具カバーPC　2130  L=90824</v>
          </cell>
          <cell r="C104">
            <v>908.2</v>
          </cell>
        </row>
        <row r="105">
          <cell r="A105" t="str">
            <v>灯具カバーPC　2130  L=90826</v>
          </cell>
          <cell r="C105">
            <v>908.4</v>
          </cell>
        </row>
        <row r="106">
          <cell r="A106" t="str">
            <v>灯具カバーPC　2130  L=90828</v>
          </cell>
          <cell r="C106">
            <v>908.5</v>
          </cell>
        </row>
        <row r="107">
          <cell r="A107" t="str">
            <v>灯具カバーPC　2130  L=90830</v>
          </cell>
          <cell r="C107">
            <v>908.6</v>
          </cell>
        </row>
        <row r="108">
          <cell r="A108" t="str">
            <v>灯具カバーPC　2130  L=90832</v>
          </cell>
          <cell r="C108">
            <v>908.7</v>
          </cell>
        </row>
        <row r="109">
          <cell r="A109" t="str">
            <v>灯具カバーPC　2090  L=84004</v>
          </cell>
          <cell r="C109">
            <v>839.1</v>
          </cell>
        </row>
        <row r="110">
          <cell r="A110" t="str">
            <v>灯具カバーPC　2090  L=84006</v>
          </cell>
          <cell r="C110">
            <v>839.2</v>
          </cell>
        </row>
        <row r="111">
          <cell r="A111" t="str">
            <v>灯具カバーPC　2090  L=84008</v>
          </cell>
          <cell r="C111">
            <v>839.3</v>
          </cell>
        </row>
        <row r="112">
          <cell r="A112" t="str">
            <v>灯具カバーPC　2090  L=84010</v>
          </cell>
          <cell r="C112">
            <v>839.4</v>
          </cell>
        </row>
        <row r="113">
          <cell r="A113" t="str">
            <v>灯具カバーPC　2090  L=84012</v>
          </cell>
          <cell r="C113">
            <v>839.5</v>
          </cell>
        </row>
        <row r="114">
          <cell r="A114" t="str">
            <v>灯具カバーPC　2090  L=84014</v>
          </cell>
          <cell r="C114">
            <v>839.6</v>
          </cell>
        </row>
        <row r="115">
          <cell r="A115" t="str">
            <v>灯具カバーPC　2090  L=84016</v>
          </cell>
          <cell r="C115">
            <v>839.8</v>
          </cell>
        </row>
        <row r="116">
          <cell r="A116" t="str">
            <v>灯具カバーPC　2090  L=84018</v>
          </cell>
          <cell r="C116">
            <v>839.9</v>
          </cell>
        </row>
        <row r="117">
          <cell r="A117" t="str">
            <v>灯具カバーPC　2090  L=84020</v>
          </cell>
          <cell r="C117">
            <v>840</v>
          </cell>
        </row>
        <row r="118">
          <cell r="A118" t="str">
            <v>灯具カバーPC　2090  L=84022</v>
          </cell>
          <cell r="C118">
            <v>840.1</v>
          </cell>
        </row>
        <row r="119">
          <cell r="A119" t="str">
            <v>灯具カバーPC　2090  L=84024</v>
          </cell>
          <cell r="C119">
            <v>840.2</v>
          </cell>
        </row>
        <row r="120">
          <cell r="A120" t="str">
            <v>灯具カバーPC　2090  L=84026</v>
          </cell>
          <cell r="C120">
            <v>840.3</v>
          </cell>
        </row>
        <row r="121">
          <cell r="A121" t="str">
            <v>灯具カバーPC　2090  L=84028</v>
          </cell>
          <cell r="C121">
            <v>840.4</v>
          </cell>
        </row>
        <row r="122">
          <cell r="A122" t="str">
            <v>灯具カバーPC　2090  L=84030</v>
          </cell>
          <cell r="C122">
            <v>840.5</v>
          </cell>
        </row>
        <row r="123">
          <cell r="A123" t="str">
            <v>灯具カバーPC　2090  L=84032</v>
          </cell>
          <cell r="C123">
            <v>840.7</v>
          </cell>
        </row>
        <row r="124">
          <cell r="A124" t="str">
            <v>灯具カバーPC　2140  L=54704</v>
          </cell>
          <cell r="C124">
            <v>546.4</v>
          </cell>
        </row>
        <row r="125">
          <cell r="A125" t="str">
            <v>灯具カバーPC　2140  L=54706</v>
          </cell>
          <cell r="C125">
            <v>546.5</v>
          </cell>
        </row>
        <row r="126">
          <cell r="A126" t="str">
            <v>灯具カバーPC　2140  L=54708</v>
          </cell>
          <cell r="C126">
            <v>546.6</v>
          </cell>
        </row>
        <row r="127">
          <cell r="A127" t="str">
            <v>灯具カバーPC　2140  L=54710</v>
          </cell>
          <cell r="C127">
            <v>546.6</v>
          </cell>
        </row>
        <row r="128">
          <cell r="A128" t="str">
            <v>灯具カバーPC　2140  L=54712</v>
          </cell>
          <cell r="C128">
            <v>546.70000000000005</v>
          </cell>
        </row>
        <row r="129">
          <cell r="A129" t="str">
            <v>灯具カバーPC　2140  L=54714</v>
          </cell>
          <cell r="C129">
            <v>546.79999999999995</v>
          </cell>
        </row>
        <row r="130">
          <cell r="A130" t="str">
            <v>灯具カバーPC　2140  L=54716</v>
          </cell>
          <cell r="C130">
            <v>546.9</v>
          </cell>
        </row>
        <row r="131">
          <cell r="A131" t="str">
            <v>灯具カバーPC　2140  L=54718</v>
          </cell>
          <cell r="C131">
            <v>547</v>
          </cell>
        </row>
        <row r="132">
          <cell r="A132" t="str">
            <v>灯具カバーPC　2140  L=54720</v>
          </cell>
          <cell r="C132">
            <v>547.1</v>
          </cell>
        </row>
        <row r="133">
          <cell r="A133" t="str">
            <v>灯具カバーPC　2140  L=54722</v>
          </cell>
          <cell r="C133">
            <v>547.20000000000005</v>
          </cell>
        </row>
        <row r="134">
          <cell r="A134" t="str">
            <v>灯具カバーPC　2140  L=54724</v>
          </cell>
          <cell r="C134">
            <v>547.1</v>
          </cell>
        </row>
        <row r="135">
          <cell r="A135" t="str">
            <v>灯具カバーPC　2140  L=54726</v>
          </cell>
          <cell r="C135">
            <v>547.20000000000005</v>
          </cell>
        </row>
        <row r="136">
          <cell r="A136" t="str">
            <v>灯具カバーPC　2140  L=54728</v>
          </cell>
          <cell r="C136">
            <v>547.29999999999995</v>
          </cell>
        </row>
        <row r="137">
          <cell r="A137" t="str">
            <v>灯具カバーPC　2140  L=54730</v>
          </cell>
          <cell r="C137">
            <v>547.4</v>
          </cell>
        </row>
        <row r="138">
          <cell r="A138" t="str">
            <v>灯具カバーPC　2140  L=54732</v>
          </cell>
          <cell r="C138">
            <v>547.4</v>
          </cell>
        </row>
        <row r="139">
          <cell r="A139" t="str">
            <v>灯具カバーPC　7520  L=133404</v>
          </cell>
          <cell r="C139">
            <v>1331.9</v>
          </cell>
        </row>
        <row r="140">
          <cell r="A140" t="str">
            <v>灯具カバーPC　7520  L=133406</v>
          </cell>
          <cell r="C140">
            <v>1332.2</v>
          </cell>
        </row>
        <row r="141">
          <cell r="A141" t="str">
            <v>灯具カバーPC　7520  L=133408</v>
          </cell>
          <cell r="C141">
            <v>1332.4</v>
          </cell>
        </row>
        <row r="142">
          <cell r="A142" t="str">
            <v>灯具カバーPC　7520  L=133410</v>
          </cell>
          <cell r="C142">
            <v>1332.7</v>
          </cell>
        </row>
        <row r="143">
          <cell r="A143" t="str">
            <v>灯具カバーPC　7520  L=133412</v>
          </cell>
          <cell r="C143">
            <v>1333</v>
          </cell>
        </row>
        <row r="144">
          <cell r="A144" t="str">
            <v>灯具カバーPC　7520  L=133414</v>
          </cell>
          <cell r="C144">
            <v>1333.2</v>
          </cell>
        </row>
        <row r="145">
          <cell r="A145" t="str">
            <v>灯具カバーPC　7520  L=133416</v>
          </cell>
          <cell r="C145">
            <v>1333.5</v>
          </cell>
        </row>
        <row r="146">
          <cell r="A146" t="str">
            <v>灯具カバーPC　7520  L=133418</v>
          </cell>
          <cell r="C146">
            <v>1333.7</v>
          </cell>
        </row>
        <row r="147">
          <cell r="A147" t="str">
            <v>灯具カバーPC　7520  L=133420</v>
          </cell>
          <cell r="C147">
            <v>1334</v>
          </cell>
        </row>
        <row r="148">
          <cell r="A148" t="str">
            <v>灯具カバーPC　7520  L=133422</v>
          </cell>
          <cell r="C148">
            <v>1334.3</v>
          </cell>
        </row>
        <row r="149">
          <cell r="A149" t="str">
            <v>灯具カバーPC　7520  L=133424</v>
          </cell>
          <cell r="C149">
            <v>1334.5</v>
          </cell>
        </row>
        <row r="150">
          <cell r="A150" t="str">
            <v>灯具カバーPC　7520  L=133426</v>
          </cell>
          <cell r="C150">
            <v>1334.8</v>
          </cell>
        </row>
        <row r="151">
          <cell r="A151" t="str">
            <v>灯具カバーPC　7520  L=133428</v>
          </cell>
          <cell r="C151">
            <v>1335</v>
          </cell>
        </row>
        <row r="152">
          <cell r="A152" t="str">
            <v>灯具カバーPC　7520  L=133430</v>
          </cell>
          <cell r="C152">
            <v>1335.3</v>
          </cell>
        </row>
        <row r="153">
          <cell r="A153" t="str">
            <v>灯具カバーPC　7520  L=133432</v>
          </cell>
          <cell r="C153">
            <v>1335.6</v>
          </cell>
        </row>
        <row r="154">
          <cell r="A154" t="str">
            <v>灯具カバーPC　2180  L=1309.504</v>
          </cell>
          <cell r="C154">
            <v>1307.0999999999999</v>
          </cell>
        </row>
        <row r="155">
          <cell r="A155" t="str">
            <v>灯具カバーPC　2180  L=1309.506</v>
          </cell>
          <cell r="C155">
            <v>1308.3</v>
          </cell>
        </row>
        <row r="156">
          <cell r="A156" t="str">
            <v>灯具カバーPC　2180  L=1309.508</v>
          </cell>
          <cell r="C156">
            <v>1308.5</v>
          </cell>
        </row>
        <row r="157">
          <cell r="A157" t="str">
            <v>灯具カバーPC　2180  L=1309.510</v>
          </cell>
          <cell r="C157">
            <v>1308.5999999999999</v>
          </cell>
        </row>
        <row r="158">
          <cell r="A158" t="str">
            <v>灯具カバーPC　2180  L=1309.512</v>
          </cell>
          <cell r="C158">
            <v>1308.8</v>
          </cell>
        </row>
        <row r="159">
          <cell r="A159" t="str">
            <v>灯具カバーPC　2180  L=1309.514</v>
          </cell>
          <cell r="C159">
            <v>1309</v>
          </cell>
        </row>
        <row r="160">
          <cell r="A160" t="str">
            <v>灯具カバーPC　2180  L=1309.516</v>
          </cell>
          <cell r="C160">
            <v>1309.2</v>
          </cell>
        </row>
        <row r="161">
          <cell r="A161" t="str">
            <v>灯具カバーPC　2180  L=1309.518</v>
          </cell>
          <cell r="C161">
            <v>1309.3</v>
          </cell>
        </row>
        <row r="162">
          <cell r="A162" t="str">
            <v>灯具カバーPC　2180  L=1309.520</v>
          </cell>
          <cell r="C162">
            <v>1309.5</v>
          </cell>
        </row>
        <row r="163">
          <cell r="A163" t="str">
            <v>灯具カバーPC　2180  L=1309.522</v>
          </cell>
          <cell r="C163">
            <v>1309.7</v>
          </cell>
        </row>
        <row r="164">
          <cell r="A164" t="str">
            <v>灯具カバーPC　2180  L=1309.524</v>
          </cell>
          <cell r="C164">
            <v>1309.8</v>
          </cell>
        </row>
        <row r="165">
          <cell r="A165" t="str">
            <v>灯具カバーPC　2180  L=1309.526</v>
          </cell>
          <cell r="C165">
            <v>1310</v>
          </cell>
        </row>
        <row r="166">
          <cell r="A166" t="str">
            <v>灯具カバーPC　2180  L=1309.528</v>
          </cell>
          <cell r="C166">
            <v>1310.2</v>
          </cell>
        </row>
        <row r="167">
          <cell r="A167" t="str">
            <v>灯具カバーPC　2180  L=1309.530</v>
          </cell>
          <cell r="C167">
            <v>1310.4000000000001</v>
          </cell>
        </row>
        <row r="168">
          <cell r="A168" t="str">
            <v>灯具カバーPC　2180  L=1309.532</v>
          </cell>
          <cell r="C168">
            <v>1010.5</v>
          </cell>
        </row>
        <row r="169">
          <cell r="A169" t="str">
            <v>灯具カバーPC　2170  L=127904</v>
          </cell>
          <cell r="C169">
            <v>1277.7</v>
          </cell>
        </row>
        <row r="170">
          <cell r="A170" t="str">
            <v>灯具カバーPC　2170  L=127906</v>
          </cell>
          <cell r="C170">
            <v>1277.8</v>
          </cell>
        </row>
        <row r="171">
          <cell r="A171" t="str">
            <v>灯具カバーPC　2170  L=127908</v>
          </cell>
          <cell r="C171">
            <v>1278</v>
          </cell>
        </row>
        <row r="172">
          <cell r="A172" t="str">
            <v>灯具カバーPC　2170  L=127910</v>
          </cell>
          <cell r="C172">
            <v>1278.2</v>
          </cell>
        </row>
        <row r="173">
          <cell r="A173" t="str">
            <v>灯具カバーPC　2170  L=127912</v>
          </cell>
          <cell r="C173">
            <v>1278.3</v>
          </cell>
        </row>
        <row r="174">
          <cell r="A174" t="str">
            <v>灯具カバーPC　2170  L=127914</v>
          </cell>
          <cell r="C174">
            <v>1278.5</v>
          </cell>
        </row>
        <row r="175">
          <cell r="A175" t="str">
            <v>灯具カバーPC　2170  L=127916</v>
          </cell>
          <cell r="C175">
            <v>1278.7</v>
          </cell>
        </row>
        <row r="176">
          <cell r="A176" t="str">
            <v>灯具カバーPC　2170  L=127918</v>
          </cell>
          <cell r="C176">
            <v>1278.8</v>
          </cell>
        </row>
        <row r="177">
          <cell r="A177" t="str">
            <v>灯具カバーPC　2170  L=127920</v>
          </cell>
          <cell r="C177">
            <v>1279</v>
          </cell>
        </row>
        <row r="178">
          <cell r="A178" t="str">
            <v>灯具カバーPC　2170  L=127922</v>
          </cell>
          <cell r="C178">
            <v>1279.2</v>
          </cell>
        </row>
        <row r="179">
          <cell r="A179" t="str">
            <v>灯具カバーPC　2170  L=127924</v>
          </cell>
          <cell r="C179">
            <v>1279.3</v>
          </cell>
        </row>
        <row r="180">
          <cell r="A180" t="str">
            <v>灯具カバーPC　2170  L=127926</v>
          </cell>
          <cell r="C180">
            <v>1279.5</v>
          </cell>
        </row>
        <row r="181">
          <cell r="A181" t="str">
            <v>灯具カバーPC　2170  L=127928</v>
          </cell>
          <cell r="C181">
            <v>1279.7</v>
          </cell>
        </row>
        <row r="182">
          <cell r="A182" t="str">
            <v>灯具カバーPC　2170  L=127930</v>
          </cell>
          <cell r="C182">
            <v>1279.8</v>
          </cell>
        </row>
        <row r="183">
          <cell r="A183" t="str">
            <v>灯具カバーPC　2170  L=127932</v>
          </cell>
          <cell r="C183">
            <v>1278</v>
          </cell>
        </row>
        <row r="184">
          <cell r="A184" t="str">
            <v>灯具カバーPC　2190  L=124004</v>
          </cell>
          <cell r="C184">
            <v>1238.7</v>
          </cell>
        </row>
        <row r="185">
          <cell r="A185" t="str">
            <v>灯具カバーPC　2190  L=124006</v>
          </cell>
          <cell r="C185">
            <v>1238.9000000000001</v>
          </cell>
        </row>
        <row r="186">
          <cell r="A186" t="str">
            <v>灯具カバーPC　2190  L=124008</v>
          </cell>
          <cell r="C186">
            <v>1239</v>
          </cell>
        </row>
        <row r="187">
          <cell r="A187" t="str">
            <v>灯具カバーPC　2190  L=124010</v>
          </cell>
          <cell r="C187">
            <v>1239.2</v>
          </cell>
        </row>
        <row r="188">
          <cell r="A188" t="str">
            <v>灯具カバーPC　2190  L=124012</v>
          </cell>
          <cell r="C188">
            <v>1239.4000000000001</v>
          </cell>
        </row>
        <row r="189">
          <cell r="A189" t="str">
            <v>灯具カバーPC　2190  L=124014</v>
          </cell>
          <cell r="C189">
            <v>1239.5</v>
          </cell>
        </row>
        <row r="190">
          <cell r="A190" t="str">
            <v>灯具カバーPC　2190  L=124016</v>
          </cell>
          <cell r="C190">
            <v>1239.7</v>
          </cell>
        </row>
        <row r="191">
          <cell r="A191" t="str">
            <v>灯具カバーPC　2190  L=124018</v>
          </cell>
          <cell r="C191">
            <v>1239.8</v>
          </cell>
        </row>
        <row r="192">
          <cell r="A192" t="str">
            <v>灯具カバーPC　2190  L=124020</v>
          </cell>
          <cell r="C192">
            <v>1240</v>
          </cell>
        </row>
        <row r="193">
          <cell r="A193" t="str">
            <v>灯具カバーPC　2190  L=124022</v>
          </cell>
          <cell r="C193">
            <v>1240.2</v>
          </cell>
        </row>
        <row r="194">
          <cell r="A194" t="str">
            <v>灯具カバーPC　2190  L=124024</v>
          </cell>
          <cell r="C194">
            <v>1240.3</v>
          </cell>
        </row>
        <row r="195">
          <cell r="A195" t="str">
            <v>灯具カバーPC　2190  L=124026</v>
          </cell>
          <cell r="C195">
            <v>1240.5</v>
          </cell>
        </row>
        <row r="196">
          <cell r="A196" t="str">
            <v>灯具カバーPC　2190  L=124028</v>
          </cell>
          <cell r="C196">
            <v>1240.5999999999999</v>
          </cell>
        </row>
        <row r="197">
          <cell r="A197" t="str">
            <v>灯具カバーPC　2190  L=124030</v>
          </cell>
          <cell r="C197">
            <v>1240.8</v>
          </cell>
        </row>
        <row r="198">
          <cell r="A198" t="str">
            <v>灯具カバーPC　2190  L=124032</v>
          </cell>
          <cell r="C198">
            <v>1241</v>
          </cell>
        </row>
        <row r="199">
          <cell r="A199" t="str">
            <v>灯具カバーPC　2160  L=613.304</v>
          </cell>
          <cell r="C199">
            <v>612.5</v>
          </cell>
        </row>
        <row r="200">
          <cell r="A200" t="str">
            <v>灯具カバーPC　2160  L=613.306</v>
          </cell>
          <cell r="C200">
            <v>612.6</v>
          </cell>
        </row>
        <row r="201">
          <cell r="A201" t="str">
            <v>灯具カバーPC　2160  L=613.308</v>
          </cell>
          <cell r="C201">
            <v>612.70000000000005</v>
          </cell>
        </row>
        <row r="202">
          <cell r="A202" t="str">
            <v>灯具カバーPC　2160  L=613.310</v>
          </cell>
          <cell r="C202">
            <v>612.79999999999995</v>
          </cell>
        </row>
        <row r="203">
          <cell r="A203" t="str">
            <v>灯具カバーPC　2160  L=613.312</v>
          </cell>
          <cell r="C203">
            <v>612.9</v>
          </cell>
        </row>
        <row r="204">
          <cell r="A204" t="str">
            <v>灯具カバーPC　2160  L=613.314</v>
          </cell>
          <cell r="C204">
            <v>613</v>
          </cell>
        </row>
        <row r="205">
          <cell r="A205" t="str">
            <v>灯具カバーPC　2160  L=613.316</v>
          </cell>
          <cell r="C205">
            <v>613.1</v>
          </cell>
        </row>
        <row r="206">
          <cell r="A206" t="str">
            <v>灯具カバーPC　2160  L=613.318</v>
          </cell>
          <cell r="C206">
            <v>613.20000000000005</v>
          </cell>
        </row>
        <row r="207">
          <cell r="A207" t="str">
            <v>灯具カバーPC　2160  L=613.320</v>
          </cell>
          <cell r="C207">
            <v>613.29999999999995</v>
          </cell>
        </row>
        <row r="208">
          <cell r="A208" t="str">
            <v>灯具カバーPC　2160  L=613.322</v>
          </cell>
          <cell r="C208">
            <v>613.4</v>
          </cell>
        </row>
        <row r="209">
          <cell r="A209" t="str">
            <v>灯具カバーPC　2160  L=613.324</v>
          </cell>
          <cell r="C209">
            <v>613.5</v>
          </cell>
        </row>
        <row r="210">
          <cell r="A210" t="str">
            <v>灯具カバーPC　2160  L=613.326</v>
          </cell>
          <cell r="C210">
            <v>613.6</v>
          </cell>
        </row>
        <row r="211">
          <cell r="A211" t="str">
            <v>灯具カバーPC　2160  L=613.328</v>
          </cell>
          <cell r="C211">
            <v>613.70000000000005</v>
          </cell>
        </row>
        <row r="212">
          <cell r="A212" t="str">
            <v>灯具カバーPC　2160  L=613.330</v>
          </cell>
          <cell r="C212">
            <v>613.79999999999995</v>
          </cell>
        </row>
        <row r="213">
          <cell r="A213" t="str">
            <v>灯具カバーPC　2160  L=613.332</v>
          </cell>
          <cell r="C213">
            <v>613.9</v>
          </cell>
        </row>
        <row r="214">
          <cell r="A214" t="str">
            <v>灯具カバーPC　7530  L=56504</v>
          </cell>
          <cell r="C214">
            <v>564.20000000000005</v>
          </cell>
        </row>
        <row r="215">
          <cell r="A215" t="str">
            <v>灯具カバーPC　7530  L=56506</v>
          </cell>
          <cell r="C215">
            <v>564.29999999999995</v>
          </cell>
        </row>
        <row r="216">
          <cell r="A216" t="str">
            <v>灯具カバーPC　7530  L=56508</v>
          </cell>
          <cell r="C216">
            <v>564.5</v>
          </cell>
        </row>
        <row r="217">
          <cell r="A217" t="str">
            <v>灯具カバーPC　7530  L=56510</v>
          </cell>
          <cell r="C217">
            <v>564.6</v>
          </cell>
        </row>
        <row r="218">
          <cell r="A218" t="str">
            <v>灯具カバーPC　7530  L=56512</v>
          </cell>
          <cell r="C218">
            <v>564.70000000000005</v>
          </cell>
        </row>
        <row r="219">
          <cell r="A219" t="str">
            <v>灯具カバーPC　7530  L=56514</v>
          </cell>
          <cell r="C219">
            <v>564.79999999999995</v>
          </cell>
        </row>
        <row r="220">
          <cell r="A220" t="str">
            <v>灯具カバーPC　7530  L=56516</v>
          </cell>
          <cell r="C220">
            <v>564.9</v>
          </cell>
        </row>
        <row r="221">
          <cell r="A221" t="str">
            <v>灯具カバーPC　7530  L=56518</v>
          </cell>
          <cell r="C221">
            <v>565</v>
          </cell>
        </row>
        <row r="222">
          <cell r="A222" t="str">
            <v>灯具カバーPC　7530  L=56520</v>
          </cell>
          <cell r="C222">
            <v>565</v>
          </cell>
        </row>
        <row r="223">
          <cell r="A223" t="str">
            <v>灯具カバーPC　7530  L=56522</v>
          </cell>
          <cell r="C223">
            <v>565.1</v>
          </cell>
        </row>
        <row r="224">
          <cell r="A224" t="str">
            <v>灯具カバーPC　7530  L=56524</v>
          </cell>
          <cell r="C224">
            <v>565.20000000000005</v>
          </cell>
        </row>
        <row r="225">
          <cell r="A225" t="str">
            <v>灯具カバーPC　7530  L=56526</v>
          </cell>
          <cell r="C225">
            <v>565.4</v>
          </cell>
        </row>
        <row r="226">
          <cell r="A226" t="str">
            <v>灯具カバーPC　7530  L=56528</v>
          </cell>
          <cell r="C226">
            <v>565.6</v>
          </cell>
        </row>
        <row r="227">
          <cell r="A227" t="str">
            <v>灯具カバーPC　7530  L=56530</v>
          </cell>
          <cell r="C227">
            <v>565.70000000000005</v>
          </cell>
        </row>
        <row r="228">
          <cell r="A228" t="str">
            <v>灯具カバーPC　7530  L=56532</v>
          </cell>
          <cell r="C228">
            <v>565.70000000000005</v>
          </cell>
        </row>
        <row r="229">
          <cell r="A229" t="str">
            <v>灯具カバーPC　2200  L=221.804</v>
          </cell>
          <cell r="C229">
            <v>220.6</v>
          </cell>
        </row>
        <row r="230">
          <cell r="A230" t="str">
            <v>灯具カバーPC　2200  L=221.806</v>
          </cell>
          <cell r="C230">
            <v>220.8</v>
          </cell>
        </row>
        <row r="231">
          <cell r="A231" t="str">
            <v>灯具カバーPC　2200  L=221.808</v>
          </cell>
          <cell r="C231">
            <v>220.9</v>
          </cell>
        </row>
        <row r="232">
          <cell r="A232" t="str">
            <v>灯具カバーPC　2200  L=221.810</v>
          </cell>
          <cell r="C232">
            <v>221.1</v>
          </cell>
        </row>
        <row r="233">
          <cell r="A233" t="str">
            <v>灯具カバーPC　2200  L=221.812</v>
          </cell>
          <cell r="C233">
            <v>221.2</v>
          </cell>
        </row>
        <row r="234">
          <cell r="A234" t="str">
            <v>灯具カバーPC　2200  L=221.814</v>
          </cell>
          <cell r="C234">
            <v>221.4</v>
          </cell>
        </row>
        <row r="235">
          <cell r="A235" t="str">
            <v>灯具カバーPC　2200  L=221.816</v>
          </cell>
          <cell r="C235">
            <v>221.5</v>
          </cell>
        </row>
        <row r="236">
          <cell r="A236" t="str">
            <v>灯具カバーPC　2200  L=221.818</v>
          </cell>
          <cell r="C236">
            <v>221.7</v>
          </cell>
        </row>
        <row r="237">
          <cell r="A237" t="str">
            <v>灯具カバーPC　2200  L=221.820</v>
          </cell>
          <cell r="C237">
            <v>221.8</v>
          </cell>
        </row>
        <row r="238">
          <cell r="A238" t="str">
            <v>灯具カバーPC　2200  L=221.822</v>
          </cell>
          <cell r="C238">
            <v>222</v>
          </cell>
        </row>
        <row r="239">
          <cell r="A239" t="str">
            <v>灯具カバーPC　2200  L=221.824</v>
          </cell>
          <cell r="C239">
            <v>222.2</v>
          </cell>
        </row>
        <row r="240">
          <cell r="A240" t="str">
            <v>灯具カバーPC　2200  L=221.826</v>
          </cell>
          <cell r="C240">
            <v>222.3</v>
          </cell>
        </row>
        <row r="241">
          <cell r="A241" t="str">
            <v>灯具カバーPC　2200  L=221.828</v>
          </cell>
          <cell r="C241">
            <v>222.5</v>
          </cell>
        </row>
        <row r="242">
          <cell r="A242" t="str">
            <v>灯具カバーPC　2200  L=221.830</v>
          </cell>
          <cell r="C242">
            <v>222.6</v>
          </cell>
        </row>
        <row r="243">
          <cell r="A243" t="str">
            <v>灯具カバーPC　2200  L=221.832</v>
          </cell>
          <cell r="C243">
            <v>222.8</v>
          </cell>
        </row>
        <row r="244">
          <cell r="A244" t="str">
            <v>採光ルーバーパネルA　L=199604</v>
          </cell>
          <cell r="C244">
            <v>1994.92</v>
          </cell>
        </row>
        <row r="245">
          <cell r="A245" t="str">
            <v>採光ルーバーパネルA　L=199606</v>
          </cell>
          <cell r="C245">
            <v>1995.18</v>
          </cell>
        </row>
        <row r="246">
          <cell r="A246" t="str">
            <v>採光ルーバーパネルA　L=199608</v>
          </cell>
          <cell r="C246">
            <v>1995.44</v>
          </cell>
        </row>
        <row r="247">
          <cell r="A247" t="str">
            <v>採光ルーバーパネルA　L=199610</v>
          </cell>
          <cell r="C247">
            <v>1995.7</v>
          </cell>
        </row>
        <row r="248">
          <cell r="A248" t="str">
            <v>採光ルーバーパネルA　L=199612</v>
          </cell>
          <cell r="C248">
            <v>1995.96</v>
          </cell>
        </row>
        <row r="249">
          <cell r="A249" t="str">
            <v>採光ルーバーパネルA　L=199614</v>
          </cell>
          <cell r="C249">
            <v>1996.22</v>
          </cell>
        </row>
        <row r="250">
          <cell r="A250" t="str">
            <v>採光ルーバーパネルA　L=199616</v>
          </cell>
          <cell r="C250">
            <v>1996.48</v>
          </cell>
        </row>
        <row r="251">
          <cell r="A251" t="str">
            <v>採光ルーバーパネルA　L=199618</v>
          </cell>
          <cell r="C251">
            <v>1996.74</v>
          </cell>
        </row>
        <row r="252">
          <cell r="A252" t="str">
            <v>採光ルーバーパネルA　L=199620</v>
          </cell>
          <cell r="C252">
            <v>1997</v>
          </cell>
        </row>
        <row r="253">
          <cell r="A253" t="str">
            <v>採光ルーバーパネルA　L=199622</v>
          </cell>
          <cell r="C253">
            <v>1997.26</v>
          </cell>
        </row>
        <row r="254">
          <cell r="A254" t="str">
            <v>採光ルーバーパネルA　L=199624</v>
          </cell>
          <cell r="C254">
            <v>1997.52</v>
          </cell>
        </row>
        <row r="255">
          <cell r="A255" t="str">
            <v>採光ルーバーパネルA　L=199626</v>
          </cell>
          <cell r="C255">
            <v>1997.78</v>
          </cell>
        </row>
        <row r="256">
          <cell r="A256" t="str">
            <v>採光ルーバーパネルA　L=199628</v>
          </cell>
          <cell r="C256">
            <v>1998.04</v>
          </cell>
        </row>
        <row r="257">
          <cell r="A257" t="str">
            <v>採光ルーバーパネルA　L=199630</v>
          </cell>
          <cell r="C257">
            <v>1998.3</v>
          </cell>
        </row>
        <row r="258">
          <cell r="A258" t="str">
            <v>採光ルーバーパネルA　L=199632</v>
          </cell>
          <cell r="C258">
            <v>1998.56</v>
          </cell>
        </row>
        <row r="259">
          <cell r="A259" t="str">
            <v>採光ルーバーパネルB　L=199604</v>
          </cell>
          <cell r="C259">
            <v>1994.92</v>
          </cell>
        </row>
        <row r="260">
          <cell r="A260" t="str">
            <v>採光ルーバーパネルB　L=199606</v>
          </cell>
          <cell r="C260">
            <v>1995.18</v>
          </cell>
        </row>
        <row r="261">
          <cell r="A261" t="str">
            <v>採光ルーバーパネルB　L=199608</v>
          </cell>
          <cell r="C261">
            <v>1995.44</v>
          </cell>
        </row>
        <row r="262">
          <cell r="A262" t="str">
            <v>採光ルーバーパネルB　L=199610</v>
          </cell>
          <cell r="C262">
            <v>1995.7</v>
          </cell>
        </row>
        <row r="263">
          <cell r="A263" t="str">
            <v>採光ルーバーパネルB　L=199612</v>
          </cell>
          <cell r="C263">
            <v>1995.96</v>
          </cell>
        </row>
        <row r="264">
          <cell r="A264" t="str">
            <v>採光ルーバーパネルB　L=199614</v>
          </cell>
          <cell r="C264">
            <v>1996.22</v>
          </cell>
        </row>
        <row r="265">
          <cell r="A265" t="str">
            <v>採光ルーバーパネルB　L=199616</v>
          </cell>
          <cell r="C265">
            <v>1996.48</v>
          </cell>
        </row>
        <row r="266">
          <cell r="A266" t="str">
            <v>採光ルーバーパネルB　L=199618</v>
          </cell>
          <cell r="C266">
            <v>1996.74</v>
          </cell>
        </row>
        <row r="267">
          <cell r="A267" t="str">
            <v>採光ルーバーパネルB　L=199620</v>
          </cell>
          <cell r="C267">
            <v>1997</v>
          </cell>
        </row>
        <row r="268">
          <cell r="A268" t="str">
            <v>採光ルーバーパネルB　L=199622</v>
          </cell>
          <cell r="C268">
            <v>1997.26</v>
          </cell>
        </row>
        <row r="269">
          <cell r="A269" t="str">
            <v>採光ルーバーパネルB　L=199624</v>
          </cell>
          <cell r="C269">
            <v>1997.52</v>
          </cell>
        </row>
        <row r="270">
          <cell r="A270" t="str">
            <v>採光ルーバーパネルB　L=199626</v>
          </cell>
          <cell r="C270">
            <v>1997.78</v>
          </cell>
        </row>
        <row r="271">
          <cell r="A271" t="str">
            <v>採光ルーバーパネルB　L=199628</v>
          </cell>
          <cell r="C271">
            <v>1998.04</v>
          </cell>
        </row>
        <row r="272">
          <cell r="A272" t="str">
            <v>採光ルーバーパネルB　L=199630</v>
          </cell>
          <cell r="C272">
            <v>1998.3</v>
          </cell>
        </row>
        <row r="273">
          <cell r="A273" t="str">
            <v>採光ルーバーパネルB　L=199632</v>
          </cell>
          <cell r="C273">
            <v>1998.56</v>
          </cell>
        </row>
        <row r="274">
          <cell r="A274" t="str">
            <v>採光ルーバーパネルB　L=199634</v>
          </cell>
          <cell r="C274">
            <v>1998.82</v>
          </cell>
        </row>
        <row r="275">
          <cell r="A275" t="str">
            <v>採光ルーバーパネルB　L=199636</v>
          </cell>
          <cell r="C275">
            <v>1999.08</v>
          </cell>
        </row>
        <row r="276">
          <cell r="A276" t="str">
            <v>8FL281304 4810　L=29704</v>
          </cell>
          <cell r="C276">
            <v>269.69</v>
          </cell>
        </row>
        <row r="277">
          <cell r="A277" t="str">
            <v>8FL281304 4810　L=29706</v>
          </cell>
          <cell r="C277">
            <v>296.73</v>
          </cell>
        </row>
        <row r="278">
          <cell r="A278" t="str">
            <v>8FL281304 4810　L=29708</v>
          </cell>
          <cell r="C278">
            <v>296.77</v>
          </cell>
        </row>
        <row r="279">
          <cell r="A279" t="str">
            <v>8FL281304 4810　L=29710</v>
          </cell>
          <cell r="C279">
            <v>296.81</v>
          </cell>
        </row>
        <row r="280">
          <cell r="A280" t="str">
            <v>8FL281304 4810　L=29712</v>
          </cell>
          <cell r="C280">
            <v>296.85000000000002</v>
          </cell>
        </row>
        <row r="281">
          <cell r="A281" t="str">
            <v>8FL281304 4810　L=29714</v>
          </cell>
          <cell r="C281">
            <v>296.88</v>
          </cell>
        </row>
        <row r="282">
          <cell r="A282" t="str">
            <v>8FL281304 4810　L=29716</v>
          </cell>
          <cell r="C282">
            <v>296.92</v>
          </cell>
        </row>
        <row r="283">
          <cell r="A283" t="str">
            <v>8FL281304 4810　L=29718</v>
          </cell>
          <cell r="C283">
            <v>296.95999999999998</v>
          </cell>
        </row>
        <row r="284">
          <cell r="A284" t="str">
            <v>8FL281304 4810　L=29720</v>
          </cell>
          <cell r="C284">
            <v>297</v>
          </cell>
        </row>
        <row r="285">
          <cell r="A285" t="str">
            <v>8FL281304 4810　L=29722</v>
          </cell>
          <cell r="C285">
            <v>297.04000000000002</v>
          </cell>
        </row>
        <row r="286">
          <cell r="A286" t="str">
            <v>8FL281304 4810　L=29724</v>
          </cell>
          <cell r="C286">
            <v>297.08</v>
          </cell>
        </row>
        <row r="287">
          <cell r="A287" t="str">
            <v>8FL281304 4810　L=29726</v>
          </cell>
          <cell r="C287">
            <v>297.12</v>
          </cell>
        </row>
        <row r="288">
          <cell r="A288" t="str">
            <v>8FL281304 4810　L=29728</v>
          </cell>
          <cell r="C288">
            <v>297.14999999999998</v>
          </cell>
        </row>
        <row r="289">
          <cell r="A289" t="str">
            <v>8FL281304 4810　L=29730</v>
          </cell>
          <cell r="C289">
            <v>297.19</v>
          </cell>
        </row>
        <row r="290">
          <cell r="A290" t="str">
            <v>8FL281304 4810　L=29732</v>
          </cell>
          <cell r="C290">
            <v>297.23</v>
          </cell>
        </row>
        <row r="291">
          <cell r="A291" t="str">
            <v>8FL281304 8110　L=44404</v>
          </cell>
          <cell r="C291">
            <v>443.04</v>
          </cell>
        </row>
        <row r="292">
          <cell r="A292" t="str">
            <v>8FL281304 8110　L=44406</v>
          </cell>
          <cell r="C292">
            <v>443.1</v>
          </cell>
        </row>
        <row r="293">
          <cell r="A293" t="str">
            <v>8FL281304 8110　L=44408</v>
          </cell>
          <cell r="C293">
            <v>443.15</v>
          </cell>
        </row>
        <row r="294">
          <cell r="A294" t="str">
            <v>8FL281304 8110　L=44410</v>
          </cell>
          <cell r="C294">
            <v>443.21</v>
          </cell>
        </row>
        <row r="295">
          <cell r="A295" t="str">
            <v>8FL281304 8110　L=44412</v>
          </cell>
          <cell r="C295">
            <v>443.27</v>
          </cell>
        </row>
        <row r="296">
          <cell r="A296" t="str">
            <v>8FL281304 8110　L=44414</v>
          </cell>
          <cell r="C296">
            <v>443.33</v>
          </cell>
        </row>
        <row r="297">
          <cell r="A297" t="str">
            <v>8FL281304 8110　L=44416</v>
          </cell>
          <cell r="C297">
            <v>443.38</v>
          </cell>
        </row>
        <row r="298">
          <cell r="A298" t="str">
            <v>8FL281304 8110　L=44418</v>
          </cell>
          <cell r="C298">
            <v>443.44</v>
          </cell>
        </row>
        <row r="299">
          <cell r="A299" t="str">
            <v>8FL281304 8110　L=44420</v>
          </cell>
          <cell r="C299">
            <v>443.5</v>
          </cell>
        </row>
        <row r="300">
          <cell r="A300" t="str">
            <v>8FL281304 8110　L=44422</v>
          </cell>
          <cell r="C300">
            <v>443.56</v>
          </cell>
        </row>
        <row r="301">
          <cell r="A301" t="str">
            <v>8FL281304 8110　L=44424</v>
          </cell>
          <cell r="C301">
            <v>443.62</v>
          </cell>
        </row>
        <row r="302">
          <cell r="A302" t="str">
            <v>8FL281304 8110　L=44426</v>
          </cell>
          <cell r="C302">
            <v>443.67</v>
          </cell>
        </row>
        <row r="303">
          <cell r="A303" t="str">
            <v>8FL281304 8110　L=44428</v>
          </cell>
          <cell r="C303">
            <v>443.73</v>
          </cell>
        </row>
        <row r="304">
          <cell r="A304" t="str">
            <v>8FL281304 8110　L=44430</v>
          </cell>
          <cell r="C304">
            <v>443.79</v>
          </cell>
        </row>
        <row r="305">
          <cell r="A305" t="str">
            <v>8FL281304 8110　L=44432</v>
          </cell>
          <cell r="C305">
            <v>443.85</v>
          </cell>
        </row>
        <row r="306">
          <cell r="A306" t="str">
            <v>8FL281304 4910　L=59204</v>
          </cell>
          <cell r="C306">
            <v>590.88</v>
          </cell>
        </row>
        <row r="307">
          <cell r="A307" t="str">
            <v>8FL281304 4910　L=59206</v>
          </cell>
          <cell r="C307">
            <v>590.96</v>
          </cell>
        </row>
        <row r="308">
          <cell r="A308" t="str">
            <v>8FL281304 4910　L=59208</v>
          </cell>
          <cell r="C308">
            <v>591.04</v>
          </cell>
        </row>
        <row r="309">
          <cell r="A309" t="str">
            <v>8FL281304 4910　L=59210</v>
          </cell>
          <cell r="C309">
            <v>591.12</v>
          </cell>
        </row>
        <row r="310">
          <cell r="A310" t="str">
            <v>8FL281304 4910　L=59212</v>
          </cell>
          <cell r="C310">
            <v>591.19000000000005</v>
          </cell>
        </row>
        <row r="311">
          <cell r="A311" t="str">
            <v>8FL281304 4910　L=59214</v>
          </cell>
          <cell r="C311">
            <v>591.27</v>
          </cell>
        </row>
        <row r="312">
          <cell r="A312" t="str">
            <v>8FL281304 4910　L=59216</v>
          </cell>
          <cell r="C312">
            <v>591.35</v>
          </cell>
        </row>
        <row r="313">
          <cell r="A313" t="str">
            <v>8FL281304 4910　L=59218</v>
          </cell>
          <cell r="C313">
            <v>591.41999999999996</v>
          </cell>
        </row>
        <row r="314">
          <cell r="A314" t="str">
            <v>8FL281304 4910　L=59220</v>
          </cell>
          <cell r="C314">
            <v>591.5</v>
          </cell>
        </row>
        <row r="315">
          <cell r="A315" t="str">
            <v>8FL281304 4910　L=59222</v>
          </cell>
          <cell r="C315">
            <v>591.58000000000004</v>
          </cell>
        </row>
        <row r="316">
          <cell r="A316" t="str">
            <v>8FL281304 4910　L=59224</v>
          </cell>
          <cell r="C316">
            <v>591.65</v>
          </cell>
        </row>
        <row r="317">
          <cell r="A317" t="str">
            <v>8FL281304 4910　L=59226</v>
          </cell>
          <cell r="C317">
            <v>591.73</v>
          </cell>
        </row>
        <row r="318">
          <cell r="A318" t="str">
            <v>8FL281304 4910　L=59228</v>
          </cell>
          <cell r="C318">
            <v>591.80999999999995</v>
          </cell>
        </row>
        <row r="319">
          <cell r="A319" t="str">
            <v>8FL281304 4910　L=59230</v>
          </cell>
          <cell r="C319">
            <v>591.88</v>
          </cell>
        </row>
        <row r="320">
          <cell r="A320" t="str">
            <v>8FL281304 4910　L=59232</v>
          </cell>
          <cell r="C320">
            <v>591.96</v>
          </cell>
        </row>
        <row r="321">
          <cell r="A321" t="str">
            <v>8FL281304 8310　L=74804</v>
          </cell>
          <cell r="C321">
            <v>747.22</v>
          </cell>
        </row>
        <row r="322">
          <cell r="A322" t="str">
            <v>8FL281304 8310　L=74806</v>
          </cell>
          <cell r="C322">
            <v>747.32</v>
          </cell>
        </row>
        <row r="323">
          <cell r="A323" t="str">
            <v>8FL281304 8310　L=74808</v>
          </cell>
          <cell r="C323">
            <v>747.42</v>
          </cell>
        </row>
        <row r="324">
          <cell r="A324" t="str">
            <v>8FL281304 8310　L=74810</v>
          </cell>
          <cell r="C324">
            <v>747.51</v>
          </cell>
        </row>
        <row r="325">
          <cell r="A325" t="str">
            <v>8FL281304 8310　L=74812</v>
          </cell>
          <cell r="C325">
            <v>747.61</v>
          </cell>
        </row>
        <row r="326">
          <cell r="A326" t="str">
            <v>8FL281304 8310　L=74814</v>
          </cell>
          <cell r="C326">
            <v>747.71</v>
          </cell>
        </row>
        <row r="327">
          <cell r="A327" t="str">
            <v>8FL281304 8310　L=74816</v>
          </cell>
          <cell r="C327">
            <v>747.81</v>
          </cell>
        </row>
        <row r="328">
          <cell r="A328" t="str">
            <v>8FL281304 8310　L=74818</v>
          </cell>
          <cell r="C328">
            <v>747.9</v>
          </cell>
        </row>
        <row r="329">
          <cell r="A329" t="str">
            <v>8FL281304 8310　L=74820</v>
          </cell>
          <cell r="C329">
            <v>748</v>
          </cell>
        </row>
        <row r="330">
          <cell r="A330" t="str">
            <v>8FL281304 8310　L=74822</v>
          </cell>
          <cell r="C330">
            <v>748.1</v>
          </cell>
        </row>
        <row r="331">
          <cell r="A331" t="str">
            <v>8FL281304 8310　L=74824</v>
          </cell>
          <cell r="C331">
            <v>748.19</v>
          </cell>
        </row>
        <row r="332">
          <cell r="A332" t="str">
            <v>8FL281304 8310　L=74826</v>
          </cell>
          <cell r="C332">
            <v>748.29</v>
          </cell>
        </row>
        <row r="333">
          <cell r="A333" t="str">
            <v>8FL281304 8310　L=74828</v>
          </cell>
          <cell r="C333">
            <v>748.39</v>
          </cell>
        </row>
        <row r="334">
          <cell r="A334" t="str">
            <v>8FL281304 8310　L=74830</v>
          </cell>
          <cell r="C334">
            <v>748.49</v>
          </cell>
        </row>
        <row r="335">
          <cell r="A335" t="str">
            <v>8FL281304 8310　L=74832</v>
          </cell>
          <cell r="C335">
            <v>748.58</v>
          </cell>
        </row>
        <row r="336">
          <cell r="A336" t="str">
            <v>8FL281304 5010　L=88804</v>
          </cell>
          <cell r="C336">
            <v>887.08</v>
          </cell>
        </row>
        <row r="337">
          <cell r="A337" t="str">
            <v>8FL281304 5010　L=88806</v>
          </cell>
          <cell r="C337">
            <v>887.19</v>
          </cell>
        </row>
        <row r="338">
          <cell r="A338" t="str">
            <v>8FL281304 5010　L=88808</v>
          </cell>
          <cell r="C338">
            <v>887.31</v>
          </cell>
        </row>
        <row r="339">
          <cell r="A339" t="str">
            <v>8FL281304 5010　L=88810</v>
          </cell>
          <cell r="C339">
            <v>887.42</v>
          </cell>
        </row>
        <row r="340">
          <cell r="A340" t="str">
            <v>8FL281304 5010　L=88812</v>
          </cell>
          <cell r="C340">
            <v>887.54</v>
          </cell>
        </row>
        <row r="341">
          <cell r="A341" t="str">
            <v>8FL281304 5010　L=88814</v>
          </cell>
          <cell r="C341">
            <v>887.65</v>
          </cell>
        </row>
        <row r="342">
          <cell r="A342" t="str">
            <v>8FL281304 5010　L=88816</v>
          </cell>
          <cell r="C342">
            <v>887.77</v>
          </cell>
        </row>
        <row r="343">
          <cell r="A343" t="str">
            <v>8FL281304 5010　L=88818</v>
          </cell>
          <cell r="C343">
            <v>887.88</v>
          </cell>
        </row>
        <row r="344">
          <cell r="A344" t="str">
            <v>8FL281304 5010　L=88820</v>
          </cell>
          <cell r="C344">
            <v>888</v>
          </cell>
        </row>
        <row r="345">
          <cell r="A345" t="str">
            <v>8FL281304 5010　L=88822</v>
          </cell>
          <cell r="C345">
            <v>888.12</v>
          </cell>
        </row>
        <row r="346">
          <cell r="A346" t="str">
            <v>8FL281304 5010　L=88824</v>
          </cell>
          <cell r="C346">
            <v>888.23</v>
          </cell>
        </row>
        <row r="347">
          <cell r="A347" t="str">
            <v>8FL281304 5010　L=88826</v>
          </cell>
          <cell r="C347">
            <v>888.35</v>
          </cell>
        </row>
        <row r="348">
          <cell r="A348" t="str">
            <v>8FL281304 5010　L=88828</v>
          </cell>
          <cell r="C348">
            <v>888.46</v>
          </cell>
        </row>
        <row r="349">
          <cell r="A349" t="str">
            <v>8FL281304 5010　L=88830</v>
          </cell>
          <cell r="C349">
            <v>888.58</v>
          </cell>
        </row>
        <row r="350">
          <cell r="A350" t="str">
            <v>8FL281304 5010　L=88832</v>
          </cell>
          <cell r="C350">
            <v>888.69</v>
          </cell>
        </row>
        <row r="351">
          <cell r="A351" t="str">
            <v>8FL281304 5110　L=118304</v>
          </cell>
          <cell r="C351">
            <v>1181.77</v>
          </cell>
        </row>
        <row r="352">
          <cell r="A352" t="str">
            <v>8FL281304 5110　L=118306</v>
          </cell>
          <cell r="C352">
            <v>1181.92</v>
          </cell>
        </row>
        <row r="353">
          <cell r="A353" t="str">
            <v>8FL281304 5110　L=118308</v>
          </cell>
          <cell r="C353">
            <v>1182.08</v>
          </cell>
        </row>
        <row r="354">
          <cell r="A354" t="str">
            <v>8FL281304 5110　L=118310</v>
          </cell>
          <cell r="C354">
            <v>1182.23</v>
          </cell>
        </row>
        <row r="355">
          <cell r="A355" t="str">
            <v>8FL281304 5110　L=118312</v>
          </cell>
          <cell r="C355">
            <v>1182.3800000000001</v>
          </cell>
        </row>
        <row r="356">
          <cell r="A356" t="str">
            <v>8FL281304 5110　L=118314</v>
          </cell>
          <cell r="C356">
            <v>1182.54</v>
          </cell>
        </row>
        <row r="357">
          <cell r="A357" t="str">
            <v>8FL281304 5110　L=118316</v>
          </cell>
          <cell r="C357">
            <v>1182.69</v>
          </cell>
        </row>
        <row r="358">
          <cell r="A358" t="str">
            <v>8FL281304 5110　L=118318</v>
          </cell>
          <cell r="C358">
            <v>1182.8499999999999</v>
          </cell>
        </row>
        <row r="359">
          <cell r="A359" t="str">
            <v>8FL281304 5110　L=118320</v>
          </cell>
          <cell r="C359">
            <v>1183</v>
          </cell>
        </row>
        <row r="360">
          <cell r="A360" t="str">
            <v>8FL281304 5110　L=118322</v>
          </cell>
          <cell r="C360">
            <v>1183.1500000000001</v>
          </cell>
        </row>
        <row r="361">
          <cell r="A361" t="str">
            <v>8FL281304 5110　L=118324</v>
          </cell>
          <cell r="C361">
            <v>1183.31</v>
          </cell>
        </row>
        <row r="362">
          <cell r="A362" t="str">
            <v>8FL281304 5110　L=118326</v>
          </cell>
          <cell r="C362">
            <v>1183.46</v>
          </cell>
        </row>
        <row r="363">
          <cell r="A363" t="str">
            <v>8FL281304 5110　L=118328</v>
          </cell>
          <cell r="C363">
            <v>4483.62</v>
          </cell>
        </row>
        <row r="364">
          <cell r="A364" t="str">
            <v>8FL281304 5110　L=118330</v>
          </cell>
          <cell r="C364">
            <v>1183.77</v>
          </cell>
        </row>
        <row r="365">
          <cell r="A365" t="str">
            <v>8FL281304 5110　L=118332</v>
          </cell>
          <cell r="C365">
            <v>1183.92</v>
          </cell>
        </row>
        <row r="366">
          <cell r="A366" t="str">
            <v>8FL281304 8010　L=132904</v>
          </cell>
          <cell r="C366">
            <v>1327.62</v>
          </cell>
        </row>
        <row r="367">
          <cell r="A367" t="str">
            <v>8FL281304 8010　L=132906</v>
          </cell>
          <cell r="C367">
            <v>1327.79</v>
          </cell>
        </row>
        <row r="368">
          <cell r="A368" t="str">
            <v>8FL281304 8010　L=132908</v>
          </cell>
          <cell r="C368">
            <v>1327.96</v>
          </cell>
        </row>
        <row r="369">
          <cell r="A369" t="str">
            <v>8FL281304 8010　L=132910</v>
          </cell>
          <cell r="C369">
            <v>1328.14</v>
          </cell>
        </row>
        <row r="370">
          <cell r="A370" t="str">
            <v>8FL281304 8010　L=132912</v>
          </cell>
          <cell r="C370">
            <v>1328.31</v>
          </cell>
        </row>
        <row r="371">
          <cell r="A371" t="str">
            <v>8FL281304 8010　L=132914</v>
          </cell>
          <cell r="C371">
            <v>1328.48</v>
          </cell>
        </row>
        <row r="372">
          <cell r="A372" t="str">
            <v>8FL281304 8010　L=132916</v>
          </cell>
          <cell r="C372">
            <v>1328.65</v>
          </cell>
        </row>
        <row r="373">
          <cell r="A373" t="str">
            <v>8FL281304 8010　L=132918</v>
          </cell>
          <cell r="C373">
            <v>1328.83</v>
          </cell>
        </row>
        <row r="374">
          <cell r="A374" t="str">
            <v>8FL281304 8010　L=132920</v>
          </cell>
          <cell r="C374">
            <v>1329</v>
          </cell>
        </row>
        <row r="375">
          <cell r="A375" t="str">
            <v>8FL281304 8010　L=132922</v>
          </cell>
          <cell r="C375">
            <v>1329.17</v>
          </cell>
        </row>
        <row r="376">
          <cell r="A376" t="str">
            <v>8FL281304 8010　L=132924</v>
          </cell>
          <cell r="C376">
            <v>1329.35</v>
          </cell>
        </row>
        <row r="377">
          <cell r="A377" t="str">
            <v>8FL281304 8010　L=132926</v>
          </cell>
          <cell r="C377">
            <v>1329.52</v>
          </cell>
        </row>
        <row r="378">
          <cell r="A378" t="str">
            <v>8FL281304 8010　L=132928</v>
          </cell>
          <cell r="C378">
            <v>1329.69</v>
          </cell>
        </row>
        <row r="379">
          <cell r="A379" t="str">
            <v>8FL281304 8010　L=132930</v>
          </cell>
          <cell r="C379">
            <v>1329.86</v>
          </cell>
        </row>
        <row r="380">
          <cell r="A380" t="str">
            <v>8FL281304 8010　L=132932</v>
          </cell>
          <cell r="C380">
            <v>1330.04</v>
          </cell>
        </row>
        <row r="381">
          <cell r="A381" t="str">
            <v>8FL281304 6110　L=147804</v>
          </cell>
          <cell r="C381">
            <v>1476.46</v>
          </cell>
        </row>
        <row r="382">
          <cell r="A382" t="str">
            <v>8FL281304 6110　L=147806</v>
          </cell>
          <cell r="C382">
            <v>1476.66</v>
          </cell>
        </row>
        <row r="383">
          <cell r="A383" t="str">
            <v>8FL281304 6110　L=147808</v>
          </cell>
          <cell r="C383">
            <v>1476.85</v>
          </cell>
        </row>
        <row r="384">
          <cell r="A384" t="str">
            <v>8FL281304 6110　L=147810</v>
          </cell>
          <cell r="C384">
            <v>1477.04</v>
          </cell>
        </row>
        <row r="385">
          <cell r="A385" t="str">
            <v>8FL281304 6110　L=147812</v>
          </cell>
          <cell r="C385">
            <v>1477.23</v>
          </cell>
        </row>
        <row r="386">
          <cell r="A386" t="str">
            <v>8FL281304 6110　L=147814</v>
          </cell>
          <cell r="C386">
            <v>1477.42</v>
          </cell>
        </row>
        <row r="387">
          <cell r="A387" t="str">
            <v>8FL281304 6110　L=147816</v>
          </cell>
          <cell r="C387">
            <v>1477.61</v>
          </cell>
        </row>
        <row r="388">
          <cell r="A388" t="str">
            <v>8FL281304 6110　L=147818</v>
          </cell>
          <cell r="C388">
            <v>1477.81</v>
          </cell>
        </row>
        <row r="389">
          <cell r="A389" t="str">
            <v>8FL281304 6110　L=147820</v>
          </cell>
          <cell r="C389">
            <v>1478</v>
          </cell>
        </row>
        <row r="390">
          <cell r="A390" t="str">
            <v>8FL281304 6110　L=147822</v>
          </cell>
          <cell r="C390">
            <v>1478.19</v>
          </cell>
        </row>
        <row r="391">
          <cell r="A391" t="str">
            <v>8FL281304 6110　L=147824</v>
          </cell>
          <cell r="C391">
            <v>1478.38</v>
          </cell>
        </row>
        <row r="392">
          <cell r="A392" t="str">
            <v>8FL281304 6110　L=147826</v>
          </cell>
          <cell r="C392">
            <v>1478.58</v>
          </cell>
        </row>
        <row r="393">
          <cell r="A393" t="str">
            <v>8FL281304 6110　L=147828</v>
          </cell>
          <cell r="C393">
            <v>1478.77</v>
          </cell>
        </row>
        <row r="394">
          <cell r="A394" t="str">
            <v>8FL281304 6110　L=147830</v>
          </cell>
          <cell r="C394">
            <v>1478.96</v>
          </cell>
        </row>
        <row r="395">
          <cell r="A395" t="str">
            <v>8FL281304 6110　L=147832</v>
          </cell>
          <cell r="C395">
            <v>1479.15</v>
          </cell>
        </row>
        <row r="396">
          <cell r="A396" t="str">
            <v>8FL281304 4920　L=592　クリア04</v>
          </cell>
          <cell r="C396">
            <v>590.88</v>
          </cell>
        </row>
        <row r="397">
          <cell r="A397" t="str">
            <v>8FL281304 4920　L=592　クリア06</v>
          </cell>
          <cell r="C397">
            <v>590.96</v>
          </cell>
        </row>
        <row r="398">
          <cell r="A398" t="str">
            <v>8FL281304 4920　L=592　クリア08</v>
          </cell>
          <cell r="C398">
            <v>591.04</v>
          </cell>
        </row>
        <row r="399">
          <cell r="A399" t="str">
            <v>8FL281304 4920　L=592　クリア10</v>
          </cell>
          <cell r="C399">
            <v>591.12</v>
          </cell>
        </row>
        <row r="400">
          <cell r="A400" t="str">
            <v>8FL281304 4920　L=592　クリア12</v>
          </cell>
          <cell r="C400">
            <v>591.19000000000005</v>
          </cell>
        </row>
        <row r="401">
          <cell r="A401" t="str">
            <v>8FL281304 4920　L=592　クリア14</v>
          </cell>
          <cell r="C401">
            <v>591.27</v>
          </cell>
        </row>
        <row r="402">
          <cell r="A402" t="str">
            <v>8FL281304 4920　L=592　クリア16</v>
          </cell>
          <cell r="C402">
            <v>591.35</v>
          </cell>
        </row>
        <row r="403">
          <cell r="A403" t="str">
            <v>8FL281304 4920　L=592　クリア18</v>
          </cell>
          <cell r="C403">
            <v>591.41999999999996</v>
          </cell>
        </row>
        <row r="404">
          <cell r="A404" t="str">
            <v>8FL281304 4920　L=592　クリア20</v>
          </cell>
          <cell r="C404">
            <v>591.5</v>
          </cell>
        </row>
        <row r="405">
          <cell r="A405" t="str">
            <v>8FL281304 4920　L=592　クリア22</v>
          </cell>
          <cell r="C405">
            <v>591.58000000000004</v>
          </cell>
        </row>
        <row r="406">
          <cell r="A406" t="str">
            <v>8FL281304 4920　L=592　クリア24</v>
          </cell>
          <cell r="C406">
            <v>591.65</v>
          </cell>
        </row>
        <row r="407">
          <cell r="A407" t="str">
            <v>8FL281304 4920　L=592　クリア26</v>
          </cell>
          <cell r="C407">
            <v>591.73</v>
          </cell>
        </row>
        <row r="408">
          <cell r="A408" t="str">
            <v>8FL281304 4920　L=592　クリア28</v>
          </cell>
          <cell r="C408">
            <v>591.80999999999995</v>
          </cell>
        </row>
        <row r="409">
          <cell r="A409" t="str">
            <v>8FL281304 4920　L=592　クリア30</v>
          </cell>
          <cell r="C409">
            <v>591.88</v>
          </cell>
        </row>
        <row r="410">
          <cell r="A410" t="str">
            <v>8FL281304 4920　L=592　クリア32</v>
          </cell>
          <cell r="C410">
            <v>591.96</v>
          </cell>
        </row>
        <row r="411">
          <cell r="A411" t="str">
            <v>8FL281304 5020　L=888　クリア04</v>
          </cell>
          <cell r="C411">
            <v>887.08</v>
          </cell>
        </row>
        <row r="412">
          <cell r="A412" t="str">
            <v>8FL281304 5020　L=888　クリア06</v>
          </cell>
          <cell r="C412">
            <v>887.19</v>
          </cell>
        </row>
        <row r="413">
          <cell r="A413" t="str">
            <v>8FL281304 5020　L=888　クリア08</v>
          </cell>
          <cell r="C413">
            <v>887.31</v>
          </cell>
        </row>
        <row r="414">
          <cell r="A414" t="str">
            <v>8FL281304 5020　L=888　クリア10</v>
          </cell>
          <cell r="C414">
            <v>887.42</v>
          </cell>
        </row>
        <row r="415">
          <cell r="A415" t="str">
            <v>8FL281304 5020　L=888　クリア12</v>
          </cell>
          <cell r="C415">
            <v>887.54</v>
          </cell>
        </row>
        <row r="416">
          <cell r="A416" t="str">
            <v>8FL281304 5020　L=888　クリア14</v>
          </cell>
          <cell r="C416">
            <v>887.65</v>
          </cell>
        </row>
        <row r="417">
          <cell r="A417" t="str">
            <v>8FL281304 5020　L=888　クリア16</v>
          </cell>
          <cell r="C417">
            <v>887.77</v>
          </cell>
        </row>
        <row r="418">
          <cell r="A418" t="str">
            <v>8FL281304 5020　L=888　クリア18</v>
          </cell>
          <cell r="C418">
            <v>887.88</v>
          </cell>
        </row>
        <row r="419">
          <cell r="A419" t="str">
            <v>8FL281304 5020　L=888　クリア20</v>
          </cell>
          <cell r="C419">
            <v>888</v>
          </cell>
        </row>
        <row r="420">
          <cell r="A420" t="str">
            <v>8FL281304 5020　L=888　クリア22</v>
          </cell>
          <cell r="C420">
            <v>888.12</v>
          </cell>
        </row>
        <row r="421">
          <cell r="A421" t="str">
            <v>8FL281304 5020　L=888　クリア24</v>
          </cell>
          <cell r="C421">
            <v>888.23</v>
          </cell>
        </row>
        <row r="422">
          <cell r="A422" t="str">
            <v>8FL281304 5020　L=888　クリア26</v>
          </cell>
          <cell r="C422">
            <v>888.35</v>
          </cell>
        </row>
        <row r="423">
          <cell r="A423" t="str">
            <v>8FL281304 5020　L=888　クリア28</v>
          </cell>
          <cell r="C423">
            <v>888.46</v>
          </cell>
        </row>
        <row r="424">
          <cell r="A424" t="str">
            <v>8FL281304 5020　L=888　クリア30</v>
          </cell>
          <cell r="C424">
            <v>888.58</v>
          </cell>
        </row>
        <row r="425">
          <cell r="A425" t="str">
            <v>8FL281304 5020　L=888　クリア32</v>
          </cell>
          <cell r="C425">
            <v>888.69</v>
          </cell>
        </row>
        <row r="426">
          <cell r="A426" t="str">
            <v>8FL281304 5120　L=1183　クリア04</v>
          </cell>
          <cell r="C426">
            <v>1181.77</v>
          </cell>
        </row>
        <row r="427">
          <cell r="A427" t="str">
            <v>8FL281304 5120　L=1183　クリア06</v>
          </cell>
          <cell r="C427">
            <v>1181.92</v>
          </cell>
        </row>
        <row r="428">
          <cell r="A428" t="str">
            <v>8FL281304 5120　L=1183　クリア08</v>
          </cell>
          <cell r="C428">
            <v>1182.08</v>
          </cell>
        </row>
        <row r="429">
          <cell r="A429" t="str">
            <v>8FL281304 5120　L=1183　クリア10</v>
          </cell>
          <cell r="C429">
            <v>1182.23</v>
          </cell>
        </row>
        <row r="430">
          <cell r="A430" t="str">
            <v>8FL281304 5120　L=1183　クリア12</v>
          </cell>
          <cell r="C430">
            <v>1182.3800000000001</v>
          </cell>
        </row>
        <row r="431">
          <cell r="A431" t="str">
            <v>8FL281304 5120　L=1183　クリア14</v>
          </cell>
          <cell r="C431">
            <v>1182.54</v>
          </cell>
        </row>
        <row r="432">
          <cell r="A432" t="str">
            <v>8FL281304 5120　L=1183　クリア16</v>
          </cell>
          <cell r="C432">
            <v>1182.69</v>
          </cell>
        </row>
        <row r="433">
          <cell r="A433" t="str">
            <v>8FL281304 5120　L=1183　クリア18</v>
          </cell>
          <cell r="C433">
            <v>1182.8499999999999</v>
          </cell>
        </row>
        <row r="434">
          <cell r="A434" t="str">
            <v>8FL281304 5120　L=1183　クリア20</v>
          </cell>
          <cell r="C434">
            <v>1183</v>
          </cell>
        </row>
        <row r="435">
          <cell r="A435" t="str">
            <v>8FL281304 5120　L=1183　クリア22</v>
          </cell>
          <cell r="C435">
            <v>1183.1500000000001</v>
          </cell>
        </row>
        <row r="436">
          <cell r="A436" t="str">
            <v>8FL281304 5120　L=1183　クリア24</v>
          </cell>
          <cell r="C436">
            <v>1183.31</v>
          </cell>
        </row>
        <row r="437">
          <cell r="A437" t="str">
            <v>8FL281304 5120　L=1183　クリア26</v>
          </cell>
          <cell r="C437">
            <v>1183.46</v>
          </cell>
        </row>
        <row r="438">
          <cell r="A438" t="str">
            <v>8FL281304 5120　L=1183　クリア28</v>
          </cell>
          <cell r="C438">
            <v>4483.62</v>
          </cell>
        </row>
        <row r="439">
          <cell r="A439" t="str">
            <v>8FL281304 5120　L=1183　クリア30</v>
          </cell>
          <cell r="C439">
            <v>1183.77</v>
          </cell>
        </row>
        <row r="440">
          <cell r="A440" t="str">
            <v>8FL281304 5120　L=1183　クリア32</v>
          </cell>
          <cell r="C440">
            <v>1183.92</v>
          </cell>
        </row>
        <row r="441">
          <cell r="A441" t="str">
            <v>8FL281304 6120　L=1478　クリア04</v>
          </cell>
          <cell r="C441">
            <v>1476.46</v>
          </cell>
        </row>
        <row r="442">
          <cell r="A442" t="str">
            <v>8FL281304 6120　L=1478　クリア06</v>
          </cell>
          <cell r="C442">
            <v>1476.66</v>
          </cell>
        </row>
        <row r="443">
          <cell r="A443" t="str">
            <v>8FL281304 6120　L=1478　クリア08</v>
          </cell>
          <cell r="C443">
            <v>1476.85</v>
          </cell>
        </row>
        <row r="444">
          <cell r="A444" t="str">
            <v>8FL281304 6120　L=1478　クリア10</v>
          </cell>
          <cell r="C444">
            <v>1477.04</v>
          </cell>
        </row>
        <row r="445">
          <cell r="A445" t="str">
            <v>8FL281304 6120　L=1478　クリア12</v>
          </cell>
          <cell r="C445">
            <v>1477.23</v>
          </cell>
        </row>
        <row r="446">
          <cell r="A446" t="str">
            <v>8FL281304 6120　L=1478　クリア14</v>
          </cell>
          <cell r="C446">
            <v>1477.42</v>
          </cell>
        </row>
        <row r="447">
          <cell r="A447" t="str">
            <v>8FL281304 6120　L=1478　クリア16</v>
          </cell>
          <cell r="C447">
            <v>1477.61</v>
          </cell>
        </row>
        <row r="448">
          <cell r="A448" t="str">
            <v>8FL281304 6120　L=1478　クリア18</v>
          </cell>
          <cell r="C448">
            <v>1477.81</v>
          </cell>
        </row>
        <row r="449">
          <cell r="A449" t="str">
            <v>8FL281304 6120　L=1478　クリア20</v>
          </cell>
          <cell r="C449">
            <v>1478</v>
          </cell>
        </row>
        <row r="450">
          <cell r="A450" t="str">
            <v>8FL281304 6120　L=1478　クリア22</v>
          </cell>
          <cell r="C450">
            <v>1478.19</v>
          </cell>
        </row>
        <row r="451">
          <cell r="A451" t="str">
            <v>8FL281304 6120　L=1478　クリア24</v>
          </cell>
          <cell r="C451">
            <v>1478.38</v>
          </cell>
        </row>
        <row r="452">
          <cell r="A452" t="str">
            <v>8FL281304 6120　L=1478　クリア26</v>
          </cell>
          <cell r="C452">
            <v>1478.58</v>
          </cell>
        </row>
        <row r="453">
          <cell r="A453" t="str">
            <v>8FL281304 6120　L=1478　クリア28</v>
          </cell>
          <cell r="C453">
            <v>1478.77</v>
          </cell>
        </row>
        <row r="454">
          <cell r="A454" t="str">
            <v>8FL281304 6120　L=1478　クリア30</v>
          </cell>
          <cell r="C454">
            <v>1478.96</v>
          </cell>
        </row>
        <row r="455">
          <cell r="A455" t="str">
            <v>8FL281304 6120　L=1478　クリア32</v>
          </cell>
          <cell r="C455">
            <v>1479.15</v>
          </cell>
        </row>
        <row r="456">
          <cell r="A456" t="str">
            <v>ハーネスガイド部材　L=275</v>
          </cell>
          <cell r="C456">
            <v>276</v>
          </cell>
        </row>
        <row r="457">
          <cell r="A457" t="str">
            <v>MDP-689B L1　L=1608</v>
          </cell>
          <cell r="C457">
            <v>1609</v>
          </cell>
        </row>
        <row r="458">
          <cell r="A458" t="str">
            <v>MDP-689B L2　L=1662</v>
          </cell>
          <cell r="C458">
            <v>1663</v>
          </cell>
        </row>
        <row r="459">
          <cell r="A459" t="str">
            <v>MDP-689B L4　L=2574</v>
          </cell>
          <cell r="C459">
            <v>2575</v>
          </cell>
        </row>
        <row r="460">
          <cell r="A460" t="str">
            <v>MDPQ-689B L1　L=1608</v>
          </cell>
          <cell r="C460">
            <v>1609</v>
          </cell>
        </row>
        <row r="461">
          <cell r="A461" t="str">
            <v>MDPQ-689B L2　L=1662</v>
          </cell>
          <cell r="C461">
            <v>1663</v>
          </cell>
        </row>
        <row r="462">
          <cell r="A462" t="str">
            <v>MDPQ-689B L4 　L=2574　　</v>
          </cell>
          <cell r="C462">
            <v>2575</v>
          </cell>
        </row>
        <row r="463">
          <cell r="A463" t="str">
            <v>MDP-688A L1　L=1604</v>
          </cell>
          <cell r="C463">
            <v>1605</v>
          </cell>
        </row>
        <row r="464">
          <cell r="A464" t="str">
            <v>MDP-688A L2　L=1658</v>
          </cell>
          <cell r="C464">
            <v>1659</v>
          </cell>
        </row>
        <row r="465">
          <cell r="A465" t="str">
            <v>MDP-688A L4　L=2570</v>
          </cell>
          <cell r="C465">
            <v>2571</v>
          </cell>
        </row>
        <row r="466">
          <cell r="A466" t="str">
            <v>MDPQ-688A L1　L=1604</v>
          </cell>
          <cell r="C466">
            <v>1605</v>
          </cell>
        </row>
        <row r="467">
          <cell r="A467" t="str">
            <v>MDPQ-688A L2　L=1658</v>
          </cell>
          <cell r="C467">
            <v>1659</v>
          </cell>
        </row>
        <row r="468">
          <cell r="A468" t="str">
            <v>MDPQ-688A L4　L=2570</v>
          </cell>
          <cell r="C468">
            <v>2571</v>
          </cell>
        </row>
        <row r="469">
          <cell r="A469" t="str">
            <v>SRG-60D　L=586</v>
          </cell>
          <cell r="C469">
            <v>585.5</v>
          </cell>
        </row>
        <row r="470">
          <cell r="A470" t="str">
            <v>SRG-90D　L=860</v>
          </cell>
          <cell r="C470">
            <v>859.5</v>
          </cell>
        </row>
        <row r="471">
          <cell r="A471" t="str">
            <v>SRG-60U　L=586</v>
          </cell>
          <cell r="C471">
            <v>585.5</v>
          </cell>
        </row>
        <row r="472">
          <cell r="A472" t="str">
            <v>SRG-90U　L=860</v>
          </cell>
          <cell r="C472">
            <v>859.5</v>
          </cell>
        </row>
        <row r="473">
          <cell r="A473" t="str">
            <v>ﾃﾝｹﾝｺｳ(上)　L=300</v>
          </cell>
          <cell r="C473">
            <v>299.5</v>
          </cell>
        </row>
        <row r="474">
          <cell r="A474" t="str">
            <v>ﾃﾝｹﾝｺｳ(上)　L=498</v>
          </cell>
          <cell r="C474">
            <v>497.5</v>
          </cell>
        </row>
        <row r="475">
          <cell r="A475" t="str">
            <v>ﾃﾝｹﾝｺｳ(上)　L=1168</v>
          </cell>
          <cell r="C475">
            <v>1167.5</v>
          </cell>
        </row>
        <row r="476">
          <cell r="A476" t="str">
            <v>ﾃﾝｹﾝｺｳ(下)　L=498</v>
          </cell>
          <cell r="C476">
            <v>497.5</v>
          </cell>
        </row>
        <row r="477">
          <cell r="A477" t="str">
            <v>L型ｱﾝｸﾞﾙ　WT-28B　L=420</v>
          </cell>
          <cell r="C477">
            <v>419</v>
          </cell>
        </row>
        <row r="478">
          <cell r="A478" t="str">
            <v>L型ｱﾝｸﾞﾙ　P-VH-42D　L=520</v>
          </cell>
          <cell r="C478">
            <v>519</v>
          </cell>
        </row>
        <row r="479">
          <cell r="A479" t="str">
            <v>L型ｱﾝｸﾞﾙ　P-VH-C　L=530</v>
          </cell>
          <cell r="C479">
            <v>529</v>
          </cell>
        </row>
        <row r="480">
          <cell r="A480" t="str">
            <v>L型ｱﾝｸﾞﾙ　WT-42B　L=590</v>
          </cell>
          <cell r="C480">
            <v>589</v>
          </cell>
        </row>
        <row r="481">
          <cell r="A481" t="str">
            <v>L型ｱﾝｸﾞﾙ　P-VH-E　L=600</v>
          </cell>
          <cell r="C481">
            <v>599</v>
          </cell>
        </row>
        <row r="482">
          <cell r="A482" t="str">
            <v>L型ｱﾝｸﾞﾙ　P-VH-56D　L=690</v>
          </cell>
          <cell r="C482">
            <v>689</v>
          </cell>
        </row>
        <row r="483">
          <cell r="A483" t="str">
            <v>L型ｱﾝｸﾞﾙ　WT-56B　L=760　　</v>
          </cell>
          <cell r="C483">
            <v>759</v>
          </cell>
        </row>
        <row r="484">
          <cell r="A484" t="str">
            <v>L型ｱﾝｸﾞﾙ　P-VH-A　L=1018</v>
          </cell>
          <cell r="C484">
            <v>1017</v>
          </cell>
        </row>
        <row r="485">
          <cell r="A485" t="str">
            <v>WD-615 BR　L=707</v>
          </cell>
          <cell r="C485">
            <v>707</v>
          </cell>
        </row>
        <row r="486">
          <cell r="A486" t="str">
            <v>WD-615 BR　L=711</v>
          </cell>
          <cell r="C486">
            <v>711</v>
          </cell>
        </row>
        <row r="487">
          <cell r="A487" t="str">
            <v>WD-615 BR　L=734</v>
          </cell>
          <cell r="C487">
            <v>734</v>
          </cell>
        </row>
        <row r="488">
          <cell r="A488" t="str">
            <v>WD-615 BR　L=787</v>
          </cell>
          <cell r="C488">
            <v>787</v>
          </cell>
        </row>
        <row r="489">
          <cell r="A489" t="str">
            <v>WD-615 BR　L=836</v>
          </cell>
          <cell r="C489">
            <v>836</v>
          </cell>
        </row>
        <row r="490">
          <cell r="A490" t="str">
            <v>GA-770 BK(BD)　L=730.5</v>
          </cell>
          <cell r="C490">
            <v>730</v>
          </cell>
        </row>
        <row r="491">
          <cell r="A491" t="str">
            <v>GA-770 BK(BD)　L=745.5</v>
          </cell>
          <cell r="C491">
            <v>745</v>
          </cell>
        </row>
        <row r="492">
          <cell r="A492" t="str">
            <v>GA-770 BR　L=730.5</v>
          </cell>
          <cell r="C492">
            <v>730</v>
          </cell>
        </row>
        <row r="493">
          <cell r="A493" t="str">
            <v>GA-770 BR　L=745.5</v>
          </cell>
          <cell r="C493">
            <v>745</v>
          </cell>
        </row>
        <row r="494">
          <cell r="A494" t="str">
            <v>WD3104A KC L=409</v>
          </cell>
          <cell r="C494">
            <v>409</v>
          </cell>
        </row>
        <row r="495">
          <cell r="A495" t="str">
            <v>WD3104A KC　L=500.5</v>
          </cell>
          <cell r="C495">
            <v>500.5</v>
          </cell>
        </row>
        <row r="496">
          <cell r="A496" t="str">
            <v>WD3104A BK　L=409</v>
          </cell>
          <cell r="C496">
            <v>409</v>
          </cell>
        </row>
        <row r="497">
          <cell r="A497" t="str">
            <v>WD3104A BR(BK)　L=500.5</v>
          </cell>
          <cell r="C497">
            <v>500.5</v>
          </cell>
        </row>
        <row r="498">
          <cell r="A498" t="str">
            <v>WD3104A BR(BK)　L=900</v>
          </cell>
          <cell r="C498">
            <v>900</v>
          </cell>
        </row>
        <row r="499">
          <cell r="A499" t="str">
            <v>991HDP　198</v>
          </cell>
          <cell r="C499">
            <v>198</v>
          </cell>
        </row>
        <row r="500">
          <cell r="A500" t="str">
            <v>991GPK　264</v>
          </cell>
          <cell r="C500">
            <v>264</v>
          </cell>
        </row>
        <row r="501">
          <cell r="A501" t="str">
            <v>991GPK　268</v>
          </cell>
          <cell r="C501">
            <v>268</v>
          </cell>
        </row>
        <row r="502">
          <cell r="A502" t="str">
            <v>991GPK　414</v>
          </cell>
          <cell r="C502">
            <v>414</v>
          </cell>
        </row>
        <row r="503">
          <cell r="A503" t="str">
            <v>991GPK　418</v>
          </cell>
          <cell r="C503">
            <v>418</v>
          </cell>
        </row>
        <row r="504">
          <cell r="A504" t="str">
            <v>991GPK　565</v>
          </cell>
          <cell r="C504">
            <v>565</v>
          </cell>
        </row>
        <row r="505">
          <cell r="A505" t="str">
            <v>991GPK　568</v>
          </cell>
          <cell r="C505">
            <v>568</v>
          </cell>
        </row>
        <row r="506">
          <cell r="A506" t="str">
            <v>991GPK　715</v>
          </cell>
          <cell r="C506">
            <v>715</v>
          </cell>
        </row>
        <row r="507">
          <cell r="A507" t="str">
            <v>991GPK　718</v>
          </cell>
          <cell r="C507">
            <v>718</v>
          </cell>
        </row>
        <row r="508">
          <cell r="A508" t="str">
            <v>991GPK　865</v>
          </cell>
          <cell r="C508">
            <v>865</v>
          </cell>
        </row>
        <row r="509">
          <cell r="A509" t="str">
            <v>991GPK　868</v>
          </cell>
          <cell r="C509">
            <v>868</v>
          </cell>
        </row>
        <row r="510">
          <cell r="A510" t="str">
            <v>991GPK　1015</v>
          </cell>
          <cell r="C510">
            <v>1015</v>
          </cell>
        </row>
        <row r="511">
          <cell r="A511" t="str">
            <v>991GPK　1018</v>
          </cell>
          <cell r="C511">
            <v>1018</v>
          </cell>
        </row>
        <row r="512">
          <cell r="A512" t="str">
            <v>752GPSB　265</v>
          </cell>
          <cell r="C512">
            <v>264.5</v>
          </cell>
        </row>
        <row r="513">
          <cell r="A513" t="str">
            <v>752GPSB　415</v>
          </cell>
          <cell r="C513">
            <v>414.5</v>
          </cell>
        </row>
        <row r="514">
          <cell r="A514" t="str">
            <v>752GPSB　565</v>
          </cell>
          <cell r="C514">
            <v>564.5</v>
          </cell>
        </row>
        <row r="515">
          <cell r="A515" t="str">
            <v>752GPSB　665</v>
          </cell>
          <cell r="C515">
            <v>664</v>
          </cell>
        </row>
        <row r="516">
          <cell r="A516" t="str">
            <v>752GPSB　715</v>
          </cell>
          <cell r="C516">
            <v>714.5</v>
          </cell>
        </row>
        <row r="517">
          <cell r="A517" t="str">
            <v>752GPSB　865</v>
          </cell>
          <cell r="C517">
            <v>864.5</v>
          </cell>
        </row>
        <row r="518">
          <cell r="A518" t="str">
            <v>002EGAW　519</v>
          </cell>
          <cell r="C518">
            <v>518.5</v>
          </cell>
        </row>
        <row r="519">
          <cell r="A519" t="str">
            <v>002EGAW　631</v>
          </cell>
          <cell r="C519">
            <v>630.5</v>
          </cell>
        </row>
        <row r="520">
          <cell r="A520" t="str">
            <v>001EGAW　415</v>
          </cell>
          <cell r="C520">
            <v>414.5</v>
          </cell>
        </row>
        <row r="521">
          <cell r="A521" t="str">
            <v>001EGAW　508</v>
          </cell>
          <cell r="C521">
            <v>507.5</v>
          </cell>
        </row>
        <row r="522">
          <cell r="A522" t="str">
            <v>001EGAW　565</v>
          </cell>
          <cell r="C522">
            <v>564.5</v>
          </cell>
        </row>
        <row r="523">
          <cell r="A523" t="str">
            <v>001EGAW　633</v>
          </cell>
          <cell r="C523">
            <v>632.5</v>
          </cell>
        </row>
        <row r="524">
          <cell r="A524" t="str">
            <v>001EGAW　652</v>
          </cell>
          <cell r="C524">
            <v>651.5</v>
          </cell>
        </row>
        <row r="525">
          <cell r="A525" t="str">
            <v>001EGAW　665</v>
          </cell>
          <cell r="C525">
            <v>664.5</v>
          </cell>
        </row>
        <row r="526">
          <cell r="A526" t="str">
            <v>001EGAW　715</v>
          </cell>
          <cell r="C526">
            <v>714.5</v>
          </cell>
        </row>
        <row r="527">
          <cell r="A527" t="str">
            <v>照明ｶﾊﾞｰS15　L=55004</v>
          </cell>
          <cell r="C527">
            <v>549.4</v>
          </cell>
        </row>
        <row r="528">
          <cell r="A528" t="str">
            <v>照明ｶﾊﾞｰS15　L=55006</v>
          </cell>
          <cell r="C528">
            <v>549.5</v>
          </cell>
        </row>
        <row r="529">
          <cell r="A529" t="str">
            <v>照明ｶﾊﾞｰS15　L=55008</v>
          </cell>
          <cell r="C529">
            <v>549.6</v>
          </cell>
        </row>
        <row r="530">
          <cell r="A530" t="str">
            <v>照明ｶﾊﾞｰS15　L=55010</v>
          </cell>
          <cell r="C530">
            <v>549.6</v>
          </cell>
        </row>
        <row r="531">
          <cell r="A531" t="str">
            <v>照明ｶﾊﾞｰS15　L=55012</v>
          </cell>
          <cell r="C531">
            <v>549.70000000000005</v>
          </cell>
        </row>
        <row r="532">
          <cell r="A532" t="str">
            <v>照明ｶﾊﾞｰS15　L=55014</v>
          </cell>
          <cell r="C532">
            <v>549.79999999999995</v>
          </cell>
        </row>
        <row r="533">
          <cell r="A533" t="str">
            <v>照明ｶﾊﾞｰS15　L=55016</v>
          </cell>
          <cell r="C533">
            <v>549.9</v>
          </cell>
        </row>
        <row r="534">
          <cell r="A534" t="str">
            <v>照明ｶﾊﾞｰS15　L=55018</v>
          </cell>
          <cell r="C534">
            <v>549.9</v>
          </cell>
        </row>
        <row r="535">
          <cell r="A535" t="str">
            <v>照明ｶﾊﾞｰS15　L=55020</v>
          </cell>
          <cell r="C535">
            <v>550</v>
          </cell>
        </row>
        <row r="536">
          <cell r="A536" t="str">
            <v>照明ｶﾊﾞｰS15　L=55022</v>
          </cell>
          <cell r="C536">
            <v>550.1</v>
          </cell>
        </row>
        <row r="537">
          <cell r="A537" t="str">
            <v>照明ｶﾊﾞｰS15　L=55024</v>
          </cell>
          <cell r="C537">
            <v>550.1</v>
          </cell>
        </row>
        <row r="538">
          <cell r="A538" t="str">
            <v>照明ｶﾊﾞｰS15　L=55026</v>
          </cell>
          <cell r="C538">
            <v>550.20000000000005</v>
          </cell>
        </row>
        <row r="539">
          <cell r="A539" t="str">
            <v>照明ｶﾊﾞｰS15　L=55028</v>
          </cell>
          <cell r="C539">
            <v>550.29999999999995</v>
          </cell>
        </row>
        <row r="540">
          <cell r="A540" t="str">
            <v>照明ｶﾊﾞｰS15　L=55030</v>
          </cell>
          <cell r="C540">
            <v>550.4</v>
          </cell>
        </row>
        <row r="541">
          <cell r="A541" t="str">
            <v>照明ｶﾊﾞｰS15　L=55032</v>
          </cell>
          <cell r="C541">
            <v>550.4</v>
          </cell>
        </row>
        <row r="542">
          <cell r="A542" t="str">
            <v>照明ｶﾊﾞｰS　L=560.404</v>
          </cell>
          <cell r="C542">
            <v>559.79999999999995</v>
          </cell>
        </row>
        <row r="543">
          <cell r="A543" t="str">
            <v>照明ｶﾊﾞｰS　L=560.406</v>
          </cell>
          <cell r="C543">
            <v>559.9</v>
          </cell>
        </row>
        <row r="544">
          <cell r="A544" t="str">
            <v>照明ｶﾊﾞｰS　L=560.408</v>
          </cell>
          <cell r="C544">
            <v>560</v>
          </cell>
        </row>
        <row r="545">
          <cell r="A545" t="str">
            <v>照明ｶﾊﾞｰS　L=560.410</v>
          </cell>
          <cell r="C545">
            <v>560</v>
          </cell>
        </row>
        <row r="546">
          <cell r="A546" t="str">
            <v>照明ｶﾊﾞｰS　L=560.412</v>
          </cell>
          <cell r="C546">
            <v>560.1</v>
          </cell>
        </row>
        <row r="547">
          <cell r="A547" t="str">
            <v>照明ｶﾊﾞｰS　L=560.414</v>
          </cell>
          <cell r="C547">
            <v>560.20000000000005</v>
          </cell>
        </row>
        <row r="548">
          <cell r="A548" t="str">
            <v>照明ｶﾊﾞｰS　L=560.416</v>
          </cell>
          <cell r="C548">
            <v>560.29999999999995</v>
          </cell>
        </row>
        <row r="549">
          <cell r="A549" t="str">
            <v>照明ｶﾊﾞｰS　L=560.418</v>
          </cell>
          <cell r="C549">
            <v>560.29999999999995</v>
          </cell>
        </row>
        <row r="550">
          <cell r="A550" t="str">
            <v>照明ｶﾊﾞｰS　L=560.420</v>
          </cell>
          <cell r="C550">
            <v>560.4</v>
          </cell>
        </row>
        <row r="551">
          <cell r="A551" t="str">
            <v>照明ｶﾊﾞｰS　L=560.422</v>
          </cell>
          <cell r="C551">
            <v>560.5</v>
          </cell>
        </row>
        <row r="552">
          <cell r="A552" t="str">
            <v>照明ｶﾊﾞｰS　L=560.424</v>
          </cell>
          <cell r="C552">
            <v>560.5</v>
          </cell>
        </row>
        <row r="553">
          <cell r="A553" t="str">
            <v>照明ｶﾊﾞｰS　L=560.426</v>
          </cell>
          <cell r="C553">
            <v>560.6</v>
          </cell>
        </row>
        <row r="554">
          <cell r="A554" t="str">
            <v>照明ｶﾊﾞｰS　L=560.428</v>
          </cell>
          <cell r="C554">
            <v>560.70000000000005</v>
          </cell>
        </row>
        <row r="555">
          <cell r="A555" t="str">
            <v>照明ｶﾊﾞｰS　L=560.430</v>
          </cell>
          <cell r="C555">
            <v>560.79999999999995</v>
          </cell>
        </row>
        <row r="556">
          <cell r="A556" t="str">
            <v>照明ｶﾊﾞｰS　L=560.432</v>
          </cell>
          <cell r="C556">
            <v>560.79999999999995</v>
          </cell>
        </row>
        <row r="557">
          <cell r="A557" t="str">
            <v>照明ｶﾊﾞｰL15　L=82004</v>
          </cell>
          <cell r="C557">
            <v>818.1</v>
          </cell>
        </row>
        <row r="558">
          <cell r="A558" t="str">
            <v>照明ｶﾊﾞｰL15　L=82006</v>
          </cell>
          <cell r="C558">
            <v>819.3</v>
          </cell>
        </row>
        <row r="559">
          <cell r="A559" t="str">
            <v>照明ｶﾊﾞｰL15　L=82008</v>
          </cell>
          <cell r="C559">
            <v>819.4</v>
          </cell>
        </row>
        <row r="560">
          <cell r="A560" t="str">
            <v>照明ｶﾊﾞｰL15　L=82010</v>
          </cell>
          <cell r="C560">
            <v>819.5</v>
          </cell>
        </row>
        <row r="561">
          <cell r="A561" t="str">
            <v>照明ｶﾊﾞｰL15　L=82012</v>
          </cell>
          <cell r="C561">
            <v>819.6</v>
          </cell>
        </row>
        <row r="562">
          <cell r="A562" t="str">
            <v>照明ｶﾊﾞｰL15　L=82014</v>
          </cell>
          <cell r="C562">
            <v>819.7</v>
          </cell>
        </row>
        <row r="563">
          <cell r="A563" t="str">
            <v>照明ｶﾊﾞｰL15　L=82016</v>
          </cell>
          <cell r="C563">
            <v>819.8</v>
          </cell>
        </row>
        <row r="564">
          <cell r="A564" t="str">
            <v>照明ｶﾊﾞｰL15　L=82018</v>
          </cell>
          <cell r="C564">
            <v>819.9</v>
          </cell>
        </row>
        <row r="565">
          <cell r="A565" t="str">
            <v>照明ｶﾊﾞｰL15　L=82020</v>
          </cell>
          <cell r="C565">
            <v>820</v>
          </cell>
        </row>
        <row r="566">
          <cell r="A566" t="str">
            <v>照明ｶﾊﾞｰL15　L=82022</v>
          </cell>
          <cell r="C566">
            <v>820.1</v>
          </cell>
        </row>
        <row r="567">
          <cell r="A567" t="str">
            <v>照明ｶﾊﾞｰL15　L=82024</v>
          </cell>
          <cell r="C567">
            <v>820.2</v>
          </cell>
        </row>
        <row r="568">
          <cell r="A568" t="str">
            <v>照明ｶﾊﾞｰL15　L=82026</v>
          </cell>
          <cell r="C568">
            <v>820.3</v>
          </cell>
        </row>
        <row r="569">
          <cell r="A569" t="str">
            <v>照明ｶﾊﾞｰL15　L=82028</v>
          </cell>
          <cell r="C569">
            <v>820.4</v>
          </cell>
        </row>
        <row r="570">
          <cell r="A570" t="str">
            <v>照明ｶﾊﾞｰL15　L=82030</v>
          </cell>
          <cell r="C570">
            <v>820.5</v>
          </cell>
        </row>
        <row r="571">
          <cell r="A571" t="str">
            <v>照明ｶﾊﾞｰL15　L=82032</v>
          </cell>
          <cell r="C571">
            <v>820.6</v>
          </cell>
        </row>
        <row r="572">
          <cell r="A572" t="str">
            <v>照明ｶﾊﾞｰL　L=830.404</v>
          </cell>
          <cell r="C572">
            <v>829.5</v>
          </cell>
        </row>
        <row r="573">
          <cell r="A573" t="str">
            <v>照明ｶﾊﾞｰL　L=830.406</v>
          </cell>
          <cell r="C573">
            <v>829.6</v>
          </cell>
        </row>
        <row r="574">
          <cell r="A574" t="str">
            <v>照明ｶﾊﾞｰL　L=830.408</v>
          </cell>
          <cell r="C574">
            <v>829.8</v>
          </cell>
        </row>
        <row r="575">
          <cell r="A575" t="str">
            <v>照明ｶﾊﾞｰL　L=830.410</v>
          </cell>
          <cell r="C575">
            <v>829.9</v>
          </cell>
        </row>
        <row r="576">
          <cell r="A576" t="str">
            <v>照明ｶﾊﾞｰL　L=830.412</v>
          </cell>
          <cell r="C576">
            <v>830</v>
          </cell>
        </row>
        <row r="577">
          <cell r="A577" t="str">
            <v>照明ｶﾊﾞｰL　L=830.414</v>
          </cell>
          <cell r="C577">
            <v>830.1</v>
          </cell>
        </row>
        <row r="578">
          <cell r="A578" t="str">
            <v>照明ｶﾊﾞｰL　L=830.416</v>
          </cell>
          <cell r="C578">
            <v>830.2</v>
          </cell>
        </row>
        <row r="579">
          <cell r="A579" t="str">
            <v>照明ｶﾊﾞｰL　L=830.418</v>
          </cell>
          <cell r="C579">
            <v>830.3</v>
          </cell>
        </row>
        <row r="580">
          <cell r="A580" t="str">
            <v>照明ｶﾊﾞｰL　L=830.420</v>
          </cell>
          <cell r="C580">
            <v>830.4</v>
          </cell>
        </row>
        <row r="581">
          <cell r="A581" t="str">
            <v>照明ｶﾊﾞｰL　L=830.422</v>
          </cell>
          <cell r="C581">
            <v>830.5</v>
          </cell>
        </row>
        <row r="582">
          <cell r="A582" t="str">
            <v>照明ｶﾊﾞｰL　L=830.424</v>
          </cell>
          <cell r="C582">
            <v>830.6</v>
          </cell>
        </row>
        <row r="583">
          <cell r="A583" t="str">
            <v>照明ｶﾊﾞｰL　L=830.426</v>
          </cell>
          <cell r="C583">
            <v>830.7</v>
          </cell>
        </row>
        <row r="584">
          <cell r="A584" t="str">
            <v>照明ｶﾊﾞｰL　L=830.428</v>
          </cell>
          <cell r="C584">
            <v>830.8</v>
          </cell>
        </row>
        <row r="585">
          <cell r="A585" t="str">
            <v>照明ｶﾊﾞｰL　L=830.430</v>
          </cell>
          <cell r="C585">
            <v>830.9</v>
          </cell>
        </row>
        <row r="586">
          <cell r="A586" t="str">
            <v>照明ｶﾊﾞｰL　L=830.432</v>
          </cell>
          <cell r="C586">
            <v>831</v>
          </cell>
        </row>
        <row r="587">
          <cell r="A587" t="str">
            <v>051GPW　269(ｽﾀ)　04</v>
          </cell>
          <cell r="C587">
            <v>269.2</v>
          </cell>
        </row>
        <row r="588">
          <cell r="A588" t="str">
            <v>051GPW　269(ｽﾀ)　06</v>
          </cell>
          <cell r="C588">
            <v>269.2</v>
          </cell>
        </row>
        <row r="589">
          <cell r="A589" t="str">
            <v>051GPW　269(ｽﾀ)　08</v>
          </cell>
          <cell r="C589">
            <v>269.3</v>
          </cell>
        </row>
        <row r="590">
          <cell r="A590" t="str">
            <v>051GPW　269(ｽﾀ)　10</v>
          </cell>
          <cell r="C590">
            <v>269.3</v>
          </cell>
        </row>
        <row r="591">
          <cell r="A591" t="str">
            <v>051GPW　269(ｽﾀ)　12</v>
          </cell>
          <cell r="C591">
            <v>269.3</v>
          </cell>
        </row>
        <row r="592">
          <cell r="A592" t="str">
            <v>051GPW　269(ｽﾀ)　14</v>
          </cell>
          <cell r="C592">
            <v>269.39999999999998</v>
          </cell>
        </row>
        <row r="593">
          <cell r="A593" t="str">
            <v>051GPW　269(ｽﾀ)　16</v>
          </cell>
          <cell r="C593">
            <v>269.39999999999998</v>
          </cell>
        </row>
        <row r="594">
          <cell r="A594" t="str">
            <v>051GPW　269(ｽﾀ)　18</v>
          </cell>
          <cell r="C594">
            <v>269.5</v>
          </cell>
        </row>
        <row r="595">
          <cell r="A595" t="str">
            <v>051GPW　269(ｽﾀ)　20</v>
          </cell>
          <cell r="C595">
            <v>269.5</v>
          </cell>
        </row>
        <row r="596">
          <cell r="A596" t="str">
            <v>051GPW　269(ｽﾀ)　22</v>
          </cell>
          <cell r="C596">
            <v>269.5</v>
          </cell>
        </row>
        <row r="597">
          <cell r="A597" t="str">
            <v>051GPW　269(ｽﾀ)　24</v>
          </cell>
          <cell r="C597">
            <v>269.60000000000002</v>
          </cell>
        </row>
        <row r="598">
          <cell r="A598" t="str">
            <v>051GPW　269(ｽﾀ)　26</v>
          </cell>
          <cell r="C598">
            <v>269.60000000000002</v>
          </cell>
        </row>
        <row r="599">
          <cell r="A599" t="str">
            <v>051GPW　269(ｽﾀ)　28</v>
          </cell>
          <cell r="C599">
            <v>269.7</v>
          </cell>
        </row>
        <row r="600">
          <cell r="A600" t="str">
            <v>051GPW　269(ｽﾀ)　30</v>
          </cell>
          <cell r="C600">
            <v>269.7</v>
          </cell>
        </row>
        <row r="601">
          <cell r="A601" t="str">
            <v>051GPW　269(ｽﾀ)　32</v>
          </cell>
          <cell r="C601">
            <v>269.7</v>
          </cell>
        </row>
        <row r="602">
          <cell r="A602" t="str">
            <v>051GPW　419(ｽﾀ)04</v>
          </cell>
          <cell r="C602">
            <v>419</v>
          </cell>
        </row>
        <row r="603">
          <cell r="A603" t="str">
            <v>051GPW　419(ｽﾀ)06</v>
          </cell>
          <cell r="C603">
            <v>419.1</v>
          </cell>
        </row>
        <row r="604">
          <cell r="A604" t="str">
            <v>051GPW　419(ｽﾀ)08</v>
          </cell>
          <cell r="C604">
            <v>419.1</v>
          </cell>
        </row>
        <row r="605">
          <cell r="A605" t="str">
            <v>051GPW　419(ｽﾀ)10</v>
          </cell>
          <cell r="C605">
            <v>419.2</v>
          </cell>
        </row>
        <row r="606">
          <cell r="A606" t="str">
            <v>051GPW　419(ｽﾀ)12</v>
          </cell>
          <cell r="C606">
            <v>419.3</v>
          </cell>
        </row>
        <row r="607">
          <cell r="A607" t="str">
            <v>051GPW　419(ｽﾀ)14</v>
          </cell>
          <cell r="C607">
            <v>419.3</v>
          </cell>
        </row>
        <row r="608">
          <cell r="A608" t="str">
            <v>051GPW　419(ｽﾀ)16</v>
          </cell>
          <cell r="C608">
            <v>419.4</v>
          </cell>
        </row>
        <row r="609">
          <cell r="A609" t="str">
            <v>051GPW　419(ｽﾀ)18</v>
          </cell>
          <cell r="C609">
            <v>419.4</v>
          </cell>
        </row>
        <row r="610">
          <cell r="A610" t="str">
            <v>051GPW　419(ｽﾀ)20</v>
          </cell>
          <cell r="C610">
            <v>419.5</v>
          </cell>
        </row>
        <row r="611">
          <cell r="A611" t="str">
            <v>051GPW　419(ｽﾀ)22</v>
          </cell>
          <cell r="C611">
            <v>419.6</v>
          </cell>
        </row>
        <row r="612">
          <cell r="A612" t="str">
            <v>051GPW　419(ｽﾀ)24</v>
          </cell>
          <cell r="C612">
            <v>419.6</v>
          </cell>
        </row>
        <row r="613">
          <cell r="A613" t="str">
            <v>051GPW　419(ｽﾀ)26</v>
          </cell>
          <cell r="C613">
            <v>419.7</v>
          </cell>
        </row>
        <row r="614">
          <cell r="A614" t="str">
            <v>051GPW　419(ｽﾀ)28</v>
          </cell>
          <cell r="C614">
            <v>419.7</v>
          </cell>
        </row>
        <row r="615">
          <cell r="A615" t="str">
            <v>051GPW　419(ｽﾀ)30</v>
          </cell>
          <cell r="C615">
            <v>419.8</v>
          </cell>
        </row>
        <row r="616">
          <cell r="A616" t="str">
            <v>051GPW　419(ｽﾀ)32</v>
          </cell>
          <cell r="C616">
            <v>419.9</v>
          </cell>
        </row>
        <row r="617">
          <cell r="A617" t="str">
            <v>051GPW　567(ｽﾀ)04</v>
          </cell>
          <cell r="C617">
            <v>566.79999999999995</v>
          </cell>
        </row>
        <row r="618">
          <cell r="A618" t="str">
            <v>051GPW　567(ｽﾀ)06</v>
          </cell>
          <cell r="C618">
            <v>566.9</v>
          </cell>
        </row>
        <row r="619">
          <cell r="A619" t="str">
            <v>051GPW　567(ｽﾀ)08</v>
          </cell>
          <cell r="C619">
            <v>567</v>
          </cell>
        </row>
        <row r="620">
          <cell r="A620" t="str">
            <v>051GPW　567(ｽﾀ)10</v>
          </cell>
          <cell r="C620">
            <v>567.1</v>
          </cell>
        </row>
        <row r="621">
          <cell r="A621" t="str">
            <v>051GPW　567(ｽﾀ)12</v>
          </cell>
          <cell r="C621">
            <v>567.20000000000005</v>
          </cell>
        </row>
        <row r="622">
          <cell r="A622" t="str">
            <v>051GPW　567(ｽﾀ)14</v>
          </cell>
          <cell r="C622">
            <v>567.20000000000005</v>
          </cell>
        </row>
        <row r="623">
          <cell r="A623" t="str">
            <v>051GPW　567(ｽﾀ)16</v>
          </cell>
          <cell r="C623">
            <v>567.29999999999995</v>
          </cell>
        </row>
        <row r="624">
          <cell r="A624" t="str">
            <v>051GPW　567(ｽﾀ)18</v>
          </cell>
          <cell r="C624">
            <v>567.4</v>
          </cell>
        </row>
        <row r="625">
          <cell r="A625" t="str">
            <v>051GPW　567(ｽﾀ)20</v>
          </cell>
          <cell r="C625">
            <v>567.5</v>
          </cell>
        </row>
        <row r="626">
          <cell r="A626" t="str">
            <v>051GPW　567(ｽﾀ)22</v>
          </cell>
          <cell r="C626">
            <v>567.6</v>
          </cell>
        </row>
        <row r="627">
          <cell r="A627" t="str">
            <v>051GPW　567(ｽﾀ)24</v>
          </cell>
          <cell r="C627">
            <v>567.70000000000005</v>
          </cell>
        </row>
        <row r="628">
          <cell r="A628" t="str">
            <v>051GPW　567(ｽﾀ)26</v>
          </cell>
          <cell r="C628">
            <v>567.79999999999995</v>
          </cell>
        </row>
        <row r="629">
          <cell r="A629" t="str">
            <v>051GPW　567(ｽﾀ)28</v>
          </cell>
          <cell r="C629">
            <v>567.79999999999995</v>
          </cell>
        </row>
        <row r="630">
          <cell r="A630" t="str">
            <v>051GPW　567(ｽﾀ)30</v>
          </cell>
          <cell r="C630">
            <v>567.9</v>
          </cell>
        </row>
        <row r="631">
          <cell r="A631" t="str">
            <v>051GPW　567(ｽﾀ)32</v>
          </cell>
          <cell r="C631">
            <v>568</v>
          </cell>
        </row>
        <row r="632">
          <cell r="A632" t="str">
            <v>051GPW　56904</v>
          </cell>
          <cell r="C632">
            <v>567.79999999999995</v>
          </cell>
        </row>
        <row r="633">
          <cell r="A633" t="str">
            <v>051GPW　56906</v>
          </cell>
          <cell r="C633">
            <v>567.9</v>
          </cell>
        </row>
        <row r="634">
          <cell r="A634" t="str">
            <v>051GPW　56908</v>
          </cell>
          <cell r="C634">
            <v>568</v>
          </cell>
        </row>
        <row r="635">
          <cell r="A635" t="str">
            <v>051GPW　56910</v>
          </cell>
          <cell r="C635">
            <v>568.1</v>
          </cell>
        </row>
        <row r="636">
          <cell r="A636" t="str">
            <v>051GPW　56912</v>
          </cell>
          <cell r="C636">
            <v>568.20000000000005</v>
          </cell>
        </row>
        <row r="637">
          <cell r="A637" t="str">
            <v>051GPW　56914</v>
          </cell>
          <cell r="C637">
            <v>568.20000000000005</v>
          </cell>
        </row>
        <row r="638">
          <cell r="A638" t="str">
            <v>051GPW　56916</v>
          </cell>
          <cell r="C638">
            <v>568.29999999999995</v>
          </cell>
        </row>
        <row r="639">
          <cell r="A639" t="str">
            <v>051GPW　56918</v>
          </cell>
          <cell r="C639">
            <v>568.4</v>
          </cell>
        </row>
        <row r="640">
          <cell r="A640" t="str">
            <v>051GPW　56920</v>
          </cell>
          <cell r="C640">
            <v>568.5</v>
          </cell>
        </row>
        <row r="641">
          <cell r="A641" t="str">
            <v>051GPW　56922</v>
          </cell>
          <cell r="C641">
            <v>568.6</v>
          </cell>
        </row>
        <row r="642">
          <cell r="A642" t="str">
            <v>051GPW　56924</v>
          </cell>
          <cell r="C642">
            <v>568.70000000000005</v>
          </cell>
        </row>
        <row r="643">
          <cell r="A643" t="str">
            <v>051GPW　56926</v>
          </cell>
          <cell r="C643">
            <v>568.79999999999995</v>
          </cell>
        </row>
        <row r="644">
          <cell r="A644" t="str">
            <v>051GPW　56928</v>
          </cell>
          <cell r="C644">
            <v>568.79999999999995</v>
          </cell>
        </row>
        <row r="645">
          <cell r="A645" t="str">
            <v>051GPW　56930</v>
          </cell>
          <cell r="C645">
            <v>568.9</v>
          </cell>
        </row>
        <row r="646">
          <cell r="A646" t="str">
            <v>051GPW　56932</v>
          </cell>
          <cell r="C646">
            <v>569</v>
          </cell>
        </row>
        <row r="647">
          <cell r="A647" t="str">
            <v>051GPW　71504</v>
          </cell>
          <cell r="C647">
            <v>713.7</v>
          </cell>
        </row>
        <row r="648">
          <cell r="A648" t="str">
            <v>051GPW　71506</v>
          </cell>
          <cell r="C648">
            <v>713.8</v>
          </cell>
        </row>
        <row r="649">
          <cell r="A649" t="str">
            <v>051GPW　71508</v>
          </cell>
          <cell r="C649">
            <v>713.9</v>
          </cell>
        </row>
        <row r="650">
          <cell r="A650" t="str">
            <v>051GPW　71510</v>
          </cell>
          <cell r="C650">
            <v>714</v>
          </cell>
        </row>
        <row r="651">
          <cell r="A651" t="str">
            <v>051GPW　71512</v>
          </cell>
          <cell r="C651">
            <v>714.1</v>
          </cell>
        </row>
        <row r="652">
          <cell r="A652" t="str">
            <v>051GPW　71514</v>
          </cell>
          <cell r="C652">
            <v>714.2</v>
          </cell>
        </row>
        <row r="653">
          <cell r="A653" t="str">
            <v>051GPW　71516</v>
          </cell>
          <cell r="C653">
            <v>714.3</v>
          </cell>
        </row>
        <row r="654">
          <cell r="A654" t="str">
            <v>051GPW　71518</v>
          </cell>
          <cell r="C654">
            <v>714.4</v>
          </cell>
        </row>
        <row r="655">
          <cell r="A655" t="str">
            <v>051GPW　71520</v>
          </cell>
          <cell r="C655">
            <v>714.5</v>
          </cell>
        </row>
        <row r="656">
          <cell r="A656" t="str">
            <v>051GPW　71522</v>
          </cell>
          <cell r="C656">
            <v>714.6</v>
          </cell>
        </row>
        <row r="657">
          <cell r="A657" t="str">
            <v>051GPW　71524</v>
          </cell>
          <cell r="C657">
            <v>714.7</v>
          </cell>
        </row>
        <row r="658">
          <cell r="A658" t="str">
            <v>051GPW　71526</v>
          </cell>
          <cell r="C658">
            <v>714.8</v>
          </cell>
        </row>
        <row r="659">
          <cell r="A659" t="str">
            <v>051GPW　71528</v>
          </cell>
          <cell r="C659">
            <v>714.9</v>
          </cell>
        </row>
        <row r="660">
          <cell r="A660" t="str">
            <v>051GPW　71530</v>
          </cell>
          <cell r="C660">
            <v>715</v>
          </cell>
        </row>
        <row r="661">
          <cell r="A661" t="str">
            <v>051GPW　71532</v>
          </cell>
          <cell r="C661">
            <v>715.1</v>
          </cell>
        </row>
        <row r="662">
          <cell r="A662" t="str">
            <v>051GPW　71904</v>
          </cell>
          <cell r="C662">
            <v>717.6</v>
          </cell>
        </row>
        <row r="663">
          <cell r="A663" t="str">
            <v>051GPW　71906</v>
          </cell>
          <cell r="C663">
            <v>717.8</v>
          </cell>
        </row>
        <row r="664">
          <cell r="A664" t="str">
            <v>051GPW　71908</v>
          </cell>
          <cell r="C664">
            <v>717.9</v>
          </cell>
        </row>
        <row r="665">
          <cell r="A665" t="str">
            <v>051GPW　71910</v>
          </cell>
          <cell r="C665">
            <v>718</v>
          </cell>
        </row>
        <row r="666">
          <cell r="A666" t="str">
            <v>051GPW　71912</v>
          </cell>
          <cell r="C666">
            <v>718.1</v>
          </cell>
        </row>
        <row r="667">
          <cell r="A667" t="str">
            <v>051GPW　71914</v>
          </cell>
          <cell r="C667">
            <v>718.2</v>
          </cell>
        </row>
        <row r="668">
          <cell r="A668" t="str">
            <v>051GPW　71916</v>
          </cell>
          <cell r="C668">
            <v>718.3</v>
          </cell>
        </row>
        <row r="669">
          <cell r="A669" t="str">
            <v>051GPW　71918</v>
          </cell>
          <cell r="C669">
            <v>718.4</v>
          </cell>
        </row>
        <row r="670">
          <cell r="A670" t="str">
            <v>051GPW　71920</v>
          </cell>
          <cell r="C670">
            <v>718.5</v>
          </cell>
        </row>
        <row r="671">
          <cell r="A671" t="str">
            <v>051GPW　71922</v>
          </cell>
          <cell r="C671">
            <v>718.6</v>
          </cell>
        </row>
        <row r="672">
          <cell r="A672" t="str">
            <v>051GPW　71924</v>
          </cell>
          <cell r="C672">
            <v>718.7</v>
          </cell>
        </row>
        <row r="673">
          <cell r="A673" t="str">
            <v>051GPW　71926</v>
          </cell>
          <cell r="C673">
            <v>718.8</v>
          </cell>
        </row>
        <row r="674">
          <cell r="A674" t="str">
            <v>051GPW　71928</v>
          </cell>
          <cell r="C674">
            <v>718.9</v>
          </cell>
        </row>
        <row r="675">
          <cell r="A675" t="str">
            <v>051GPW　71930</v>
          </cell>
          <cell r="C675">
            <v>719</v>
          </cell>
        </row>
        <row r="676">
          <cell r="A676" t="str">
            <v>051GPW　71932</v>
          </cell>
          <cell r="C676">
            <v>719.1</v>
          </cell>
        </row>
        <row r="677">
          <cell r="A677" t="str">
            <v>051GPW　86804</v>
          </cell>
          <cell r="C677">
            <v>866.5</v>
          </cell>
        </row>
        <row r="678">
          <cell r="A678" t="str">
            <v>051GPW　86806</v>
          </cell>
          <cell r="C678">
            <v>866.6</v>
          </cell>
        </row>
        <row r="679">
          <cell r="A679" t="str">
            <v>051GPW　86808</v>
          </cell>
          <cell r="C679">
            <v>866.7</v>
          </cell>
        </row>
        <row r="680">
          <cell r="A680" t="str">
            <v>051GPW　86810</v>
          </cell>
          <cell r="C680">
            <v>866.9</v>
          </cell>
        </row>
        <row r="681">
          <cell r="A681" t="str">
            <v>051GPW　86812</v>
          </cell>
          <cell r="C681">
            <v>867</v>
          </cell>
        </row>
        <row r="682">
          <cell r="A682" t="str">
            <v>051GPW　86814</v>
          </cell>
          <cell r="C682">
            <v>867.1</v>
          </cell>
        </row>
        <row r="683">
          <cell r="A683" t="str">
            <v>051GPW　86816</v>
          </cell>
          <cell r="C683">
            <v>867.2</v>
          </cell>
        </row>
        <row r="684">
          <cell r="A684" t="str">
            <v>051GPW　86818</v>
          </cell>
          <cell r="C684">
            <v>867.4</v>
          </cell>
        </row>
        <row r="685">
          <cell r="A685" t="str">
            <v>051GPW　86820</v>
          </cell>
          <cell r="C685">
            <v>867.5</v>
          </cell>
        </row>
        <row r="686">
          <cell r="A686" t="str">
            <v>051GPW　86822</v>
          </cell>
          <cell r="C686">
            <v>867.6</v>
          </cell>
        </row>
        <row r="687">
          <cell r="A687" t="str">
            <v>051GPW　86824</v>
          </cell>
          <cell r="C687">
            <v>867.8</v>
          </cell>
        </row>
        <row r="688">
          <cell r="A688" t="str">
            <v>051GPW　86826</v>
          </cell>
          <cell r="C688">
            <v>867.9</v>
          </cell>
        </row>
        <row r="689">
          <cell r="A689" t="str">
            <v>051GPW　86828</v>
          </cell>
          <cell r="C689">
            <v>868</v>
          </cell>
        </row>
        <row r="690">
          <cell r="A690" t="str">
            <v>051GPW　86830</v>
          </cell>
          <cell r="C690">
            <v>868.1</v>
          </cell>
        </row>
        <row r="691">
          <cell r="A691" t="str">
            <v>051GPW　86832</v>
          </cell>
          <cell r="C691">
            <v>868.3</v>
          </cell>
        </row>
        <row r="692">
          <cell r="A692" t="str">
            <v>051GPW　101404</v>
          </cell>
          <cell r="C692">
            <v>1012.3</v>
          </cell>
        </row>
        <row r="693">
          <cell r="A693" t="str">
            <v>051GPW　101406</v>
          </cell>
          <cell r="C693">
            <v>1012.5</v>
          </cell>
        </row>
        <row r="694">
          <cell r="A694" t="str">
            <v>051GPW　101408</v>
          </cell>
          <cell r="C694">
            <v>1012.6</v>
          </cell>
        </row>
        <row r="695">
          <cell r="A695" t="str">
            <v>051GPW　101410</v>
          </cell>
          <cell r="C695">
            <v>1012.8</v>
          </cell>
        </row>
        <row r="696">
          <cell r="A696" t="str">
            <v>051GPW　101412</v>
          </cell>
          <cell r="C696">
            <v>1012.9</v>
          </cell>
        </row>
        <row r="697">
          <cell r="A697" t="str">
            <v>051GPW　101414</v>
          </cell>
          <cell r="C697">
            <v>1013.1</v>
          </cell>
        </row>
        <row r="698">
          <cell r="A698" t="str">
            <v>051GPW　101416</v>
          </cell>
          <cell r="C698">
            <v>1013.2</v>
          </cell>
        </row>
        <row r="699">
          <cell r="A699" t="str">
            <v>051GPW　101418</v>
          </cell>
          <cell r="C699">
            <v>1013.4</v>
          </cell>
        </row>
        <row r="700">
          <cell r="A700" t="str">
            <v>051GPW　101420</v>
          </cell>
          <cell r="C700">
            <v>1013.5</v>
          </cell>
        </row>
        <row r="701">
          <cell r="A701" t="str">
            <v>051GPW　101422</v>
          </cell>
          <cell r="C701">
            <v>1013.6</v>
          </cell>
        </row>
        <row r="702">
          <cell r="A702" t="str">
            <v>051GPW　101424</v>
          </cell>
          <cell r="C702">
            <v>1013.8</v>
          </cell>
        </row>
        <row r="703">
          <cell r="A703" t="str">
            <v>051GPW　101426</v>
          </cell>
          <cell r="C703">
            <v>1014</v>
          </cell>
        </row>
        <row r="704">
          <cell r="A704" t="str">
            <v>051GPW　101428</v>
          </cell>
          <cell r="C704">
            <v>1014.1</v>
          </cell>
        </row>
        <row r="705">
          <cell r="A705" t="str">
            <v>051GPW　101430</v>
          </cell>
          <cell r="C705">
            <v>1014.3</v>
          </cell>
        </row>
        <row r="706">
          <cell r="A706" t="str">
            <v>051GPW　101432</v>
          </cell>
          <cell r="C706">
            <v>1014.4</v>
          </cell>
        </row>
        <row r="707">
          <cell r="A707" t="str">
            <v>051GPW　101804</v>
          </cell>
          <cell r="C707">
            <v>1016.3</v>
          </cell>
        </row>
        <row r="708">
          <cell r="A708" t="str">
            <v>051GPW　101806</v>
          </cell>
          <cell r="C708">
            <v>1016.4</v>
          </cell>
        </row>
        <row r="709">
          <cell r="A709" t="str">
            <v>051GPW　101808</v>
          </cell>
          <cell r="C709">
            <v>1016.6</v>
          </cell>
        </row>
        <row r="710">
          <cell r="A710" t="str">
            <v>051GPW　101810</v>
          </cell>
          <cell r="C710">
            <v>1016.7</v>
          </cell>
        </row>
        <row r="711">
          <cell r="A711" t="str">
            <v>051GPW　101812</v>
          </cell>
          <cell r="C711">
            <v>1016.9</v>
          </cell>
        </row>
        <row r="712">
          <cell r="A712" t="str">
            <v>051GPW　101814</v>
          </cell>
          <cell r="C712">
            <v>1017</v>
          </cell>
        </row>
        <row r="713">
          <cell r="A713" t="str">
            <v>051GPW　101816</v>
          </cell>
          <cell r="C713">
            <v>1017.2</v>
          </cell>
        </row>
        <row r="714">
          <cell r="A714" t="str">
            <v>051GPW　101818</v>
          </cell>
          <cell r="C714">
            <v>1017.3</v>
          </cell>
        </row>
        <row r="715">
          <cell r="A715" t="str">
            <v>051GPW　101820</v>
          </cell>
          <cell r="C715">
            <v>1017.5</v>
          </cell>
        </row>
        <row r="716">
          <cell r="A716" t="str">
            <v>051GPW　101822</v>
          </cell>
          <cell r="C716">
            <v>1017.7</v>
          </cell>
        </row>
        <row r="717">
          <cell r="A717" t="str">
            <v>051GPW　101824</v>
          </cell>
          <cell r="C717">
            <v>1017.8</v>
          </cell>
        </row>
        <row r="718">
          <cell r="A718" t="str">
            <v>051GPW　101826</v>
          </cell>
          <cell r="C718">
            <v>1018</v>
          </cell>
        </row>
        <row r="719">
          <cell r="A719" t="str">
            <v>051GPW　101828</v>
          </cell>
          <cell r="C719">
            <v>1018.1</v>
          </cell>
        </row>
        <row r="720">
          <cell r="A720" t="str">
            <v>051GPW　101830</v>
          </cell>
          <cell r="C720">
            <v>1018.3</v>
          </cell>
        </row>
        <row r="721">
          <cell r="A721" t="str">
            <v>051GPW　101832</v>
          </cell>
          <cell r="C721">
            <v>1018.4</v>
          </cell>
        </row>
        <row r="722">
          <cell r="A722" t="str">
            <v>051GPW　116404</v>
          </cell>
          <cell r="C722">
            <v>1162.0999999999999</v>
          </cell>
        </row>
        <row r="723">
          <cell r="A723" t="str">
            <v>051GPW　116406</v>
          </cell>
          <cell r="C723">
            <v>1162.3</v>
          </cell>
        </row>
        <row r="724">
          <cell r="A724" t="str">
            <v>051GPW　116408</v>
          </cell>
          <cell r="C724">
            <v>1162.5</v>
          </cell>
        </row>
        <row r="725">
          <cell r="A725" t="str">
            <v>051GPW　116410</v>
          </cell>
          <cell r="C725">
            <v>1162.5999999999999</v>
          </cell>
        </row>
        <row r="726">
          <cell r="A726" t="str">
            <v>051GPW　116412</v>
          </cell>
          <cell r="C726">
            <v>1162.8</v>
          </cell>
        </row>
        <row r="727">
          <cell r="A727" t="str">
            <v>051GPW　116414</v>
          </cell>
          <cell r="C727">
            <v>1163</v>
          </cell>
        </row>
        <row r="728">
          <cell r="A728" t="str">
            <v>051GPW　116416</v>
          </cell>
          <cell r="C728">
            <v>1163.2</v>
          </cell>
        </row>
        <row r="729">
          <cell r="A729" t="str">
            <v>051GPW　116418</v>
          </cell>
          <cell r="C729">
            <v>1163.3</v>
          </cell>
        </row>
        <row r="730">
          <cell r="A730" t="str">
            <v>051GPW　116420</v>
          </cell>
          <cell r="C730">
            <v>1163.5</v>
          </cell>
        </row>
        <row r="731">
          <cell r="A731" t="str">
            <v>051GPW　116422</v>
          </cell>
          <cell r="C731">
            <v>1163.7</v>
          </cell>
        </row>
        <row r="732">
          <cell r="A732" t="str">
            <v>051GPW　116424</v>
          </cell>
          <cell r="C732">
            <v>1163.8</v>
          </cell>
        </row>
        <row r="733">
          <cell r="A733" t="str">
            <v>051GPW　116426</v>
          </cell>
          <cell r="C733">
            <v>1164</v>
          </cell>
        </row>
        <row r="734">
          <cell r="A734" t="str">
            <v>051GPW　116428</v>
          </cell>
          <cell r="C734">
            <v>1164.2</v>
          </cell>
        </row>
        <row r="735">
          <cell r="A735" t="str">
            <v>051GPW　116430</v>
          </cell>
          <cell r="C735">
            <v>1164.4000000000001</v>
          </cell>
        </row>
        <row r="736">
          <cell r="A736" t="str">
            <v>051GPW　116432</v>
          </cell>
          <cell r="C736">
            <v>1164.5</v>
          </cell>
        </row>
        <row r="737">
          <cell r="A737" t="str">
            <v>QDNT-284A LT2　L=274004</v>
          </cell>
          <cell r="C737">
            <v>2736.4</v>
          </cell>
        </row>
        <row r="738">
          <cell r="A738" t="str">
            <v>QDNT-284A LT2　L=274006</v>
          </cell>
          <cell r="C738">
            <v>2736.7</v>
          </cell>
        </row>
        <row r="739">
          <cell r="A739" t="str">
            <v>QDNT-284A LT2　L=274008</v>
          </cell>
          <cell r="C739">
            <v>2737.1</v>
          </cell>
        </row>
        <row r="740">
          <cell r="A740" t="str">
            <v>QDNT-284A LT2　L=274010</v>
          </cell>
          <cell r="C740">
            <v>2737.4</v>
          </cell>
        </row>
        <row r="741">
          <cell r="A741" t="str">
            <v>QDNT-284A LT2　L=274012</v>
          </cell>
          <cell r="C741">
            <v>2737.7</v>
          </cell>
        </row>
        <row r="742">
          <cell r="A742" t="str">
            <v>QDNT-284A LT2　L=274014</v>
          </cell>
          <cell r="C742">
            <v>2738</v>
          </cell>
        </row>
        <row r="743">
          <cell r="A743" t="str">
            <v>QDNT-284A LT2　L=274016</v>
          </cell>
          <cell r="C743">
            <v>2738.4</v>
          </cell>
        </row>
        <row r="744">
          <cell r="A744" t="str">
            <v>QDNT-284A LT2　L=274018</v>
          </cell>
          <cell r="C744">
            <v>2738.7</v>
          </cell>
        </row>
        <row r="745">
          <cell r="A745" t="str">
            <v>QDNT-284A LT2　L=274020</v>
          </cell>
          <cell r="C745">
            <v>2739</v>
          </cell>
        </row>
        <row r="746">
          <cell r="A746" t="str">
            <v>QDNT-284A LT2　L=274022</v>
          </cell>
          <cell r="C746">
            <v>2739.3</v>
          </cell>
        </row>
        <row r="747">
          <cell r="A747" t="str">
            <v>QDNT-284A LT2　L=274024</v>
          </cell>
          <cell r="C747">
            <v>2739.6</v>
          </cell>
        </row>
        <row r="748">
          <cell r="A748" t="str">
            <v>QDNT-284A LT2　L=274026</v>
          </cell>
          <cell r="C748">
            <v>2740</v>
          </cell>
        </row>
        <row r="749">
          <cell r="A749" t="str">
            <v>QDNT-284A LT2　L=274028</v>
          </cell>
          <cell r="C749">
            <v>2740.3</v>
          </cell>
        </row>
        <row r="750">
          <cell r="A750" t="str">
            <v>QDNT-284A LT2　L=274030</v>
          </cell>
          <cell r="C750">
            <v>2740.6</v>
          </cell>
        </row>
        <row r="751">
          <cell r="A751" t="str">
            <v>QDNT-284A LT2　L=274032</v>
          </cell>
          <cell r="C751">
            <v>2740.9</v>
          </cell>
        </row>
        <row r="752">
          <cell r="A752" t="str">
            <v>黒板灯ﾌﾟﾘｽﾞﾑｶﾊﾞｰ　L=121004</v>
          </cell>
          <cell r="C752">
            <v>1208.74</v>
          </cell>
        </row>
        <row r="753">
          <cell r="A753" t="str">
            <v>黒板灯ﾌﾟﾘｽﾞﾑｶﾊﾞｰ　L=121006</v>
          </cell>
          <cell r="C753">
            <v>1208.9000000000001</v>
          </cell>
        </row>
        <row r="754">
          <cell r="A754" t="str">
            <v>黒板灯ﾌﾟﾘｽﾞﾑｶﾊﾞｰ　L=121008</v>
          </cell>
          <cell r="C754">
            <v>1209.06</v>
          </cell>
        </row>
        <row r="755">
          <cell r="A755" t="str">
            <v>黒板灯ﾌﾟﾘｽﾞﾑｶﾊﾞｰ　L=121010</v>
          </cell>
          <cell r="C755">
            <v>1209.21</v>
          </cell>
        </row>
        <row r="756">
          <cell r="A756" t="str">
            <v>黒板灯ﾌﾟﾘｽﾞﾑｶﾊﾞｰ　L=121012</v>
          </cell>
          <cell r="C756">
            <v>1209.3699999999999</v>
          </cell>
        </row>
        <row r="757">
          <cell r="A757" t="str">
            <v>黒板灯ﾌﾟﾘｽﾞﾑｶﾊﾞｰ　L=121014</v>
          </cell>
          <cell r="C757">
            <v>1209.53</v>
          </cell>
        </row>
        <row r="758">
          <cell r="A758" t="str">
            <v>黒板灯ﾌﾟﾘｽﾞﾑｶﾊﾞｰ　L=121016</v>
          </cell>
          <cell r="C758">
            <v>1209.69</v>
          </cell>
        </row>
        <row r="759">
          <cell r="A759" t="str">
            <v>黒板灯ﾌﾟﾘｽﾞﾑｶﾊﾞｰ　L=121018</v>
          </cell>
          <cell r="C759">
            <v>1209.8900000000001</v>
          </cell>
        </row>
        <row r="760">
          <cell r="A760" t="str">
            <v>黒板灯ﾌﾟﾘｽﾞﾑｶﾊﾞｰ　L=121020</v>
          </cell>
          <cell r="C760">
            <v>1210</v>
          </cell>
        </row>
        <row r="761">
          <cell r="A761" t="str">
            <v>黒板灯ﾌﾟﾘｽﾞﾑｶﾊﾞｰ　L=121022</v>
          </cell>
          <cell r="C761">
            <v>1210.1600000000001</v>
          </cell>
        </row>
        <row r="762">
          <cell r="A762" t="str">
            <v>黒板灯ﾌﾟﾘｽﾞﾑｶﾊﾞｰ　L=121024</v>
          </cell>
          <cell r="C762">
            <v>1210.31</v>
          </cell>
        </row>
        <row r="763">
          <cell r="A763" t="str">
            <v>黒板灯ﾌﾟﾘｽﾞﾑｶﾊﾞｰ　L=121026</v>
          </cell>
          <cell r="C763">
            <v>1210.47</v>
          </cell>
        </row>
        <row r="764">
          <cell r="A764" t="str">
            <v>黒板灯ﾌﾟﾘｽﾞﾑｶﾊﾞｰ　L=121028</v>
          </cell>
          <cell r="C764">
            <v>1210.6300000000001</v>
          </cell>
        </row>
        <row r="765">
          <cell r="A765" t="str">
            <v>黒板灯ﾌﾟﾘｽﾞﾑｶﾊﾞｰ　L=121030</v>
          </cell>
          <cell r="C765">
            <v>1210.79</v>
          </cell>
        </row>
        <row r="766">
          <cell r="A766" t="str">
            <v>黒板灯ﾌﾟﾘｽﾞﾑｶﾊﾞｰ　L=121032</v>
          </cell>
          <cell r="C766">
            <v>1210.94</v>
          </cell>
        </row>
        <row r="767">
          <cell r="A767" t="str">
            <v>黒板灯ﾌﾟﾘｽﾞﾑｶﾊﾞｰ　L=121034</v>
          </cell>
          <cell r="C767">
            <v>1211.0999999999999</v>
          </cell>
        </row>
        <row r="768">
          <cell r="A768" t="str">
            <v>ｺﾝﾌｫｰﾄ用ﾌﾟﾘｽﾞﾑｶﾊﾞｰL121004</v>
          </cell>
          <cell r="C768">
            <v>1208.74</v>
          </cell>
        </row>
        <row r="769">
          <cell r="A769" t="str">
            <v>ｺﾝﾌｫｰﾄ用ﾌﾟﾘｽﾞﾑｶﾊﾞｰL121006</v>
          </cell>
          <cell r="C769">
            <v>1208.9000000000001</v>
          </cell>
        </row>
        <row r="770">
          <cell r="A770" t="str">
            <v>ｺﾝﾌｫｰﾄ用ﾌﾟﾘｽﾞﾑｶﾊﾞｰL121008</v>
          </cell>
          <cell r="C770">
            <v>1209.06</v>
          </cell>
        </row>
        <row r="771">
          <cell r="A771" t="str">
            <v>ｺﾝﾌｫｰﾄ用ﾌﾟﾘｽﾞﾑｶﾊﾞｰL121010</v>
          </cell>
          <cell r="C771">
            <v>1209.21</v>
          </cell>
        </row>
        <row r="772">
          <cell r="A772" t="str">
            <v>ｺﾝﾌｫｰﾄ用ﾌﾟﾘｽﾞﾑｶﾊﾞｰL121012</v>
          </cell>
          <cell r="C772">
            <v>1209.3699999999999</v>
          </cell>
        </row>
        <row r="773">
          <cell r="A773" t="str">
            <v>ｺﾝﾌｫｰﾄ用ﾌﾟﾘｽﾞﾑｶﾊﾞｰL121014</v>
          </cell>
          <cell r="C773">
            <v>1209.53</v>
          </cell>
        </row>
        <row r="774">
          <cell r="A774" t="str">
            <v>ｺﾝﾌｫｰﾄ用ﾌﾟﾘｽﾞﾑｶﾊﾞｰL121016</v>
          </cell>
          <cell r="C774">
            <v>1209.69</v>
          </cell>
        </row>
        <row r="775">
          <cell r="A775" t="str">
            <v>ｺﾝﾌｫｰﾄ用ﾌﾟﾘｽﾞﾑｶﾊﾞｰL121018</v>
          </cell>
          <cell r="C775">
            <v>1209.8900000000001</v>
          </cell>
        </row>
        <row r="776">
          <cell r="A776" t="str">
            <v>ｺﾝﾌｫｰﾄ用ﾌﾟﾘｽﾞﾑｶﾊﾞｰL121020</v>
          </cell>
          <cell r="C776">
            <v>1210</v>
          </cell>
        </row>
        <row r="777">
          <cell r="A777" t="str">
            <v>ｺﾝﾌｫｰﾄ用ﾌﾟﾘｽﾞﾑｶﾊﾞｰL121022</v>
          </cell>
          <cell r="C777">
            <v>1210.1600000000001</v>
          </cell>
        </row>
        <row r="778">
          <cell r="A778" t="str">
            <v>ｺﾝﾌｫｰﾄ用ﾌﾟﾘｽﾞﾑｶﾊﾞｰL121024</v>
          </cell>
          <cell r="C778">
            <v>1210.31</v>
          </cell>
        </row>
        <row r="779">
          <cell r="A779" t="str">
            <v>ｺﾝﾌｫｰﾄ用ﾌﾟﾘｽﾞﾑｶﾊﾞｰL121026</v>
          </cell>
          <cell r="C779">
            <v>1210.47</v>
          </cell>
        </row>
        <row r="780">
          <cell r="A780" t="str">
            <v>ｺﾝﾌｫｰﾄ用ﾌﾟﾘｽﾞﾑｶﾊﾞｰL121028</v>
          </cell>
          <cell r="C780">
            <v>1210.6300000000001</v>
          </cell>
        </row>
        <row r="781">
          <cell r="A781" t="str">
            <v>ｺﾝﾌｫｰﾄ用ﾌﾟﾘｽﾞﾑｶﾊﾞｰL121030</v>
          </cell>
          <cell r="C781">
            <v>1210.79</v>
          </cell>
        </row>
        <row r="782">
          <cell r="A782" t="str">
            <v>ｺﾝﾌｫｰﾄ用ﾌﾟﾘｽﾞﾑｶﾊﾞｰL121032</v>
          </cell>
          <cell r="C782">
            <v>1210.94</v>
          </cell>
        </row>
        <row r="783">
          <cell r="A783" t="str">
            <v>ｺﾝﾌｫｰﾄ用ﾌﾟﾘｽﾞﾑｶﾊﾞｰL121034</v>
          </cell>
          <cell r="C783">
            <v>1211.0999999999999</v>
          </cell>
        </row>
        <row r="784">
          <cell r="A784" t="str">
            <v>PK-59827 L=5005</v>
          </cell>
          <cell r="C784">
            <v>499.37</v>
          </cell>
        </row>
        <row r="785">
          <cell r="A785" t="str">
            <v>PK-59827 L=5007</v>
          </cell>
          <cell r="C785">
            <v>499.44</v>
          </cell>
        </row>
        <row r="786">
          <cell r="A786" t="str">
            <v>PK-59827 L=5009</v>
          </cell>
          <cell r="C786">
            <v>499.51</v>
          </cell>
        </row>
        <row r="787">
          <cell r="A787" t="str">
            <v>PK-59827 L=50011</v>
          </cell>
          <cell r="C787">
            <v>499.58</v>
          </cell>
        </row>
        <row r="788">
          <cell r="A788" t="str">
            <v>PK-59827 L=50013</v>
          </cell>
          <cell r="C788">
            <v>499.65</v>
          </cell>
        </row>
        <row r="789">
          <cell r="A789" t="str">
            <v>PK-59827 L=50015</v>
          </cell>
          <cell r="C789">
            <v>499.72</v>
          </cell>
        </row>
        <row r="790">
          <cell r="A790" t="str">
            <v>PK-59827 L=50017</v>
          </cell>
          <cell r="C790">
            <v>499.79</v>
          </cell>
        </row>
        <row r="791">
          <cell r="A791" t="str">
            <v>PK-59827 L=50019</v>
          </cell>
          <cell r="C791">
            <v>499.86</v>
          </cell>
        </row>
        <row r="792">
          <cell r="A792" t="str">
            <v>PK-59827 L=50021</v>
          </cell>
          <cell r="C792">
            <v>499.93</v>
          </cell>
        </row>
        <row r="793">
          <cell r="A793" t="str">
            <v>PK-59827 L=50023</v>
          </cell>
          <cell r="C793">
            <v>500</v>
          </cell>
        </row>
        <row r="794">
          <cell r="A794" t="str">
            <v>PK-59827 L=50025</v>
          </cell>
          <cell r="C794">
            <v>500.07</v>
          </cell>
        </row>
        <row r="795">
          <cell r="A795" t="str">
            <v>PK-59827 L=50027</v>
          </cell>
          <cell r="C795">
            <v>500.14</v>
          </cell>
        </row>
        <row r="796">
          <cell r="A796" t="str">
            <v>PK-59827 L=50029</v>
          </cell>
          <cell r="C796">
            <v>500.21</v>
          </cell>
        </row>
        <row r="797">
          <cell r="A797" t="str">
            <v>PK-59827 L=50031</v>
          </cell>
          <cell r="C797">
            <v>500.28</v>
          </cell>
        </row>
        <row r="798">
          <cell r="A798" t="str">
            <v>PK-59827 L=50033</v>
          </cell>
          <cell r="C798">
            <v>500.35</v>
          </cell>
        </row>
        <row r="799">
          <cell r="A799" t="str">
            <v>PK-59827 L=50035</v>
          </cell>
          <cell r="C799">
            <v>500.42</v>
          </cell>
        </row>
        <row r="800">
          <cell r="A800" t="str">
            <v>PK-59827 L=50037</v>
          </cell>
          <cell r="C800">
            <v>500.42</v>
          </cell>
        </row>
        <row r="801">
          <cell r="A801" t="str">
            <v>PK-59827 L=7005</v>
          </cell>
          <cell r="C801">
            <v>699.12</v>
          </cell>
        </row>
        <row r="802">
          <cell r="A802" t="str">
            <v>PK-59827 L=7007</v>
          </cell>
          <cell r="C802">
            <v>699.22</v>
          </cell>
        </row>
        <row r="803">
          <cell r="A803" t="str">
            <v>PK-59827 L=7009</v>
          </cell>
          <cell r="C803">
            <v>699.31</v>
          </cell>
        </row>
        <row r="804">
          <cell r="A804" t="str">
            <v>PK-59827 L=70011</v>
          </cell>
          <cell r="C804">
            <v>699.41</v>
          </cell>
        </row>
        <row r="805">
          <cell r="A805" t="str">
            <v>PK-59827 L=70013</v>
          </cell>
          <cell r="C805">
            <v>699.51</v>
          </cell>
        </row>
        <row r="806">
          <cell r="A806" t="str">
            <v>PK-59827 L=70015</v>
          </cell>
          <cell r="C806">
            <v>699.61</v>
          </cell>
        </row>
        <row r="807">
          <cell r="A807" t="str">
            <v>PK-59827 L=70017</v>
          </cell>
          <cell r="C807">
            <v>699.71</v>
          </cell>
        </row>
        <row r="808">
          <cell r="A808" t="str">
            <v>PK-59827 L=70019</v>
          </cell>
          <cell r="C808">
            <v>699.8</v>
          </cell>
        </row>
        <row r="809">
          <cell r="A809" t="str">
            <v>PK-59827 L=70021</v>
          </cell>
          <cell r="C809">
            <v>699.9</v>
          </cell>
        </row>
        <row r="810">
          <cell r="A810" t="str">
            <v>PK-59827 L=70023</v>
          </cell>
          <cell r="C810">
            <v>700</v>
          </cell>
        </row>
        <row r="811">
          <cell r="A811" t="str">
            <v>PK-59827 L=70025</v>
          </cell>
          <cell r="C811">
            <v>700.1</v>
          </cell>
        </row>
        <row r="812">
          <cell r="A812" t="str">
            <v>PK-59827 L=70027</v>
          </cell>
          <cell r="C812">
            <v>700.2</v>
          </cell>
        </row>
        <row r="813">
          <cell r="A813" t="str">
            <v>PK-59827 L=70029</v>
          </cell>
          <cell r="C813">
            <v>700.29</v>
          </cell>
        </row>
        <row r="814">
          <cell r="A814" t="str">
            <v>PK-59827 L=70031</v>
          </cell>
          <cell r="C814">
            <v>700.39</v>
          </cell>
        </row>
        <row r="815">
          <cell r="A815" t="str">
            <v>PK-59827 L=70033</v>
          </cell>
          <cell r="C815">
            <v>700.49</v>
          </cell>
        </row>
        <row r="816">
          <cell r="A816" t="str">
            <v>PK-59827 L=70035</v>
          </cell>
          <cell r="C816">
            <v>700.59</v>
          </cell>
        </row>
        <row r="817">
          <cell r="A817" t="str">
            <v>PK-59827 L=70037</v>
          </cell>
          <cell r="C817">
            <v>700.69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9"/>
  <sheetViews>
    <sheetView tabSelected="1" topLeftCell="A76" workbookViewId="0">
      <selection activeCell="B108" sqref="B108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2"/>
      <c r="B1" s="117" t="s">
        <v>0</v>
      </c>
      <c r="C1" s="85"/>
      <c r="D1" s="85"/>
      <c r="E1" s="12"/>
      <c r="F1" s="12"/>
      <c r="G1" s="12"/>
      <c r="H1" s="12"/>
      <c r="I1" s="12"/>
      <c r="J1" s="12"/>
    </row>
    <row r="2" spans="1:10" ht="14.25" customHeight="1" thickTop="1">
      <c r="A2" s="13"/>
      <c r="B2" s="85"/>
      <c r="C2" s="85"/>
      <c r="D2" s="85"/>
      <c r="E2" s="13"/>
      <c r="F2" s="13"/>
      <c r="G2" s="13"/>
      <c r="H2" s="13"/>
      <c r="I2" s="13"/>
      <c r="J2" s="13"/>
    </row>
    <row r="3" spans="1:10" ht="14.25" customHeight="1">
      <c r="A3" s="94" t="s">
        <v>1</v>
      </c>
      <c r="B3" s="94" t="s">
        <v>2</v>
      </c>
      <c r="C3" s="94" t="s">
        <v>3</v>
      </c>
      <c r="D3" s="121">
        <v>415</v>
      </c>
      <c r="E3" s="94" t="s">
        <v>4</v>
      </c>
      <c r="F3" s="111" t="s">
        <v>5</v>
      </c>
      <c r="G3" s="85"/>
      <c r="H3" s="110"/>
      <c r="I3" s="14" t="s">
        <v>6</v>
      </c>
      <c r="J3" s="14" t="s">
        <v>7</v>
      </c>
    </row>
    <row r="4" spans="1:10" ht="14.25" customHeight="1">
      <c r="A4" s="85"/>
      <c r="B4" s="85"/>
      <c r="C4" s="85"/>
      <c r="D4" s="85"/>
      <c r="E4" s="85"/>
      <c r="F4" s="85"/>
      <c r="G4" s="85"/>
      <c r="H4" s="110"/>
      <c r="I4" s="82"/>
      <c r="J4" s="82"/>
    </row>
    <row r="5" spans="1:10" ht="17.45" customHeight="1">
      <c r="A5" s="88" t="s">
        <v>8</v>
      </c>
      <c r="B5" s="88" t="s">
        <v>9</v>
      </c>
      <c r="E5" s="88" t="s">
        <v>10</v>
      </c>
      <c r="F5" s="109" t="s">
        <v>11</v>
      </c>
      <c r="G5" s="85"/>
      <c r="H5" s="110"/>
      <c r="I5" s="83"/>
      <c r="J5" s="83"/>
    </row>
    <row r="6" spans="1:10" ht="17.45" customHeight="1">
      <c r="A6" s="85"/>
      <c r="B6" s="85"/>
      <c r="E6" s="85"/>
      <c r="F6" s="85"/>
      <c r="G6" s="85"/>
      <c r="H6" s="110"/>
      <c r="I6" s="16"/>
      <c r="J6" s="16"/>
    </row>
    <row r="7" spans="1:10" ht="17.45" customHeight="1">
      <c r="A7" s="88" t="s">
        <v>12</v>
      </c>
      <c r="B7" s="88" t="s">
        <v>13</v>
      </c>
      <c r="E7" s="2" t="s">
        <v>14</v>
      </c>
      <c r="F7" s="113" t="s">
        <v>15</v>
      </c>
      <c r="G7" s="85"/>
      <c r="H7" s="23"/>
    </row>
    <row r="8" spans="1:10" ht="17.45" customHeight="1">
      <c r="A8" s="85"/>
      <c r="B8" s="85"/>
      <c r="E8" s="2" t="s">
        <v>16</v>
      </c>
      <c r="F8" s="23" t="s">
        <v>17</v>
      </c>
      <c r="G8" s="23"/>
      <c r="H8" s="23"/>
    </row>
    <row r="9" spans="1:10" ht="17.45" customHeight="1">
      <c r="A9" s="2" t="s">
        <v>18</v>
      </c>
      <c r="B9" s="4">
        <v>45818</v>
      </c>
      <c r="E9" s="2" t="s">
        <v>19</v>
      </c>
      <c r="F9" s="90">
        <v>200</v>
      </c>
      <c r="G9" s="85"/>
      <c r="H9" s="23"/>
    </row>
    <row r="10" spans="1:10" ht="17.45" customHeight="1">
      <c r="A10" s="2" t="s">
        <v>20</v>
      </c>
      <c r="B10" s="4">
        <v>45818</v>
      </c>
      <c r="E10" s="2" t="s">
        <v>21</v>
      </c>
      <c r="F10" s="23">
        <v>7.5</v>
      </c>
      <c r="G10" s="112" t="s">
        <v>22</v>
      </c>
      <c r="H10" s="99">
        <v>1500</v>
      </c>
      <c r="I10" s="100"/>
      <c r="J10" s="101"/>
    </row>
    <row r="11" spans="1:10" ht="17.45" customHeight="1">
      <c r="A11" s="21"/>
      <c r="B11" s="22"/>
      <c r="C11" s="22"/>
      <c r="D11" s="22"/>
      <c r="E11" s="2" t="s">
        <v>23</v>
      </c>
      <c r="F11" s="23" t="s">
        <v>24</v>
      </c>
      <c r="G11" s="102"/>
      <c r="H11" s="102"/>
      <c r="I11" s="103"/>
      <c r="J11" s="104"/>
    </row>
    <row r="12" spans="1:10" ht="13.5" customHeight="1">
      <c r="A12" s="105" t="s">
        <v>25</v>
      </c>
      <c r="B12" s="85"/>
      <c r="C12" s="85"/>
      <c r="D12" s="22"/>
      <c r="F12" s="3"/>
      <c r="G12" s="95" t="s">
        <v>26</v>
      </c>
      <c r="H12" s="114" t="s">
        <v>27</v>
      </c>
      <c r="I12" s="122" t="s">
        <v>28</v>
      </c>
      <c r="J12" s="110"/>
    </row>
    <row r="13" spans="1:10" ht="13.5" customHeight="1">
      <c r="A13" s="85"/>
      <c r="B13" s="85"/>
      <c r="C13" s="85"/>
      <c r="D13" s="22"/>
      <c r="F13" s="3"/>
      <c r="G13" s="96"/>
      <c r="H13" s="96"/>
      <c r="I13" s="103"/>
      <c r="J13" s="104"/>
    </row>
    <row r="14" spans="1:10" ht="13.5" customHeight="1">
      <c r="A14" s="1" t="s">
        <v>29</v>
      </c>
    </row>
    <row r="15" spans="1:10" ht="63" customHeight="1" thickBot="1">
      <c r="A15" s="119"/>
      <c r="B15" s="120"/>
      <c r="C15" s="120"/>
      <c r="D15" s="120"/>
      <c r="E15" s="120"/>
      <c r="F15" s="120"/>
      <c r="G15" s="120"/>
      <c r="H15" s="120"/>
      <c r="I15" s="120"/>
      <c r="J15" s="120"/>
    </row>
    <row r="16" spans="1:10" ht="18.75">
      <c r="A16" s="25" t="s">
        <v>30</v>
      </c>
      <c r="B16" s="18" t="s">
        <v>31</v>
      </c>
      <c r="C16" s="106" t="s">
        <v>32</v>
      </c>
      <c r="D16" s="107"/>
      <c r="E16" s="18" t="s">
        <v>33</v>
      </c>
      <c r="F16" s="106" t="s">
        <v>34</v>
      </c>
      <c r="G16" s="107"/>
      <c r="H16" s="107"/>
      <c r="I16" s="118" t="s">
        <v>35</v>
      </c>
      <c r="J16" s="107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4">
        <v>1</v>
      </c>
      <c r="B18" s="27" t="s">
        <v>36</v>
      </c>
      <c r="C18" s="84" t="s">
        <v>37</v>
      </c>
      <c r="D18" s="91"/>
      <c r="E18" s="27" t="s">
        <v>38</v>
      </c>
      <c r="F18" s="84" t="s">
        <v>39</v>
      </c>
      <c r="G18" s="91"/>
      <c r="H18" s="91"/>
      <c r="I18" s="93"/>
      <c r="J18" s="91"/>
    </row>
    <row r="19" spans="1:10" s="7" customFormat="1" ht="16.5" customHeight="1">
      <c r="A19" s="24">
        <v>1</v>
      </c>
      <c r="B19" s="28" t="s">
        <v>36</v>
      </c>
      <c r="C19" s="84" t="s">
        <v>37</v>
      </c>
      <c r="D19" s="91"/>
      <c r="E19" s="27" t="s">
        <v>40</v>
      </c>
      <c r="F19" s="84" t="s">
        <v>41</v>
      </c>
      <c r="G19" s="91"/>
      <c r="H19" s="91"/>
      <c r="I19" s="93"/>
      <c r="J19" s="91"/>
    </row>
    <row r="20" spans="1:10" s="7" customFormat="1" ht="16.5" customHeight="1">
      <c r="A20" s="24"/>
      <c r="B20" s="28"/>
      <c r="C20" s="84"/>
      <c r="D20" s="91"/>
      <c r="E20" s="27"/>
      <c r="F20" s="84"/>
      <c r="G20" s="91"/>
      <c r="H20" s="91"/>
      <c r="I20" s="93"/>
      <c r="J20" s="91"/>
    </row>
    <row r="21" spans="1:10" s="7" customFormat="1" ht="16.5" customHeight="1">
      <c r="A21" s="24"/>
      <c r="B21" s="28"/>
      <c r="C21" s="84"/>
      <c r="D21" s="91"/>
      <c r="E21" s="27"/>
      <c r="F21" s="84"/>
      <c r="G21" s="91"/>
      <c r="H21" s="91"/>
      <c r="I21" s="93"/>
      <c r="J21" s="91"/>
    </row>
    <row r="22" spans="1:10" s="7" customFormat="1" ht="16.5" customHeight="1">
      <c r="A22" s="24"/>
      <c r="B22" s="28"/>
      <c r="C22" s="84"/>
      <c r="D22" s="91"/>
      <c r="E22" s="27"/>
      <c r="F22" s="84"/>
      <c r="G22" s="91"/>
      <c r="H22" s="91"/>
      <c r="I22" s="93"/>
      <c r="J22" s="91"/>
    </row>
    <row r="23" spans="1:10" s="7" customFormat="1" ht="16.5" customHeight="1">
      <c r="A23" s="24"/>
      <c r="B23" s="28"/>
      <c r="C23" s="84"/>
      <c r="D23" s="91"/>
      <c r="E23" s="27"/>
      <c r="F23" s="84"/>
      <c r="G23" s="91"/>
      <c r="H23" s="91"/>
      <c r="I23" s="93"/>
      <c r="J23" s="91"/>
    </row>
    <row r="24" spans="1:10" ht="16.5" customHeight="1" thickBot="1">
      <c r="A24" s="17"/>
      <c r="B24" s="17"/>
      <c r="C24" s="17"/>
      <c r="D24" s="17"/>
      <c r="E24" s="17"/>
      <c r="F24" s="17"/>
      <c r="G24" s="17"/>
      <c r="H24" s="17"/>
      <c r="I24" s="17"/>
      <c r="J24" s="17"/>
    </row>
    <row r="25" spans="1:10" ht="18.75">
      <c r="A25" s="86" t="s">
        <v>42</v>
      </c>
      <c r="B25" s="87"/>
      <c r="C25" s="86" t="s">
        <v>43</v>
      </c>
      <c r="D25" s="87"/>
      <c r="E25" s="87"/>
      <c r="F25" s="19" t="s">
        <v>44</v>
      </c>
      <c r="G25" s="86" t="s">
        <v>45</v>
      </c>
      <c r="H25" s="87"/>
      <c r="I25" s="86" t="s">
        <v>46</v>
      </c>
      <c r="J25" s="87"/>
    </row>
    <row r="26" spans="1:10" ht="14.25" customHeight="1">
      <c r="A26" s="8"/>
      <c r="B26" s="20"/>
      <c r="C26" s="108" t="s">
        <v>47</v>
      </c>
      <c r="D26" s="103"/>
      <c r="E26" s="20"/>
      <c r="F26" s="108" t="s">
        <v>29</v>
      </c>
      <c r="G26" s="103"/>
      <c r="H26" s="103"/>
      <c r="I26" s="103"/>
      <c r="J26" s="103"/>
    </row>
    <row r="27" spans="1:10">
      <c r="A27" s="9"/>
      <c r="C27" s="7"/>
      <c r="D27" s="7"/>
      <c r="E27" s="7"/>
    </row>
    <row r="28" spans="1:10" s="5" customFormat="1" ht="14.25" customHeight="1">
      <c r="A28" s="84" t="s">
        <v>48</v>
      </c>
      <c r="B28" s="98"/>
      <c r="C28" s="84" t="s">
        <v>49</v>
      </c>
      <c r="D28" s="98"/>
      <c r="E28" s="98"/>
      <c r="F28" s="29" t="s">
        <v>27</v>
      </c>
      <c r="G28" s="97">
        <v>499.5</v>
      </c>
      <c r="H28" s="98"/>
      <c r="I28" s="97">
        <v>2.4975000000000001</v>
      </c>
      <c r="J28" s="98"/>
    </row>
    <row r="29" spans="1:10" s="7" customFormat="1" ht="24.95" customHeight="1">
      <c r="A29" s="89" t="s">
        <v>50</v>
      </c>
      <c r="B29" s="91"/>
      <c r="C29" s="84" t="s">
        <v>11</v>
      </c>
      <c r="D29" s="91"/>
      <c r="E29" s="91"/>
      <c r="F29" s="84"/>
      <c r="G29" s="91"/>
      <c r="H29" s="91"/>
      <c r="I29" s="91"/>
      <c r="J29" s="91"/>
    </row>
    <row r="30" spans="1:10" s="5" customFormat="1" ht="14.25" customHeight="1">
      <c r="A30" s="92" t="s">
        <v>90</v>
      </c>
      <c r="B30" s="98"/>
      <c r="C30" s="84" t="s">
        <v>51</v>
      </c>
      <c r="D30" s="98"/>
      <c r="E30" s="98"/>
      <c r="F30" s="29" t="s">
        <v>27</v>
      </c>
      <c r="G30" s="97">
        <v>7.5</v>
      </c>
      <c r="H30" s="98"/>
      <c r="I30" s="97">
        <v>3.7499999999999999E-2</v>
      </c>
      <c r="J30" s="98"/>
    </row>
    <row r="31" spans="1:10" s="7" customFormat="1" ht="24.95" customHeight="1">
      <c r="A31" s="89" t="s">
        <v>52</v>
      </c>
      <c r="B31" s="91"/>
      <c r="C31" s="84"/>
      <c r="D31" s="91"/>
      <c r="E31" s="91"/>
      <c r="F31" s="84"/>
      <c r="G31" s="91"/>
      <c r="H31" s="91"/>
      <c r="I31" s="91"/>
      <c r="J31" s="91"/>
    </row>
    <row r="32" spans="1:10" s="5" customFormat="1" ht="14.25" customHeight="1">
      <c r="A32" s="84"/>
      <c r="B32" s="98"/>
      <c r="C32" s="84"/>
      <c r="D32" s="98"/>
      <c r="E32" s="98"/>
      <c r="F32" s="29"/>
      <c r="G32" s="97"/>
      <c r="H32" s="98"/>
      <c r="I32" s="97"/>
      <c r="J32" s="98"/>
    </row>
    <row r="33" spans="1:22" s="7" customFormat="1" ht="24.95" customHeight="1">
      <c r="A33" s="89"/>
      <c r="B33" s="91"/>
      <c r="C33" s="84"/>
      <c r="D33" s="91"/>
      <c r="E33" s="91"/>
      <c r="F33" s="84"/>
      <c r="G33" s="91"/>
      <c r="H33" s="91"/>
      <c r="I33" s="91"/>
      <c r="J33" s="91"/>
    </row>
    <row r="34" spans="1:22" s="5" customFormat="1" ht="14.25" customHeight="1">
      <c r="A34" s="84"/>
      <c r="B34" s="98"/>
      <c r="C34" s="84"/>
      <c r="D34" s="98"/>
      <c r="E34" s="98"/>
      <c r="F34" s="29"/>
      <c r="G34" s="97"/>
      <c r="H34" s="98"/>
      <c r="I34" s="97"/>
      <c r="J34" s="98"/>
    </row>
    <row r="35" spans="1:22" s="7" customFormat="1" ht="24.95" customHeight="1">
      <c r="A35" s="89"/>
      <c r="B35" s="91"/>
      <c r="C35" s="84"/>
      <c r="D35" s="91"/>
      <c r="E35" s="91"/>
      <c r="F35" s="84"/>
      <c r="G35" s="91"/>
      <c r="H35" s="91"/>
      <c r="I35" s="91"/>
      <c r="J35" s="91"/>
    </row>
    <row r="36" spans="1:22" s="5" customFormat="1" ht="14.25" customHeight="1">
      <c r="A36" s="84"/>
      <c r="B36" s="98"/>
      <c r="C36" s="84"/>
      <c r="D36" s="98"/>
      <c r="E36" s="98"/>
      <c r="F36" s="29"/>
      <c r="G36" s="97"/>
      <c r="H36" s="98"/>
      <c r="I36" s="97"/>
      <c r="J36" s="98"/>
    </row>
    <row r="37" spans="1:22" s="7" customFormat="1" ht="24.95" customHeight="1">
      <c r="A37" s="89"/>
      <c r="B37" s="91"/>
      <c r="C37" s="84"/>
      <c r="D37" s="91"/>
      <c r="E37" s="91"/>
      <c r="F37" s="84"/>
      <c r="G37" s="91"/>
      <c r="H37" s="91"/>
      <c r="I37" s="91"/>
      <c r="J37" s="91"/>
    </row>
    <row r="38" spans="1:22" s="5" customFormat="1" ht="18" customHeight="1">
      <c r="A38" s="136" t="s">
        <v>93</v>
      </c>
      <c r="B38" s="137"/>
      <c r="C38" s="137"/>
      <c r="D38" s="137"/>
      <c r="E38" s="30" t="s">
        <v>94</v>
      </c>
      <c r="F38" s="31"/>
      <c r="G38" s="115" t="s">
        <v>95</v>
      </c>
      <c r="H38" s="116"/>
      <c r="I38" s="32" t="s">
        <v>96</v>
      </c>
      <c r="J38" s="33" t="s">
        <v>97</v>
      </c>
    </row>
    <row r="39" spans="1:22" s="7" customFormat="1" ht="18" customHeight="1">
      <c r="A39" s="138" t="str">
        <f>F3</f>
        <v>001EGAW 415</v>
      </c>
      <c r="B39" s="139"/>
      <c r="C39" s="139"/>
      <c r="D39" s="139"/>
      <c r="E39" s="142" t="s">
        <v>132</v>
      </c>
      <c r="F39" s="143"/>
      <c r="G39" s="34" t="s">
        <v>98</v>
      </c>
      <c r="H39" s="35">
        <f>_xlfn.XLOOKUP($B5, [1]加工記録２!$CD:$CD,[1]加工記録２!AH:AH)</f>
        <v>0</v>
      </c>
      <c r="I39" s="144">
        <f>MAX(I51:I55)</f>
        <v>45813</v>
      </c>
      <c r="J39" s="133">
        <f>_xlfn.XLOOKUP($B5, [1]加工記録２!$CD:$CD,[1]加工記録２!AD:AD,,0)</f>
        <v>1500</v>
      </c>
    </row>
    <row r="40" spans="1:22" s="5" customFormat="1" ht="18" customHeight="1">
      <c r="A40" s="140"/>
      <c r="B40" s="141"/>
      <c r="C40" s="141"/>
      <c r="D40" s="141"/>
      <c r="E40" s="146" t="s">
        <v>99</v>
      </c>
      <c r="F40" s="146"/>
      <c r="G40" s="34" t="s">
        <v>100</v>
      </c>
      <c r="H40" s="35">
        <f>_xlfn.XLOOKUP($B5, [1]加工記録２!$CD:$CD,[1]加工記録２!AI:AI,,0)</f>
        <v>0</v>
      </c>
      <c r="I40" s="145"/>
      <c r="J40" s="133"/>
      <c r="K40" s="36"/>
    </row>
    <row r="41" spans="1:22" s="7" customFormat="1" ht="18" customHeight="1">
      <c r="A41" s="147" t="s">
        <v>101</v>
      </c>
      <c r="B41" s="123" t="str">
        <f>_xlfn.XLOOKUP(A12,[1]!テーブル5[品目コード],[1]!テーブル5[温度換算],,2)</f>
        <v>-</v>
      </c>
      <c r="C41" s="125" t="s">
        <v>102</v>
      </c>
      <c r="D41" s="127">
        <f>_xlfn.XLOOKUP(A12,[1]!テーブル5[品目コード],[1]!テーブル5[取数],,2)</f>
        <v>3</v>
      </c>
      <c r="E41" s="129" t="s">
        <v>103</v>
      </c>
      <c r="F41" s="129"/>
      <c r="G41" s="34" t="s">
        <v>104</v>
      </c>
      <c r="H41" s="35">
        <f>_xlfn.XLOOKUP($B5, [1]加工記録２!$CD:$CD,[1]加工記録２!AJ:AJ,,0)</f>
        <v>0</v>
      </c>
      <c r="I41" s="32" t="s">
        <v>105</v>
      </c>
      <c r="J41" s="32" t="s">
        <v>106</v>
      </c>
      <c r="K41" s="37"/>
    </row>
    <row r="42" spans="1:22" s="5" customFormat="1" ht="18" customHeight="1">
      <c r="A42" s="147"/>
      <c r="B42" s="124"/>
      <c r="C42" s="126"/>
      <c r="D42" s="128"/>
      <c r="E42" s="130">
        <f>_xlfn.XLOOKUP(A12,[1]!テーブル5[品目コード],[1]!テーブル5[備考１],,2)</f>
        <v>0</v>
      </c>
      <c r="F42" s="130"/>
      <c r="G42" s="34" t="s">
        <v>107</v>
      </c>
      <c r="H42" s="35">
        <f>_xlfn.XLOOKUP($B5, [1]加工記録２!$CD:$CD,[1]加工記録２!AK:AK,,0)</f>
        <v>0</v>
      </c>
      <c r="I42" s="131" t="str">
        <f>_xlfn.XLOOKUP($B5, [1]加工記録２!$CD:$CD,[1]加工記録２!CA:CA,,0)</f>
        <v>水野</v>
      </c>
      <c r="J42" s="131" t="str">
        <f>_xlfn.XLOOKUP($B5, [1]加工記録２!$CD:$CD,[1]加工記録２!CB:CB,,0)</f>
        <v>-</v>
      </c>
      <c r="K42" s="36"/>
    </row>
    <row r="43" spans="1:22" s="7" customFormat="1" ht="18" customHeight="1">
      <c r="A43" s="148" t="s">
        <v>108</v>
      </c>
      <c r="B43" s="149">
        <f>D3</f>
        <v>415</v>
      </c>
      <c r="C43" s="151" t="s">
        <v>109</v>
      </c>
      <c r="D43" s="153" t="str">
        <f>_xlfn.XLOOKUP(A12,[1]!テーブル5[品目コード],[1]!テーブル5[上限公差],,2)</f>
        <v>+0.5</v>
      </c>
      <c r="E43" s="130" t="str">
        <f>_xlfn.XLOOKUP(A12,[1]!テーブル5[品目コード],[1]!テーブル5[備考２],,2)</f>
        <v>※使用基材、取数は依頼書にて確認</v>
      </c>
      <c r="F43" s="130"/>
      <c r="G43" s="34" t="s">
        <v>110</v>
      </c>
      <c r="H43" s="35">
        <f>_xlfn.XLOOKUP($B5, [1]加工記録２!$CD:$CD,[1]加工記録２!AL:AL,,0)</f>
        <v>0</v>
      </c>
      <c r="I43" s="132"/>
      <c r="J43" s="132"/>
      <c r="K43" s="37"/>
    </row>
    <row r="44" spans="1:22" s="5" customFormat="1" ht="18" customHeight="1">
      <c r="A44" s="148"/>
      <c r="B44" s="150"/>
      <c r="C44" s="152"/>
      <c r="D44" s="154"/>
      <c r="E44" s="155" t="s">
        <v>111</v>
      </c>
      <c r="F44" s="155"/>
      <c r="G44" s="34" t="s">
        <v>112</v>
      </c>
      <c r="H44" s="35">
        <f>_xlfn.XLOOKUP($B5, [1]加工記録２!$CD:$CD,[1]加工記録２!AM:AM,,0)</f>
        <v>0</v>
      </c>
      <c r="I44" s="38" t="s">
        <v>113</v>
      </c>
      <c r="J44" s="38" t="s">
        <v>114</v>
      </c>
      <c r="K44" s="36"/>
    </row>
    <row r="45" spans="1:22" s="7" customFormat="1" ht="18" customHeight="1">
      <c r="A45" s="147" t="s">
        <v>115</v>
      </c>
      <c r="B45" s="157">
        <v>415</v>
      </c>
      <c r="C45" s="159" t="s">
        <v>116</v>
      </c>
      <c r="D45" s="153">
        <f>_xlfn.XLOOKUP(A12,[1]!テーブル5[品目コード],[1]!テーブル5[下限公差],,2)</f>
        <v>-0.5</v>
      </c>
      <c r="E45" s="162" t="str">
        <f>_xlfn.XLOOKUP(A12,[1]!テーブル5[品目コード],[1]!テーブル5[梱包方法],,2)</f>
        <v>ラベル２枚　長手有　鉢巻無</v>
      </c>
      <c r="F45" s="162"/>
      <c r="G45" s="34" t="s">
        <v>117</v>
      </c>
      <c r="H45" s="35">
        <f>_xlfn.XLOOKUP($B5, [1]加工記録２!$CD:$CD,[1]加工記録２!AN:AN,,0)</f>
        <v>2</v>
      </c>
      <c r="I45" s="133">
        <f>_xlfn.XLOOKUP($B5, [1]加工記録２!$CD:$CD,[1]加工記録２!AF:AF,,0)</f>
        <v>2</v>
      </c>
      <c r="J45" s="133">
        <f>_xlfn.XLOOKUP($B5, [1]加工記録２!$CD:$CD,[1]加工記録２!AE:AE,,0)</f>
        <v>1</v>
      </c>
      <c r="K45" s="37"/>
    </row>
    <row r="46" spans="1:22" s="5" customFormat="1" ht="18" customHeight="1" thickBot="1">
      <c r="A46" s="156"/>
      <c r="B46" s="158"/>
      <c r="C46" s="160"/>
      <c r="D46" s="161"/>
      <c r="E46" s="134"/>
      <c r="F46" s="134"/>
      <c r="G46" s="39" t="s">
        <v>118</v>
      </c>
      <c r="H46" s="40">
        <f>SUM(H39:H45)</f>
        <v>2</v>
      </c>
      <c r="I46" s="133"/>
      <c r="J46" s="133"/>
    </row>
    <row r="47" spans="1:22" s="49" customFormat="1" ht="18.95" customHeight="1">
      <c r="A47" s="41" t="s">
        <v>119</v>
      </c>
      <c r="B47" s="42" t="s">
        <v>120</v>
      </c>
      <c r="C47" s="43" t="s">
        <v>121</v>
      </c>
      <c r="D47" s="43" t="s">
        <v>122</v>
      </c>
      <c r="E47" s="44" t="s">
        <v>123</v>
      </c>
      <c r="F47" s="45" t="s">
        <v>124</v>
      </c>
      <c r="G47" s="44" t="s">
        <v>125</v>
      </c>
      <c r="H47" s="46" t="s">
        <v>126</v>
      </c>
      <c r="I47" s="47" t="s">
        <v>127</v>
      </c>
      <c r="J47" s="38" t="s">
        <v>128</v>
      </c>
      <c r="K47" s="48"/>
      <c r="L47" s="48"/>
      <c r="M47" s="48"/>
      <c r="N47" s="48"/>
    </row>
    <row r="48" spans="1:22" s="58" customFormat="1" ht="18.95" customHeight="1">
      <c r="A48" s="50" t="str">
        <f>IFERROR(_xlfn.XLOOKUP($B5&amp;$J39,[1]加工記録２!B:B&amp;[1]加工記録２!AD:AD,[1]加工記録２!BB:BB,,0),"/")</f>
        <v>/</v>
      </c>
      <c r="B48" s="51" t="str">
        <f>_xlfn.XLOOKUP($B5,[1]加工記録２!$CD:$CD,[1]加工記録２!BJ:BJ,,0)</f>
        <v/>
      </c>
      <c r="C48" s="52"/>
      <c r="D48" s="53"/>
      <c r="E48" s="52"/>
      <c r="F48" s="54" t="s">
        <v>129</v>
      </c>
      <c r="G48" s="55" t="str">
        <f>IFERROR(SUM(H48*$D41),"")</f>
        <v/>
      </c>
      <c r="H48" s="56" t="str">
        <f>_xlfn.XLOOKUP($B5,[1]加工記録２!$CD:$CD,[1]加工記録２!BR:BR,,0)</f>
        <v/>
      </c>
      <c r="I48" s="135">
        <f>_xlfn.XLOOKUP($B5, [1]加工記録２!$CD:$CD,[1]加工記録２!AO:AO,,0)</f>
        <v>866</v>
      </c>
      <c r="J48" s="133">
        <f>_xlfn.XLOOKUP($B5, [1]加工記録２!$CD:$CD,[1]加工記録２!AG:AG,,0)</f>
        <v>212</v>
      </c>
      <c r="K48" s="57"/>
      <c r="L48" s="57"/>
      <c r="M48" s="57"/>
      <c r="N48" s="57"/>
      <c r="V48" s="59"/>
    </row>
    <row r="49" spans="1:14" s="58" customFormat="1" ht="18.95" customHeight="1" thickBot="1">
      <c r="A49" s="60">
        <f>IFERROR(_xlfn.XLOOKUP($B5&amp;$J39,[1]加工記録２!$CD:$CD&amp;[1]加工記録２!AD:AD,[1]加工記録２!BC:BC,,0),"/")</f>
        <v>45813</v>
      </c>
      <c r="B49" s="61" t="str">
        <f>_xlfn.XLOOKUP($B5,[1]加工記録２!$CD:$CD,[1]加工記録２!BK:BK,,0)</f>
        <v>25E22B</v>
      </c>
      <c r="C49" s="61" t="str">
        <f>_xlfn.XLOOKUP($B5,[1]加工記録２!$CD:$CD,[1]加工記録２!P:P,,0)</f>
        <v/>
      </c>
      <c r="D49" s="62">
        <v>415</v>
      </c>
      <c r="E49" s="63">
        <f>_xlfn.XLOOKUP($B5, [1]加工記録２!$CD:$CD,[1]加工記録２!W:W,,0)</f>
        <v>415.12</v>
      </c>
      <c r="F49" s="64" t="s">
        <v>135</v>
      </c>
      <c r="G49" s="65"/>
      <c r="H49" s="66">
        <f>_xlfn.XLOOKUP($B5,[1]加工記録２!$CD:$CD,[1]加工記録２!BS:BS,,0)</f>
        <v>0</v>
      </c>
      <c r="I49" s="135"/>
      <c r="J49" s="133"/>
      <c r="K49" s="57"/>
      <c r="L49" s="57"/>
      <c r="M49" s="57"/>
      <c r="N49" s="57"/>
    </row>
    <row r="50" spans="1:14" s="58" customFormat="1" ht="18.95" customHeight="1" thickBot="1">
      <c r="A50" s="60">
        <f>IFERROR(_xlfn.XLOOKUP($B5&amp;$J39,[1]加工記録２!$CD:$CD&amp;[1]加工記録２!AD:AD,[1]加工記録２!BD:BD,,0),"/")</f>
        <v>45813</v>
      </c>
      <c r="B50" s="61" t="str">
        <f>_xlfn.XLOOKUP($B5,[1]加工記録２!CD:CD,[1]加工記録２!BL:BL,,0)</f>
        <v>25E23C</v>
      </c>
      <c r="C50" s="61" t="str">
        <f>_xlfn.XLOOKUP($B5,[1]加工記録２!$CD:$CD,[1]加工記録２!Q:Q,,0)</f>
        <v/>
      </c>
      <c r="D50" s="62"/>
      <c r="E50" s="63" t="str">
        <f>_xlfn.XLOOKUP($B5, [1]加工記録２!$CD:$CD,[1]加工記録２!X:X,,0)</f>
        <v/>
      </c>
      <c r="F50" s="64" t="s">
        <v>135</v>
      </c>
      <c r="G50" s="65"/>
      <c r="H50" s="66">
        <f>_xlfn.XLOOKUP($B5,[1]加工記録２!$CD:$CD,[1]加工記録２!BT:BT,,0)</f>
        <v>0</v>
      </c>
      <c r="I50" s="67" t="s">
        <v>130</v>
      </c>
      <c r="J50" s="68" t="s">
        <v>131</v>
      </c>
      <c r="K50" s="57"/>
      <c r="L50" s="57"/>
      <c r="M50" s="57"/>
      <c r="N50" s="57"/>
    </row>
    <row r="51" spans="1:14" s="58" customFormat="1" ht="18.95" customHeight="1">
      <c r="A51" s="60">
        <f>IFERROR(_xlfn.XLOOKUP($B5&amp;$J39,[1]加工記録２!$CD:$CD&amp;[1]加工記録２!AD:AD,[1]加工記録２!BE:BE,,0),"/")</f>
        <v>45813</v>
      </c>
      <c r="B51" s="61" t="str">
        <f>_xlfn.XLOOKUP($B5,[1]加工記録２!$CD:$CD,[1]加工記録２!BM:BM,,0)</f>
        <v>25E24A</v>
      </c>
      <c r="C51" s="61" t="str">
        <f>_xlfn.XLOOKUP($B5,[1]加工記録２!$CD:$CD,[1]加工記録２!R:R,,0)</f>
        <v/>
      </c>
      <c r="D51" s="62"/>
      <c r="E51" s="63">
        <f>_xlfn.XLOOKUP($B5, [1]加工記録２!$CD:$CD,[1]加工記録２!Y:Y,,0)</f>
        <v>415.12</v>
      </c>
      <c r="F51" s="64" t="s">
        <v>135</v>
      </c>
      <c r="G51" s="65"/>
      <c r="H51" s="66">
        <f>_xlfn.XLOOKUP($B5,[1]加工記録２!$CD:$CD,[1]加工記録２!BU:BU,,0)</f>
        <v>0</v>
      </c>
      <c r="I51" s="69">
        <f>_xlfn.LET(_xlpm.val,_xlfn.XLOOKUP($B5,[1]加工記録２!$CD:$CD,[1]加工記録２!AQ:AQ,""),IF(OR(_xlpm.val="",_xlpm.val=0),"",_xlpm.val))</f>
        <v>45813</v>
      </c>
      <c r="J51" s="70">
        <f>_xlfn.LET(_xlpm.val,_xlfn.XLOOKUP($B5,[1]加工記録２!$CD:$CD,[1]加工記録２!AR:AR,""),IF(OR(_xlpm.val="",_xlpm.val=0),"",_xlpm.val))</f>
        <v>8</v>
      </c>
      <c r="K51" s="57"/>
      <c r="L51" s="57"/>
      <c r="M51" s="57"/>
      <c r="N51" s="57"/>
    </row>
    <row r="52" spans="1:14" s="58" customFormat="1" ht="18.95" customHeight="1">
      <c r="A52" s="60">
        <f>IFERROR(_xlfn.XLOOKUP($B5&amp;$J39,[1]加工記録２!$CD:$CD&amp;[1]加工記録２!AD:AD,[1]加工記録２!BF:BF,,0),"/")</f>
        <v>45813</v>
      </c>
      <c r="B52" s="61" t="str">
        <f>_xlfn.XLOOKUP($B5,[1]加工記録２!$CD:$CD,[1]加工記録２!BN:BN,,0)</f>
        <v>25E23B</v>
      </c>
      <c r="C52" s="61"/>
      <c r="D52" s="62"/>
      <c r="E52" s="63" t="str">
        <f>_xlfn.XLOOKUP($B5, [1]加工記録２!$CD:$CD,[1]加工記録２!Z:Z,,0)</f>
        <v/>
      </c>
      <c r="F52" s="64"/>
      <c r="G52" s="65">
        <f>IFERROR(SUM(H52*$D41),"")</f>
        <v>600</v>
      </c>
      <c r="H52" s="66">
        <f>_xlfn.XLOOKUP($B5,[1]加工記録２!$CD:$CD,[1]加工記録２!BV:BV,,0)</f>
        <v>200</v>
      </c>
      <c r="I52" s="71" t="str">
        <f>_xlfn.LET(_xlpm.val,_xlfn.XLOOKUP($B5,[1]加工記録２!$CD:$CD,[1]加工記録２!AS:AS,""),IF(OR(_xlpm.val="",_xlpm.val=0),"",_xlpm.val))</f>
        <v/>
      </c>
      <c r="J52" s="72" t="str">
        <f>_xlfn.LET(_xlpm.val,_xlfn.XLOOKUP($B5,[1]加工記録２!$CD:$CD,[1]加工記録２!AT:AT,""),IF(OR(_xlpm.val="",_xlpm.val=0),"",_xlpm.val))</f>
        <v/>
      </c>
      <c r="K52" s="57"/>
      <c r="L52" s="57"/>
      <c r="M52" s="57"/>
      <c r="N52" s="57"/>
    </row>
    <row r="53" spans="1:14" s="58" customFormat="1" ht="18.95" customHeight="1">
      <c r="A53" s="60">
        <f>IFERROR(_xlfn.XLOOKUP($B5&amp;$J39,[1]加工記録２!$CD:$CD&amp;[1]加工記録２!AD:AD,[1]加工記録２!BG:BG,,0),"/")</f>
        <v>45813</v>
      </c>
      <c r="B53" s="61" t="str">
        <f>_xlfn.XLOOKUP($B5,[1]加工記録２!$CD:$CD,[1]加工記録２!BO:BO,,0)</f>
        <v>25A15B</v>
      </c>
      <c r="C53" s="61"/>
      <c r="D53" s="62"/>
      <c r="E53" s="63">
        <f>_xlfn.XLOOKUP($B5, [1]加工記録２!$CD:$CD,[1]加工記録２!AA:AA,,0)</f>
        <v>415.21</v>
      </c>
      <c r="F53" s="64"/>
      <c r="G53" s="65">
        <f>IFERROR(SUM(H53*$D41),"")</f>
        <v>36</v>
      </c>
      <c r="H53" s="66">
        <f>_xlfn.XLOOKUP($B5,[1]加工記録２!$CD:$CD,[1]加工記録２!BW:BW,,0)</f>
        <v>12</v>
      </c>
      <c r="I53" s="71" t="str">
        <f>_xlfn.LET(_xlpm.val,_xlfn.XLOOKUP($B5,[1]加工記録２!$CD:$CD,[1]加工記録２!AU:AU,""),IF(OR(_xlpm.val="",_xlpm.val=0),"",_xlpm.val))</f>
        <v/>
      </c>
      <c r="J53" s="72" t="str">
        <f>_xlfn.LET(_xlpm.val,_xlfn.XLOOKUP($B5,[1]加工記録２!$CD:$CD,[1]加工記録２!AV:AV,""),IF(OR(_xlpm.val="",_xlpm.val=0),"",_xlpm.val))</f>
        <v/>
      </c>
      <c r="K53" s="57"/>
      <c r="L53" s="57"/>
      <c r="M53" s="57"/>
      <c r="N53" s="57"/>
    </row>
    <row r="54" spans="1:14" s="58" customFormat="1" ht="18.95" customHeight="1">
      <c r="A54" s="60" t="str">
        <f>IFERROR(_xlfn.XLOOKUP($B5&amp;$J39,[1]加工記録２!$CD:$CD&amp;[1]加工記録２!AD:AD,[1]加工記録２!BH:BH,,0),"/")</f>
        <v/>
      </c>
      <c r="B54" s="61" t="str">
        <f>_xlfn.XLOOKUP($B5,[1]加工記録２!$CD:$CD,[1]加工記録２!BP:BP,,0)</f>
        <v/>
      </c>
      <c r="C54" s="61" t="str">
        <f>_xlfn.XLOOKUP($B5,[1]加工記録２!$CD:$CD,[1]加工記録２!U:U,,0)</f>
        <v/>
      </c>
      <c r="D54" s="62"/>
      <c r="E54" s="63" t="str">
        <f>_xlfn.XLOOKUP($B5, [1]加工記録２!$CD:$CD,[1]加工記録２!AB:AB,,0)</f>
        <v/>
      </c>
      <c r="F54" s="64"/>
      <c r="G54" s="65" t="str">
        <f>IFERROR(SUM(H54*$D41),"")</f>
        <v/>
      </c>
      <c r="H54" s="66" t="str">
        <f>_xlfn.XLOOKUP($B5,[1]加工記録２!$CD:$CD,[1]加工記録２!BX:BX,,0)</f>
        <v/>
      </c>
      <c r="I54" s="71" t="str">
        <f>_xlfn.LET(_xlpm.val,_xlfn.XLOOKUP($B5,[1]加工記録２!$CD:$CD,[1]加工記録２!AW:AW,""),IF(OR(_xlpm.val="",_xlpm.val=0),"",_xlpm.val))</f>
        <v/>
      </c>
      <c r="J54" s="72" t="str">
        <f>_xlfn.LET(_xlpm.val,_xlfn.XLOOKUP($B5,[1]加工記録２!$CD:$CD,[1]加工記録２!AX:AX,""),IF(OR(_xlpm.val="",_xlpm.val=0),"",_xlpm.val))</f>
        <v/>
      </c>
      <c r="K54" s="57"/>
      <c r="L54" s="57"/>
      <c r="M54" s="57"/>
      <c r="N54" s="57"/>
    </row>
    <row r="55" spans="1:14" s="58" customFormat="1" ht="18.95" customHeight="1" thickBot="1">
      <c r="A55" s="73" t="str">
        <f>IFERROR(_xlfn.XLOOKUP($B5&amp;$J39,[1]加工記録２!$CD:$CD&amp;[1]加工記録２!AD:AD,[1]加工記録２!BI:BI,,0),"/")</f>
        <v/>
      </c>
      <c r="B55" s="74" t="str">
        <f>_xlfn.XLOOKUP($B5,[1]加工記録２!$CD:$CD,[1]加工記録２!BQ:BQ,,0)</f>
        <v/>
      </c>
      <c r="C55" s="74" t="str">
        <f>_xlfn.XLOOKUP($B5,[1]加工記録２!$CD:$CD,[1]加工記録２!V:V,,0)</f>
        <v/>
      </c>
      <c r="D55" s="75"/>
      <c r="E55" s="76" t="str">
        <f>_xlfn.XLOOKUP($B5, [1]加工記録２!$CD:$CD,[1]加工記録２!AC:AC,,0)</f>
        <v/>
      </c>
      <c r="F55" s="77"/>
      <c r="G55" s="78" t="str">
        <f>IFERROR(SUM(H55*$D41),"")</f>
        <v/>
      </c>
      <c r="H55" s="79" t="str">
        <f>_xlfn.XLOOKUP($B5,[1]加工記録２!$CD:$CD,[1]加工記録２!BY:BY,,0)</f>
        <v/>
      </c>
      <c r="I55" s="80" t="str">
        <f>_xlfn.LET(_xlpm.val,_xlfn.XLOOKUP($B5,[1]加工記録２!$CD:$CD,[1]加工記録２!AY:AY,""),IF(OR(_xlpm.val="",_xlpm.val=0),"",_xlpm.val))</f>
        <v/>
      </c>
      <c r="J55" s="81" t="str">
        <f>_xlfn.LET(_xlpm.val,_xlfn.XLOOKUP($B5,[1]加工記録２!$CD:$CD,[1]加工記録２!AZ:AZ,""),IF(OR(_xlpm.val="",_xlpm.val=0),"",_xlpm.val))</f>
        <v/>
      </c>
      <c r="K55" s="57"/>
      <c r="L55" s="57"/>
      <c r="M55" s="57"/>
      <c r="N55" s="57"/>
    </row>
    <row r="56" spans="1:14" ht="13.5" customHeight="1" thickBot="1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2"/>
      <c r="B58" s="117" t="s">
        <v>0</v>
      </c>
      <c r="C58" s="85"/>
      <c r="D58" s="85"/>
      <c r="E58" s="12"/>
      <c r="F58" s="12"/>
      <c r="G58" s="12"/>
      <c r="H58" s="12"/>
      <c r="I58" s="12"/>
      <c r="J58" s="12"/>
    </row>
    <row r="59" spans="1:14" ht="14.25" customHeight="1">
      <c r="A59" s="13"/>
      <c r="B59" s="85"/>
      <c r="C59" s="85"/>
      <c r="D59" s="85"/>
      <c r="E59" s="13"/>
      <c r="F59" s="13"/>
      <c r="G59" s="13"/>
      <c r="H59" s="13"/>
      <c r="I59" s="13"/>
      <c r="J59" s="13"/>
    </row>
    <row r="60" spans="1:14" ht="14.25" customHeight="1">
      <c r="A60" s="94" t="s">
        <v>1</v>
      </c>
      <c r="B60" s="94" t="s">
        <v>53</v>
      </c>
      <c r="C60" s="94" t="s">
        <v>3</v>
      </c>
      <c r="D60" s="121">
        <v>508</v>
      </c>
      <c r="E60" s="94" t="s">
        <v>4</v>
      </c>
      <c r="F60" s="111" t="s">
        <v>54</v>
      </c>
      <c r="G60" s="85"/>
      <c r="H60" s="110"/>
      <c r="I60" s="14" t="s">
        <v>6</v>
      </c>
      <c r="J60" s="14" t="s">
        <v>7</v>
      </c>
    </row>
    <row r="61" spans="1:14" ht="14.25" customHeight="1">
      <c r="A61" s="85"/>
      <c r="B61" s="85"/>
      <c r="C61" s="85"/>
      <c r="D61" s="85"/>
      <c r="E61" s="85"/>
      <c r="F61" s="85"/>
      <c r="G61" s="85"/>
      <c r="H61" s="110"/>
      <c r="I61" s="15"/>
      <c r="J61" s="82"/>
    </row>
    <row r="62" spans="1:14" ht="17.45" customHeight="1">
      <c r="A62" s="88" t="s">
        <v>8</v>
      </c>
      <c r="B62" s="88" t="s">
        <v>55</v>
      </c>
      <c r="E62" s="88" t="s">
        <v>10</v>
      </c>
      <c r="F62" s="109" t="s">
        <v>11</v>
      </c>
      <c r="G62" s="85"/>
      <c r="H62" s="110"/>
      <c r="I62" s="26"/>
      <c r="J62" s="83"/>
    </row>
    <row r="63" spans="1:14" ht="17.45" customHeight="1">
      <c r="A63" s="85"/>
      <c r="B63" s="85"/>
      <c r="E63" s="85"/>
      <c r="F63" s="85"/>
      <c r="G63" s="85"/>
      <c r="H63" s="110"/>
      <c r="I63" s="16"/>
      <c r="J63" s="16"/>
    </row>
    <row r="64" spans="1:14" ht="17.45" customHeight="1">
      <c r="A64" s="88" t="s">
        <v>12</v>
      </c>
      <c r="B64" s="88" t="s">
        <v>56</v>
      </c>
      <c r="E64" s="2" t="s">
        <v>14</v>
      </c>
      <c r="F64" s="113" t="s">
        <v>15</v>
      </c>
      <c r="G64" s="85"/>
      <c r="H64" s="23"/>
    </row>
    <row r="65" spans="1:10" ht="17.45" customHeight="1">
      <c r="A65" s="85"/>
      <c r="B65" s="85"/>
      <c r="E65" s="2" t="s">
        <v>16</v>
      </c>
      <c r="F65" s="23" t="s">
        <v>17</v>
      </c>
      <c r="G65" s="23"/>
      <c r="H65" s="23"/>
    </row>
    <row r="66" spans="1:10" ht="17.45" customHeight="1">
      <c r="A66" s="2" t="s">
        <v>18</v>
      </c>
      <c r="B66" s="4">
        <v>45818</v>
      </c>
      <c r="E66" s="2" t="s">
        <v>19</v>
      </c>
      <c r="F66" s="90">
        <v>200</v>
      </c>
      <c r="G66" s="85"/>
      <c r="H66" s="23"/>
    </row>
    <row r="67" spans="1:10" ht="17.45" customHeight="1">
      <c r="A67" s="2" t="s">
        <v>20</v>
      </c>
      <c r="B67" s="4">
        <v>45818</v>
      </c>
      <c r="E67" s="2" t="s">
        <v>21</v>
      </c>
      <c r="F67" s="23">
        <v>8.5</v>
      </c>
      <c r="G67" s="112" t="s">
        <v>22</v>
      </c>
      <c r="H67" s="99">
        <v>1700</v>
      </c>
      <c r="I67" s="100"/>
      <c r="J67" s="101"/>
    </row>
    <row r="68" spans="1:10" ht="17.45" customHeight="1">
      <c r="A68" s="21"/>
      <c r="B68" s="22"/>
      <c r="C68" s="22"/>
      <c r="D68" s="22"/>
      <c r="E68" s="2" t="s">
        <v>23</v>
      </c>
      <c r="F68" s="23" t="s">
        <v>24</v>
      </c>
      <c r="G68" s="102"/>
      <c r="H68" s="102"/>
      <c r="I68" s="103"/>
      <c r="J68" s="104"/>
    </row>
    <row r="69" spans="1:10" ht="13.5" customHeight="1">
      <c r="A69" s="105" t="s">
        <v>57</v>
      </c>
      <c r="B69" s="85"/>
      <c r="C69" s="85"/>
      <c r="D69" s="22"/>
      <c r="F69" s="3"/>
      <c r="G69" s="95" t="s">
        <v>26</v>
      </c>
      <c r="H69" s="114" t="s">
        <v>27</v>
      </c>
      <c r="I69" s="122" t="s">
        <v>28</v>
      </c>
      <c r="J69" s="110"/>
    </row>
    <row r="70" spans="1:10" ht="13.5" customHeight="1">
      <c r="A70" s="85"/>
      <c r="B70" s="85"/>
      <c r="C70" s="85"/>
      <c r="D70" s="22"/>
      <c r="F70" s="3"/>
      <c r="G70" s="96"/>
      <c r="H70" s="96"/>
      <c r="I70" s="103"/>
      <c r="J70" s="104"/>
    </row>
    <row r="71" spans="1:10" ht="13.5" customHeight="1">
      <c r="A71" s="1" t="s">
        <v>29</v>
      </c>
    </row>
    <row r="72" spans="1:10" ht="63" customHeight="1">
      <c r="A72" s="119"/>
      <c r="B72" s="120"/>
      <c r="C72" s="120"/>
      <c r="D72" s="120"/>
      <c r="E72" s="120"/>
      <c r="F72" s="120"/>
      <c r="G72" s="120"/>
      <c r="H72" s="120"/>
      <c r="I72" s="120"/>
      <c r="J72" s="120"/>
    </row>
    <row r="73" spans="1:10" ht="18.75">
      <c r="A73" s="25" t="s">
        <v>30</v>
      </c>
      <c r="B73" s="18" t="s">
        <v>31</v>
      </c>
      <c r="C73" s="106" t="s">
        <v>32</v>
      </c>
      <c r="D73" s="107"/>
      <c r="E73" s="18" t="s">
        <v>33</v>
      </c>
      <c r="F73" s="106" t="s">
        <v>34</v>
      </c>
      <c r="G73" s="107"/>
      <c r="H73" s="107"/>
      <c r="I73" s="118" t="s">
        <v>35</v>
      </c>
      <c r="J73" s="107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4">
        <v>1</v>
      </c>
      <c r="B75" s="27" t="s">
        <v>36</v>
      </c>
      <c r="C75" s="84" t="s">
        <v>37</v>
      </c>
      <c r="D75" s="85"/>
      <c r="E75" s="27" t="s">
        <v>38</v>
      </c>
      <c r="F75" s="84" t="s">
        <v>39</v>
      </c>
      <c r="G75" s="85"/>
      <c r="H75" s="85"/>
      <c r="I75" s="93"/>
      <c r="J75" s="85"/>
    </row>
    <row r="76" spans="1:10" ht="16.5" customHeight="1">
      <c r="A76" s="24">
        <v>1</v>
      </c>
      <c r="B76" s="28" t="s">
        <v>36</v>
      </c>
      <c r="C76" s="84" t="s">
        <v>37</v>
      </c>
      <c r="D76" s="85"/>
      <c r="E76" s="27" t="s">
        <v>40</v>
      </c>
      <c r="F76" s="84" t="s">
        <v>41</v>
      </c>
      <c r="G76" s="85"/>
      <c r="H76" s="85"/>
      <c r="I76" s="93"/>
      <c r="J76" s="85"/>
    </row>
    <row r="77" spans="1:10" ht="16.5" customHeight="1">
      <c r="A77" s="24"/>
      <c r="B77" s="28"/>
      <c r="C77" s="84"/>
      <c r="D77" s="85"/>
      <c r="E77" s="27"/>
      <c r="F77" s="84"/>
      <c r="G77" s="85"/>
      <c r="H77" s="85"/>
      <c r="I77" s="93"/>
      <c r="J77" s="85"/>
    </row>
    <row r="78" spans="1:10" ht="16.5" customHeight="1">
      <c r="A78" s="24"/>
      <c r="B78" s="28"/>
      <c r="C78" s="84"/>
      <c r="D78" s="85"/>
      <c r="E78" s="27"/>
      <c r="F78" s="84"/>
      <c r="G78" s="85"/>
      <c r="H78" s="85"/>
      <c r="I78" s="93"/>
      <c r="J78" s="85"/>
    </row>
    <row r="79" spans="1:10" ht="16.5" customHeight="1">
      <c r="A79" s="24"/>
      <c r="B79" s="28"/>
      <c r="C79" s="84"/>
      <c r="D79" s="85"/>
      <c r="E79" s="27"/>
      <c r="F79" s="84"/>
      <c r="G79" s="85"/>
      <c r="H79" s="85"/>
      <c r="I79" s="93"/>
      <c r="J79" s="85"/>
    </row>
    <row r="80" spans="1:10" ht="16.5" customHeight="1">
      <c r="A80" s="24"/>
      <c r="B80" s="28"/>
      <c r="C80" s="84"/>
      <c r="D80" s="85"/>
      <c r="E80" s="27"/>
      <c r="F80" s="84"/>
      <c r="G80" s="85"/>
      <c r="H80" s="85"/>
      <c r="I80" s="93"/>
      <c r="J80" s="85"/>
    </row>
    <row r="81" spans="1:10" ht="16.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</row>
    <row r="82" spans="1:10" ht="18.75">
      <c r="A82" s="86" t="s">
        <v>42</v>
      </c>
      <c r="B82" s="87"/>
      <c r="C82" s="86" t="s">
        <v>43</v>
      </c>
      <c r="D82" s="87"/>
      <c r="E82" s="87"/>
      <c r="F82" s="19" t="s">
        <v>44</v>
      </c>
      <c r="G82" s="86" t="s">
        <v>45</v>
      </c>
      <c r="H82" s="87"/>
      <c r="I82" s="86" t="s">
        <v>46</v>
      </c>
      <c r="J82" s="87"/>
    </row>
    <row r="83" spans="1:10" ht="14.25" customHeight="1">
      <c r="A83" s="8"/>
      <c r="B83" s="20"/>
      <c r="C83" s="108" t="s">
        <v>47</v>
      </c>
      <c r="D83" s="103"/>
      <c r="E83" s="20"/>
      <c r="F83" s="108" t="s">
        <v>29</v>
      </c>
      <c r="G83" s="103"/>
      <c r="H83" s="103"/>
      <c r="I83" s="103"/>
      <c r="J83" s="103"/>
    </row>
    <row r="84" spans="1:10">
      <c r="A84" s="9"/>
      <c r="C84" s="7"/>
      <c r="D84" s="7"/>
      <c r="E84" s="7"/>
    </row>
    <row r="85" spans="1:10" ht="14.25" customHeight="1">
      <c r="A85" s="84" t="s">
        <v>48</v>
      </c>
      <c r="B85" s="85"/>
      <c r="C85" s="84" t="s">
        <v>49</v>
      </c>
      <c r="D85" s="85"/>
      <c r="E85" s="85"/>
      <c r="F85" s="29" t="s">
        <v>27</v>
      </c>
      <c r="G85" s="97">
        <v>850</v>
      </c>
      <c r="H85" s="85"/>
      <c r="I85" s="97">
        <v>4.25</v>
      </c>
      <c r="J85" s="85"/>
    </row>
    <row r="86" spans="1:10" ht="24.95" customHeight="1">
      <c r="A86" s="89" t="s">
        <v>50</v>
      </c>
      <c r="B86" s="85"/>
      <c r="C86" s="84" t="s">
        <v>11</v>
      </c>
      <c r="D86" s="85"/>
      <c r="E86" s="85"/>
      <c r="F86" s="84"/>
      <c r="G86" s="85"/>
      <c r="H86" s="85"/>
      <c r="I86" s="85"/>
      <c r="J86" s="85"/>
    </row>
    <row r="87" spans="1:10" ht="14.25" customHeight="1">
      <c r="A87" s="92" t="s">
        <v>91</v>
      </c>
      <c r="B87" s="85"/>
      <c r="C87" s="84" t="s">
        <v>59</v>
      </c>
      <c r="D87" s="85"/>
      <c r="E87" s="85"/>
      <c r="F87" s="29" t="s">
        <v>27</v>
      </c>
      <c r="G87" s="97">
        <v>8.5</v>
      </c>
      <c r="H87" s="85"/>
      <c r="I87" s="97">
        <v>4.2500000000000003E-2</v>
      </c>
      <c r="J87" s="85"/>
    </row>
    <row r="88" spans="1:10" ht="24.95" customHeight="1">
      <c r="A88" s="89" t="s">
        <v>60</v>
      </c>
      <c r="B88" s="85"/>
      <c r="C88" s="84"/>
      <c r="D88" s="85"/>
      <c r="E88" s="85"/>
      <c r="F88" s="84"/>
      <c r="G88" s="85"/>
      <c r="H88" s="85"/>
      <c r="I88" s="85"/>
      <c r="J88" s="85"/>
    </row>
    <row r="89" spans="1:10" ht="14.25" customHeight="1">
      <c r="A89" s="84"/>
      <c r="B89" s="85"/>
      <c r="C89" s="84"/>
      <c r="D89" s="85"/>
      <c r="E89" s="85"/>
      <c r="F89" s="29"/>
      <c r="G89" s="97"/>
      <c r="H89" s="85"/>
      <c r="I89" s="97"/>
      <c r="J89" s="85"/>
    </row>
    <row r="90" spans="1:10" ht="24.95" customHeight="1">
      <c r="A90" s="89"/>
      <c r="B90" s="85"/>
      <c r="C90" s="84"/>
      <c r="D90" s="85"/>
      <c r="E90" s="85"/>
      <c r="F90" s="84"/>
      <c r="G90" s="85"/>
      <c r="H90" s="85"/>
      <c r="I90" s="85"/>
      <c r="J90" s="85"/>
    </row>
    <row r="91" spans="1:10" ht="14.25" customHeight="1">
      <c r="A91" s="84"/>
      <c r="B91" s="85"/>
      <c r="C91" s="84"/>
      <c r="D91" s="85"/>
      <c r="E91" s="85"/>
      <c r="F91" s="29"/>
      <c r="G91" s="97"/>
      <c r="H91" s="85"/>
      <c r="I91" s="97"/>
      <c r="J91" s="85"/>
    </row>
    <row r="92" spans="1:10" ht="24.95" customHeight="1">
      <c r="A92" s="89"/>
      <c r="B92" s="85"/>
      <c r="C92" s="84"/>
      <c r="D92" s="85"/>
      <c r="E92" s="85"/>
      <c r="F92" s="84"/>
      <c r="G92" s="85"/>
      <c r="H92" s="85"/>
      <c r="I92" s="85"/>
      <c r="J92" s="85"/>
    </row>
    <row r="93" spans="1:10" ht="14.25" customHeight="1">
      <c r="A93" s="84"/>
      <c r="B93" s="85"/>
      <c r="C93" s="84"/>
      <c r="D93" s="85"/>
      <c r="E93" s="85"/>
      <c r="F93" s="29"/>
      <c r="G93" s="97"/>
      <c r="H93" s="85"/>
      <c r="I93" s="97"/>
      <c r="J93" s="85"/>
    </row>
    <row r="94" spans="1:10" ht="24.95" customHeight="1">
      <c r="A94" s="89"/>
      <c r="B94" s="85"/>
      <c r="C94" s="84"/>
      <c r="D94" s="85"/>
      <c r="E94" s="85"/>
      <c r="F94" s="84"/>
      <c r="G94" s="85"/>
      <c r="H94" s="85"/>
      <c r="I94" s="85"/>
      <c r="J94" s="85"/>
    </row>
    <row r="95" spans="1:10" s="5" customFormat="1" ht="18" customHeight="1">
      <c r="A95" s="136" t="s">
        <v>93</v>
      </c>
      <c r="B95" s="137"/>
      <c r="C95" s="137"/>
      <c r="D95" s="137"/>
      <c r="E95" s="30" t="s">
        <v>94</v>
      </c>
      <c r="F95" s="31"/>
      <c r="G95" s="115" t="s">
        <v>95</v>
      </c>
      <c r="H95" s="116"/>
      <c r="I95" s="32" t="s">
        <v>96</v>
      </c>
      <c r="J95" s="33" t="s">
        <v>97</v>
      </c>
    </row>
    <row r="96" spans="1:10" s="7" customFormat="1" ht="18" customHeight="1">
      <c r="A96" s="138" t="str">
        <f>F60</f>
        <v>001EGAW 508</v>
      </c>
      <c r="B96" s="139"/>
      <c r="C96" s="139"/>
      <c r="D96" s="139"/>
      <c r="E96" s="142" t="s">
        <v>133</v>
      </c>
      <c r="F96" s="143"/>
      <c r="G96" s="34" t="s">
        <v>98</v>
      </c>
      <c r="H96" s="35">
        <f>_xlfn.XLOOKUP($B62, [1]加工記録２!$CD:$CD,[1]加工記録２!AH:AH)</f>
        <v>0</v>
      </c>
      <c r="I96" s="144">
        <f>MAX(I108:I112)</f>
        <v>45813</v>
      </c>
      <c r="J96" s="133">
        <f>_xlfn.XLOOKUP($B62, [1]加工記録２!$CD:$CD,[1]加工記録２!AD:AD,,0)</f>
        <v>1700</v>
      </c>
    </row>
    <row r="97" spans="1:22" s="5" customFormat="1" ht="18" customHeight="1">
      <c r="A97" s="140"/>
      <c r="B97" s="141"/>
      <c r="C97" s="141"/>
      <c r="D97" s="141"/>
      <c r="E97" s="146" t="s">
        <v>99</v>
      </c>
      <c r="F97" s="146"/>
      <c r="G97" s="34" t="s">
        <v>100</v>
      </c>
      <c r="H97" s="35">
        <f>_xlfn.XLOOKUP($B62, [1]加工記録２!$CD:$CD,[1]加工記録２!AI:AI,,0)</f>
        <v>0</v>
      </c>
      <c r="I97" s="145"/>
      <c r="J97" s="133"/>
      <c r="K97" s="36"/>
    </row>
    <row r="98" spans="1:22" s="7" customFormat="1" ht="18" customHeight="1">
      <c r="A98" s="147" t="s">
        <v>101</v>
      </c>
      <c r="B98" s="123" t="str">
        <f>_xlfn.XLOOKUP(A69,[1]!テーブル5[品目コード],[1]!テーブル5[温度換算],,2)</f>
        <v>-</v>
      </c>
      <c r="C98" s="125" t="s">
        <v>102</v>
      </c>
      <c r="D98" s="127">
        <f>_xlfn.XLOOKUP(A69,[1]!テーブル5[品目コード],[1]!テーブル5[取数],,2)</f>
        <v>2</v>
      </c>
      <c r="E98" s="129" t="s">
        <v>103</v>
      </c>
      <c r="F98" s="129"/>
      <c r="G98" s="34" t="s">
        <v>104</v>
      </c>
      <c r="H98" s="35">
        <f>_xlfn.XLOOKUP($B62, [1]加工記録２!$CD:$CD,[1]加工記録２!AJ:AJ,,0)</f>
        <v>0</v>
      </c>
      <c r="I98" s="32" t="s">
        <v>105</v>
      </c>
      <c r="J98" s="32" t="s">
        <v>106</v>
      </c>
      <c r="K98" s="37"/>
    </row>
    <row r="99" spans="1:22" s="5" customFormat="1" ht="18" customHeight="1">
      <c r="A99" s="147"/>
      <c r="B99" s="124"/>
      <c r="C99" s="126"/>
      <c r="D99" s="128"/>
      <c r="E99" s="130">
        <f>_xlfn.XLOOKUP(A69,[1]!テーブル5[品目コード],[1]!テーブル5[備考１],,2)</f>
        <v>0</v>
      </c>
      <c r="F99" s="130"/>
      <c r="G99" s="34" t="s">
        <v>107</v>
      </c>
      <c r="H99" s="35">
        <f>_xlfn.XLOOKUP($B62, [1]加工記録２!$CD:$CD,[1]加工記録２!AK:AK,,0)</f>
        <v>0</v>
      </c>
      <c r="I99" s="131" t="str">
        <f>_xlfn.XLOOKUP($B62, [1]加工記録２!$CD:$CD,[1]加工記録２!CA:CA,,0)</f>
        <v>水野</v>
      </c>
      <c r="J99" s="131" t="str">
        <f>_xlfn.XLOOKUP($B62, [1]加工記録２!$CD:$CD,[1]加工記録２!CB:CB,,0)</f>
        <v>-</v>
      </c>
      <c r="K99" s="36"/>
    </row>
    <row r="100" spans="1:22" s="7" customFormat="1" ht="18" customHeight="1">
      <c r="A100" s="148" t="s">
        <v>108</v>
      </c>
      <c r="B100" s="149">
        <f>D60</f>
        <v>508</v>
      </c>
      <c r="C100" s="151" t="s">
        <v>109</v>
      </c>
      <c r="D100" s="153" t="str">
        <f>_xlfn.XLOOKUP(A69,[1]!テーブル5[品目コード],[1]!テーブル5[上限公差],,2)</f>
        <v>+0.5</v>
      </c>
      <c r="E100" s="130" t="str">
        <f>_xlfn.XLOOKUP(A69,[1]!テーブル5[品目コード],[1]!テーブル5[備考２],,2)</f>
        <v>※使用基材、取数は依頼書にて確認</v>
      </c>
      <c r="F100" s="130"/>
      <c r="G100" s="34" t="s">
        <v>110</v>
      </c>
      <c r="H100" s="35">
        <f>_xlfn.XLOOKUP($B62, [1]加工記録２!$CD:$CD,[1]加工記録２!AL:AL,,0)</f>
        <v>0</v>
      </c>
      <c r="I100" s="132"/>
      <c r="J100" s="132"/>
      <c r="K100" s="37"/>
    </row>
    <row r="101" spans="1:22" s="5" customFormat="1" ht="18" customHeight="1">
      <c r="A101" s="148"/>
      <c r="B101" s="150"/>
      <c r="C101" s="152"/>
      <c r="D101" s="154"/>
      <c r="E101" s="155" t="s">
        <v>111</v>
      </c>
      <c r="F101" s="155"/>
      <c r="G101" s="34" t="s">
        <v>112</v>
      </c>
      <c r="H101" s="35">
        <f>_xlfn.XLOOKUP($B62, [1]加工記録２!$CD:$CD,[1]加工記録２!AM:AM,,0)</f>
        <v>0</v>
      </c>
      <c r="I101" s="38" t="s">
        <v>113</v>
      </c>
      <c r="J101" s="38" t="s">
        <v>114</v>
      </c>
      <c r="K101" s="36"/>
    </row>
    <row r="102" spans="1:22" s="7" customFormat="1" ht="18" customHeight="1">
      <c r="A102" s="147" t="s">
        <v>115</v>
      </c>
      <c r="B102" s="157">
        <v>508</v>
      </c>
      <c r="C102" s="159" t="s">
        <v>116</v>
      </c>
      <c r="D102" s="153">
        <f>_xlfn.XLOOKUP(A69,[1]!テーブル5[品目コード],[1]!テーブル5[下限公差],,2)</f>
        <v>-0.5</v>
      </c>
      <c r="E102" s="162" t="str">
        <f>_xlfn.XLOOKUP(A69,[1]!テーブル5[品目コード],[1]!テーブル5[梱包方法],,2)</f>
        <v>ラベル２枚　長手有　鉢巻無</v>
      </c>
      <c r="F102" s="162"/>
      <c r="G102" s="34" t="s">
        <v>117</v>
      </c>
      <c r="H102" s="35">
        <f>_xlfn.XLOOKUP($B62, [1]加工記録２!$CD:$CD,[1]加工記録２!AN:AN,,0)</f>
        <v>12</v>
      </c>
      <c r="I102" s="133">
        <f>_xlfn.XLOOKUP($B62, [1]加工記録２!$CD:$CD,[1]加工記録２!AF:AF,,0)</f>
        <v>12</v>
      </c>
      <c r="J102" s="133">
        <f>_xlfn.XLOOKUP($B62, [1]加工記録２!$CD:$CD,[1]加工記録２!AE:AE,,0)</f>
        <v>6</v>
      </c>
      <c r="K102" s="37"/>
    </row>
    <row r="103" spans="1:22" s="5" customFormat="1" ht="18" customHeight="1" thickBot="1">
      <c r="A103" s="156"/>
      <c r="B103" s="158"/>
      <c r="C103" s="160"/>
      <c r="D103" s="161"/>
      <c r="E103" s="134"/>
      <c r="F103" s="134"/>
      <c r="G103" s="39" t="s">
        <v>118</v>
      </c>
      <c r="H103" s="40">
        <f>SUM(H96:H102)</f>
        <v>12</v>
      </c>
      <c r="I103" s="133"/>
      <c r="J103" s="133"/>
    </row>
    <row r="104" spans="1:22" s="49" customFormat="1" ht="18.95" customHeight="1">
      <c r="A104" s="41" t="s">
        <v>119</v>
      </c>
      <c r="B104" s="42" t="s">
        <v>120</v>
      </c>
      <c r="C104" s="43" t="s">
        <v>121</v>
      </c>
      <c r="D104" s="43" t="s">
        <v>122</v>
      </c>
      <c r="E104" s="44" t="s">
        <v>123</v>
      </c>
      <c r="F104" s="45" t="s">
        <v>124</v>
      </c>
      <c r="G104" s="44" t="s">
        <v>125</v>
      </c>
      <c r="H104" s="46" t="s">
        <v>126</v>
      </c>
      <c r="I104" s="47" t="s">
        <v>127</v>
      </c>
      <c r="J104" s="38" t="s">
        <v>128</v>
      </c>
      <c r="K104" s="48"/>
      <c r="L104" s="48"/>
      <c r="M104" s="48"/>
      <c r="N104" s="48"/>
    </row>
    <row r="105" spans="1:22" s="58" customFormat="1" ht="18.95" customHeight="1">
      <c r="A105" s="50" t="str">
        <f>IFERROR(_xlfn.XLOOKUP($B62&amp;$J96,[1]加工記録２!B:B&amp;[1]加工記録２!AD:AD,[1]加工記録２!BB:BB,,0),"/")</f>
        <v>/</v>
      </c>
      <c r="B105" s="51" t="str">
        <f>_xlfn.XLOOKUP($B62,[1]加工記録２!$CD:$CD,[1]加工記録２!BJ:BJ,,0)</f>
        <v/>
      </c>
      <c r="C105" s="52"/>
      <c r="D105" s="53"/>
      <c r="E105" s="52"/>
      <c r="F105" s="54" t="s">
        <v>129</v>
      </c>
      <c r="G105" s="55" t="str">
        <f>IFERROR(SUM(H105*$D98),"")</f>
        <v/>
      </c>
      <c r="H105" s="56" t="str">
        <f>_xlfn.XLOOKUP($B62,[1]加工記録２!$CD:$CD,[1]加工記録２!BR:BR,,0)</f>
        <v/>
      </c>
      <c r="I105" s="135">
        <f>_xlfn.XLOOKUP($B62, [1]加工記録２!$CD:$CD,[1]加工記録２!AO:AO,,0)</f>
        <v>0</v>
      </c>
      <c r="J105" s="133">
        <f>_xlfn.XLOOKUP($B62, [1]加工記録２!$CD:$CD,[1]加工記録２!AG:AG,,0)</f>
        <v>856</v>
      </c>
      <c r="K105" s="57"/>
      <c r="L105" s="57"/>
      <c r="M105" s="57"/>
      <c r="N105" s="57"/>
      <c r="V105" s="59"/>
    </row>
    <row r="106" spans="1:22" s="58" customFormat="1" ht="18.95" customHeight="1" thickBot="1">
      <c r="A106" s="60">
        <f>IFERROR(_xlfn.XLOOKUP($B62&amp;$J96,[1]加工記録２!$CD:$CD&amp;[1]加工記録２!AD:AD,[1]加工記録２!BC:BC,,0),"/")</f>
        <v>45812</v>
      </c>
      <c r="B106" s="61" t="str">
        <f>_xlfn.XLOOKUP($B62,[1]加工記録２!$CD:$CD,[1]加工記録２!BK:BK,,0)</f>
        <v>25E24A</v>
      </c>
      <c r="C106" s="61" t="str">
        <f>_xlfn.XLOOKUP($B62,[1]加工記録２!$CD:$CD,[1]加工記録２!P:P,,0)</f>
        <v/>
      </c>
      <c r="D106" s="62">
        <v>508</v>
      </c>
      <c r="E106" s="63">
        <f>_xlfn.XLOOKUP($B62, [1]加工記録２!$CD:$CD,[1]加工記録２!W:W,,0)</f>
        <v>508.41</v>
      </c>
      <c r="F106" s="64"/>
      <c r="G106" s="65">
        <f>IFERROR(SUM(H106*$D98),"")</f>
        <v>100</v>
      </c>
      <c r="H106" s="66">
        <f>_xlfn.XLOOKUP($B62,[1]加工記録２!$CD:$CD,[1]加工記録２!BS:BS,,0)</f>
        <v>50</v>
      </c>
      <c r="I106" s="135"/>
      <c r="J106" s="133"/>
      <c r="K106" s="57"/>
      <c r="L106" s="57"/>
      <c r="M106" s="57"/>
      <c r="N106" s="57"/>
    </row>
    <row r="107" spans="1:22" s="58" customFormat="1" ht="18.95" customHeight="1" thickBot="1">
      <c r="A107" s="60">
        <f>IFERROR(_xlfn.XLOOKUP($B62&amp;$J96,[1]加工記録２!$CD:$CD&amp;[1]加工記録２!AD:AD,[1]加工記録２!BD:BD,,0),"/")</f>
        <v>45812</v>
      </c>
      <c r="B107" s="61" t="str">
        <f>_xlfn.XLOOKUP($B62,[1]加工記録２!CD:CD,[1]加工記録２!BL:BL,,0)</f>
        <v>25E23C</v>
      </c>
      <c r="C107" s="61" t="str">
        <f>_xlfn.XLOOKUP($B62,[1]加工記録２!$CD:$CD,[1]加工記録２!Q:Q,,0)</f>
        <v/>
      </c>
      <c r="D107" s="62"/>
      <c r="E107" s="63">
        <f>_xlfn.XLOOKUP($B62, [1]加工記録２!$CD:$CD,[1]加工記録２!X:X,,0)</f>
        <v>508.04</v>
      </c>
      <c r="F107" s="64"/>
      <c r="G107" s="65">
        <f>IFERROR(SUM(H107*$D98),"")</f>
        <v>600</v>
      </c>
      <c r="H107" s="66">
        <f>_xlfn.XLOOKUP($B62,[1]加工記録２!$CD:$CD,[1]加工記録２!BT:BT,,0)</f>
        <v>300</v>
      </c>
      <c r="I107" s="67" t="s">
        <v>130</v>
      </c>
      <c r="J107" s="68" t="s">
        <v>131</v>
      </c>
      <c r="K107" s="57"/>
      <c r="L107" s="57"/>
      <c r="M107" s="57"/>
      <c r="N107" s="57"/>
    </row>
    <row r="108" spans="1:22" s="58" customFormat="1" ht="18.95" customHeight="1">
      <c r="A108" s="60">
        <f>IFERROR(_xlfn.XLOOKUP($B62&amp;$J96,[1]加工記録２!$CD:$CD&amp;[1]加工記録２!AD:AD,[1]加工記録２!BE:BE,,0),"/")</f>
        <v>45812</v>
      </c>
      <c r="B108" s="61" t="str">
        <f>_xlfn.XLOOKUP($B62,[1]加工記録２!$CD:$CD,[1]加工記録２!BM:BM,,0)</f>
        <v>25A15B</v>
      </c>
      <c r="C108" s="61" t="str">
        <f>_xlfn.XLOOKUP($B62,[1]加工記録２!$CD:$CD,[1]加工記録２!R:R,,0)</f>
        <v/>
      </c>
      <c r="D108" s="62"/>
      <c r="E108" s="63">
        <f>_xlfn.XLOOKUP($B62, [1]加工記録２!$CD:$CD,[1]加工記録２!Y:Y,,0)</f>
        <v>508.02</v>
      </c>
      <c r="F108" s="64"/>
      <c r="G108" s="65">
        <f>IFERROR(SUM(H108*$D98),"")</f>
        <v>12</v>
      </c>
      <c r="H108" s="66">
        <f>_xlfn.XLOOKUP($B62,[1]加工記録２!$CD:$CD,[1]加工記録２!BU:BU,,0)</f>
        <v>6</v>
      </c>
      <c r="I108" s="69">
        <f>_xlfn.LET(_xlpm.val,_xlfn.XLOOKUP($B62,[1]加工記録２!$CD:$CD,[1]加工記録２!AQ:AQ,""),IF(OR(_xlpm.val="",_xlpm.val=0),"",_xlpm.val))</f>
        <v>45812</v>
      </c>
      <c r="J108" s="70">
        <f>_xlfn.LET(_xlpm.val,_xlfn.XLOOKUP($B62,[1]加工記録２!$CD:$CD,[1]加工記録２!AR:AR,""),IF(OR(_xlpm.val="",_xlpm.val=0),"",_xlpm.val))</f>
        <v>8</v>
      </c>
      <c r="K108" s="57"/>
      <c r="L108" s="57"/>
      <c r="M108" s="57"/>
      <c r="N108" s="57"/>
    </row>
    <row r="109" spans="1:22" s="58" customFormat="1" ht="18.95" customHeight="1">
      <c r="A109" s="60">
        <f>IFERROR(_xlfn.XLOOKUP($B62&amp;$J96,[1]加工記録２!$CD:$CD&amp;[1]加工記録２!AD:AD,[1]加工記録２!BF:BF,,0),"/")</f>
        <v>45813</v>
      </c>
      <c r="B109" s="61" t="str">
        <f>_xlfn.XLOOKUP($B62,[1]加工記録２!$CD:$CD,[1]加工記録２!BN:BN,,0)</f>
        <v>25E22B</v>
      </c>
      <c r="C109" s="61" t="str">
        <f>_xlfn.XLOOKUP($B62,[1]加工記録２!$CD:$CD,[1]加工記録２!S:S,,0)</f>
        <v/>
      </c>
      <c r="D109" s="62"/>
      <c r="E109" s="63">
        <f>_xlfn.XLOOKUP($B62, [1]加工記録２!$CD:$CD,[1]加工記録２!Z:Z,,0)</f>
        <v>508.02</v>
      </c>
      <c r="F109" s="64"/>
      <c r="G109" s="65">
        <f>IFERROR(SUM(H109*$D98),"")</f>
        <v>1000</v>
      </c>
      <c r="H109" s="66">
        <f>_xlfn.XLOOKUP($B62,[1]加工記録２!$CD:$CD,[1]加工記録２!BV:BV,,0)</f>
        <v>500</v>
      </c>
      <c r="I109" s="71">
        <f>_xlfn.LET(_xlpm.val,_xlfn.XLOOKUP($B62,[1]加工記録２!$CD:$CD,[1]加工記録２!AS:AS,""),IF(OR(_xlpm.val="",_xlpm.val=0),"",_xlpm.val))</f>
        <v>45813</v>
      </c>
      <c r="J109" s="72">
        <f>_xlfn.LET(_xlpm.val,_xlfn.XLOOKUP($B62,[1]加工記録２!$CD:$CD,[1]加工記録２!AT:AT,""),IF(OR(_xlpm.val="",_xlpm.val=0),"",_xlpm.val))</f>
        <v>1</v>
      </c>
      <c r="K109" s="57"/>
      <c r="L109" s="57"/>
      <c r="M109" s="57"/>
      <c r="N109" s="57"/>
    </row>
    <row r="110" spans="1:22" s="58" customFormat="1" ht="18.95" customHeight="1">
      <c r="A110" s="60">
        <f>IFERROR(_xlfn.XLOOKUP($B62&amp;$J96,[1]加工記録２!$CD:$CD&amp;[1]加工記録２!AD:AD,[1]加工記録２!BG:BG,,0),"/")</f>
        <v>45813</v>
      </c>
      <c r="B110" s="61" t="str">
        <f>_xlfn.XLOOKUP($B62,[1]加工記録２!$CD:$CD,[1]加工記録２!BO:BO,,0)</f>
        <v>25E22B</v>
      </c>
      <c r="C110" s="61" t="str">
        <f>_xlfn.XLOOKUP($B62,[1]加工記録２!$CD:$CD,[1]加工記録２!T:T,,0)</f>
        <v/>
      </c>
      <c r="D110" s="62"/>
      <c r="E110" s="63">
        <f>_xlfn.XLOOKUP($B62, [1]加工記録２!$CD:$CD,[1]加工記録２!AA:AA,,0)</f>
        <v>507.84</v>
      </c>
      <c r="F110" s="64"/>
      <c r="G110" s="65" t="str">
        <f>IFERROR(SUM(H110*$D98),"")</f>
        <v/>
      </c>
      <c r="H110" s="66" t="str">
        <f>_xlfn.XLOOKUP($B62,[1]加工記録２!$CD:$CD,[1]加工記録２!BW:BW,,0)</f>
        <v/>
      </c>
      <c r="I110" s="71" t="str">
        <f>_xlfn.LET(_xlpm.val,_xlfn.XLOOKUP($B62,[1]加工記録２!$CD:$CD,[1]加工記録２!AU:AU,""),IF(OR(_xlpm.val="",_xlpm.val=0),"",_xlpm.val))</f>
        <v/>
      </c>
      <c r="J110" s="72" t="str">
        <f>_xlfn.LET(_xlpm.val,_xlfn.XLOOKUP($B62,[1]加工記録２!$CD:$CD,[1]加工記録２!AV:AV,""),IF(OR(_xlpm.val="",_xlpm.val=0),"",_xlpm.val))</f>
        <v/>
      </c>
      <c r="K110" s="57"/>
      <c r="L110" s="57"/>
      <c r="M110" s="57"/>
      <c r="N110" s="57"/>
    </row>
    <row r="111" spans="1:22" s="58" customFormat="1" ht="18.95" customHeight="1">
      <c r="A111" s="60" t="str">
        <f>IFERROR(_xlfn.XLOOKUP($B62&amp;$J96,[1]加工記録２!$CD:$CD&amp;[1]加工記録２!AD:AD,[1]加工記録２!BH:BH,,0),"/")</f>
        <v/>
      </c>
      <c r="B111" s="61" t="str">
        <f>_xlfn.XLOOKUP($B62,[1]加工記録２!$CD:$CD,[1]加工記録２!BP:BP,,0)</f>
        <v/>
      </c>
      <c r="C111" s="61" t="str">
        <f>_xlfn.XLOOKUP($B62,[1]加工記録２!$CD:$CD,[1]加工記録２!U:U,,0)</f>
        <v/>
      </c>
      <c r="D111" s="62"/>
      <c r="E111" s="63" t="str">
        <f>_xlfn.XLOOKUP($B62, [1]加工記録２!$CD:$CD,[1]加工記録２!AB:AB,,0)</f>
        <v/>
      </c>
      <c r="F111" s="64"/>
      <c r="G111" s="65" t="str">
        <f>IFERROR(SUM(H111*$D98),"")</f>
        <v/>
      </c>
      <c r="H111" s="66" t="str">
        <f>_xlfn.XLOOKUP($B62,[1]加工記録２!$CD:$CD,[1]加工記録２!BX:BX,,0)</f>
        <v/>
      </c>
      <c r="I111" s="71" t="str">
        <f>_xlfn.LET(_xlpm.val,_xlfn.XLOOKUP($B62,[1]加工記録２!$CD:$CD,[1]加工記録２!AW:AW,""),IF(OR(_xlpm.val="",_xlpm.val=0),"",_xlpm.val))</f>
        <v/>
      </c>
      <c r="J111" s="72" t="str">
        <f>_xlfn.LET(_xlpm.val,_xlfn.XLOOKUP($B62,[1]加工記録２!$CD:$CD,[1]加工記録２!AX:AX,""),IF(OR(_xlpm.val="",_xlpm.val=0),"",_xlpm.val))</f>
        <v/>
      </c>
      <c r="K111" s="57"/>
      <c r="L111" s="57"/>
      <c r="M111" s="57"/>
      <c r="N111" s="57"/>
    </row>
    <row r="112" spans="1:22" s="58" customFormat="1" ht="18.95" customHeight="1" thickBot="1">
      <c r="A112" s="73" t="str">
        <f>IFERROR(_xlfn.XLOOKUP($B62&amp;$J96,[1]加工記録２!$CD:$CD&amp;[1]加工記録２!AD:AD,[1]加工記録２!BI:BI,,0),"/")</f>
        <v/>
      </c>
      <c r="B112" s="74" t="str">
        <f>_xlfn.XLOOKUP($B62,[1]加工記録２!$CD:$CD,[1]加工記録２!BQ:BQ,,0)</f>
        <v/>
      </c>
      <c r="C112" s="74" t="str">
        <f>_xlfn.XLOOKUP($B62,[1]加工記録２!$CD:$CD,[1]加工記録２!V:V,,0)</f>
        <v/>
      </c>
      <c r="D112" s="75"/>
      <c r="E112" s="76" t="str">
        <f>_xlfn.XLOOKUP($B62, [1]加工記録２!$CD:$CD,[1]加工記録２!AC:AC,,0)</f>
        <v/>
      </c>
      <c r="F112" s="77"/>
      <c r="G112" s="78" t="str">
        <f>IFERROR(SUM(H112*$D98),"")</f>
        <v/>
      </c>
      <c r="H112" s="79" t="str">
        <f>_xlfn.XLOOKUP($B62,[1]加工記録２!$CD:$CD,[1]加工記録２!BY:BY,,0)</f>
        <v/>
      </c>
      <c r="I112" s="80" t="str">
        <f>_xlfn.LET(_xlpm.val,_xlfn.XLOOKUP($B62,[1]加工記録２!$CD:$CD,[1]加工記録２!AY:AY,""),IF(OR(_xlpm.val="",_xlpm.val=0),"",_xlpm.val))</f>
        <v/>
      </c>
      <c r="J112" s="81" t="str">
        <f>_xlfn.LET(_xlpm.val,_xlfn.XLOOKUP($B62,[1]加工記録２!$CD:$CD,[1]加工記録２!AZ:AZ,""),IF(OR(_xlpm.val="",_xlpm.val=0),"",_xlpm.val))</f>
        <v/>
      </c>
      <c r="K112" s="57"/>
      <c r="L112" s="57"/>
      <c r="M112" s="57"/>
      <c r="N112" s="57"/>
    </row>
    <row r="113" spans="1:10" ht="13.5" customHeight="1" thickBo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</row>
    <row r="114" spans="1:10" ht="6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2"/>
      <c r="B115" s="117" t="s">
        <v>0</v>
      </c>
      <c r="C115" s="85"/>
      <c r="D115" s="85"/>
      <c r="E115" s="12"/>
      <c r="F115" s="12"/>
      <c r="G115" s="12"/>
      <c r="H115" s="12"/>
      <c r="I115" s="12"/>
      <c r="J115" s="12"/>
    </row>
    <row r="116" spans="1:10" ht="14.25" customHeight="1">
      <c r="A116" s="13"/>
      <c r="B116" s="85"/>
      <c r="C116" s="85"/>
      <c r="D116" s="85"/>
      <c r="E116" s="13"/>
      <c r="F116" s="13"/>
      <c r="G116" s="13"/>
      <c r="H116" s="13"/>
      <c r="I116" s="13"/>
      <c r="J116" s="13"/>
    </row>
    <row r="117" spans="1:10" ht="14.25" customHeight="1">
      <c r="A117" s="94" t="s">
        <v>1</v>
      </c>
      <c r="B117" s="94" t="s">
        <v>61</v>
      </c>
      <c r="C117" s="94" t="s">
        <v>3</v>
      </c>
      <c r="D117" s="121">
        <v>565</v>
      </c>
      <c r="E117" s="94" t="s">
        <v>4</v>
      </c>
      <c r="F117" s="111" t="s">
        <v>62</v>
      </c>
      <c r="G117" s="85"/>
      <c r="H117" s="110"/>
      <c r="I117" s="14" t="s">
        <v>6</v>
      </c>
      <c r="J117" s="14" t="s">
        <v>7</v>
      </c>
    </row>
    <row r="118" spans="1:10" ht="14.25" customHeight="1">
      <c r="A118" s="85"/>
      <c r="B118" s="85"/>
      <c r="C118" s="85"/>
      <c r="D118" s="85"/>
      <c r="E118" s="85"/>
      <c r="F118" s="85"/>
      <c r="G118" s="85"/>
      <c r="H118" s="110"/>
      <c r="I118" s="82"/>
      <c r="J118" s="82"/>
    </row>
    <row r="119" spans="1:10" ht="17.45" customHeight="1">
      <c r="A119" s="88" t="s">
        <v>8</v>
      </c>
      <c r="B119" s="88" t="s">
        <v>63</v>
      </c>
      <c r="E119" s="88" t="s">
        <v>10</v>
      </c>
      <c r="F119" s="109" t="s">
        <v>11</v>
      </c>
      <c r="G119" s="85"/>
      <c r="H119" s="110"/>
      <c r="I119" s="83"/>
      <c r="J119" s="83"/>
    </row>
    <row r="120" spans="1:10" ht="17.45" customHeight="1">
      <c r="A120" s="85"/>
      <c r="B120" s="85"/>
      <c r="E120" s="85"/>
      <c r="F120" s="85"/>
      <c r="G120" s="85"/>
      <c r="H120" s="110"/>
      <c r="I120" s="16"/>
      <c r="J120" s="16"/>
    </row>
    <row r="121" spans="1:10" ht="17.45" customHeight="1">
      <c r="A121" s="88" t="s">
        <v>12</v>
      </c>
      <c r="B121" s="88" t="s">
        <v>64</v>
      </c>
      <c r="E121" s="2" t="s">
        <v>14</v>
      </c>
      <c r="F121" s="113" t="s">
        <v>15</v>
      </c>
      <c r="G121" s="85"/>
      <c r="H121" s="23"/>
    </row>
    <row r="122" spans="1:10" ht="17.45" customHeight="1">
      <c r="A122" s="85"/>
      <c r="B122" s="85"/>
      <c r="E122" s="2" t="s">
        <v>16</v>
      </c>
      <c r="F122" s="23" t="s">
        <v>17</v>
      </c>
      <c r="G122" s="23"/>
      <c r="H122" s="23"/>
    </row>
    <row r="123" spans="1:10" ht="17.45" customHeight="1">
      <c r="A123" s="2" t="s">
        <v>18</v>
      </c>
      <c r="B123" s="4">
        <v>45818</v>
      </c>
      <c r="E123" s="2" t="s">
        <v>19</v>
      </c>
      <c r="F123" s="90">
        <v>200</v>
      </c>
      <c r="G123" s="85"/>
      <c r="H123" s="23"/>
    </row>
    <row r="124" spans="1:10" ht="17.45" customHeight="1">
      <c r="A124" s="2" t="s">
        <v>20</v>
      </c>
      <c r="B124" s="4">
        <v>45818</v>
      </c>
      <c r="E124" s="2" t="s">
        <v>21</v>
      </c>
      <c r="F124" s="23">
        <v>4</v>
      </c>
      <c r="G124" s="112" t="s">
        <v>22</v>
      </c>
      <c r="H124" s="99">
        <v>800</v>
      </c>
      <c r="I124" s="100"/>
      <c r="J124" s="101"/>
    </row>
    <row r="125" spans="1:10" ht="17.45" customHeight="1">
      <c r="A125" s="21"/>
      <c r="B125" s="22"/>
      <c r="C125" s="22"/>
      <c r="D125" s="22"/>
      <c r="E125" s="2" t="s">
        <v>23</v>
      </c>
      <c r="F125" s="23" t="s">
        <v>24</v>
      </c>
      <c r="G125" s="102"/>
      <c r="H125" s="102"/>
      <c r="I125" s="103"/>
      <c r="J125" s="104"/>
    </row>
    <row r="126" spans="1:10" ht="13.5" customHeight="1">
      <c r="A126" s="105" t="s">
        <v>65</v>
      </c>
      <c r="B126" s="85"/>
      <c r="C126" s="85"/>
      <c r="D126" s="22"/>
      <c r="F126" s="3"/>
      <c r="G126" s="95" t="s">
        <v>26</v>
      </c>
      <c r="H126" s="114" t="s">
        <v>27</v>
      </c>
      <c r="I126" s="122" t="s">
        <v>28</v>
      </c>
      <c r="J126" s="110"/>
    </row>
    <row r="127" spans="1:10" ht="13.5" customHeight="1">
      <c r="A127" s="85"/>
      <c r="B127" s="85"/>
      <c r="C127" s="85"/>
      <c r="D127" s="22"/>
      <c r="F127" s="3"/>
      <c r="G127" s="96"/>
      <c r="H127" s="96"/>
      <c r="I127" s="103"/>
      <c r="J127" s="104"/>
    </row>
    <row r="128" spans="1:10" ht="13.5" customHeight="1">
      <c r="A128" s="1" t="s">
        <v>29</v>
      </c>
    </row>
    <row r="129" spans="1:10" ht="63" customHeight="1">
      <c r="A129" s="119"/>
      <c r="B129" s="120"/>
      <c r="C129" s="120"/>
      <c r="D129" s="120"/>
      <c r="E129" s="120"/>
      <c r="F129" s="120"/>
      <c r="G129" s="120"/>
      <c r="H129" s="120"/>
      <c r="I129" s="120"/>
      <c r="J129" s="120"/>
    </row>
    <row r="130" spans="1:10" ht="18.75">
      <c r="A130" s="25" t="s">
        <v>30</v>
      </c>
      <c r="B130" s="18" t="s">
        <v>31</v>
      </c>
      <c r="C130" s="106" t="s">
        <v>32</v>
      </c>
      <c r="D130" s="107"/>
      <c r="E130" s="18" t="s">
        <v>33</v>
      </c>
      <c r="F130" s="106" t="s">
        <v>34</v>
      </c>
      <c r="G130" s="107"/>
      <c r="H130" s="107"/>
      <c r="I130" s="118" t="s">
        <v>35</v>
      </c>
      <c r="J130" s="107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4">
        <v>1</v>
      </c>
      <c r="B132" s="27" t="s">
        <v>36</v>
      </c>
      <c r="C132" s="84" t="s">
        <v>37</v>
      </c>
      <c r="D132" s="85"/>
      <c r="E132" s="27" t="s">
        <v>38</v>
      </c>
      <c r="F132" s="84" t="s">
        <v>39</v>
      </c>
      <c r="G132" s="85"/>
      <c r="H132" s="85"/>
      <c r="I132" s="93"/>
      <c r="J132" s="85"/>
    </row>
    <row r="133" spans="1:10" ht="16.5" customHeight="1">
      <c r="A133" s="24">
        <v>1</v>
      </c>
      <c r="B133" s="28" t="s">
        <v>36</v>
      </c>
      <c r="C133" s="84" t="s">
        <v>37</v>
      </c>
      <c r="D133" s="85"/>
      <c r="E133" s="27" t="s">
        <v>40</v>
      </c>
      <c r="F133" s="84" t="s">
        <v>41</v>
      </c>
      <c r="G133" s="85"/>
      <c r="H133" s="85"/>
      <c r="I133" s="93"/>
      <c r="J133" s="85"/>
    </row>
    <row r="134" spans="1:10" ht="16.5" customHeight="1">
      <c r="A134" s="24"/>
      <c r="B134" s="28"/>
      <c r="C134" s="84"/>
      <c r="D134" s="85"/>
      <c r="E134" s="27"/>
      <c r="F134" s="84"/>
      <c r="G134" s="85"/>
      <c r="H134" s="85"/>
      <c r="I134" s="93"/>
      <c r="J134" s="85"/>
    </row>
    <row r="135" spans="1:10" ht="16.5" customHeight="1">
      <c r="A135" s="24"/>
      <c r="B135" s="28"/>
      <c r="C135" s="84"/>
      <c r="D135" s="85"/>
      <c r="E135" s="27"/>
      <c r="F135" s="84"/>
      <c r="G135" s="85"/>
      <c r="H135" s="85"/>
      <c r="I135" s="93"/>
      <c r="J135" s="85"/>
    </row>
    <row r="136" spans="1:10" ht="16.5" customHeight="1">
      <c r="A136" s="24"/>
      <c r="B136" s="28"/>
      <c r="C136" s="84"/>
      <c r="D136" s="85"/>
      <c r="E136" s="27"/>
      <c r="F136" s="84"/>
      <c r="G136" s="85"/>
      <c r="H136" s="85"/>
      <c r="I136" s="93"/>
      <c r="J136" s="85"/>
    </row>
    <row r="137" spans="1:10" ht="16.5" customHeight="1">
      <c r="A137" s="24"/>
      <c r="B137" s="28"/>
      <c r="C137" s="84"/>
      <c r="D137" s="85"/>
      <c r="E137" s="27"/>
      <c r="F137" s="84"/>
      <c r="G137" s="85"/>
      <c r="H137" s="85"/>
      <c r="I137" s="93"/>
      <c r="J137" s="85"/>
    </row>
    <row r="138" spans="1:10" ht="16.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</row>
    <row r="139" spans="1:10" ht="18.75">
      <c r="A139" s="86" t="s">
        <v>42</v>
      </c>
      <c r="B139" s="87"/>
      <c r="C139" s="86" t="s">
        <v>43</v>
      </c>
      <c r="D139" s="87"/>
      <c r="E139" s="87"/>
      <c r="F139" s="19" t="s">
        <v>44</v>
      </c>
      <c r="G139" s="86" t="s">
        <v>45</v>
      </c>
      <c r="H139" s="87"/>
      <c r="I139" s="86" t="s">
        <v>46</v>
      </c>
      <c r="J139" s="87"/>
    </row>
    <row r="140" spans="1:10" ht="14.25" customHeight="1">
      <c r="A140" s="8"/>
      <c r="B140" s="20"/>
      <c r="C140" s="108" t="s">
        <v>47</v>
      </c>
      <c r="D140" s="103"/>
      <c r="E140" s="20"/>
      <c r="F140" s="108" t="s">
        <v>29</v>
      </c>
      <c r="G140" s="103"/>
      <c r="H140" s="103"/>
      <c r="I140" s="103"/>
      <c r="J140" s="103"/>
    </row>
    <row r="141" spans="1:10">
      <c r="A141" s="9"/>
      <c r="C141" s="7"/>
      <c r="D141" s="7"/>
      <c r="E141" s="7"/>
    </row>
    <row r="142" spans="1:10" ht="14.25" customHeight="1">
      <c r="A142" s="84" t="s">
        <v>48</v>
      </c>
      <c r="B142" s="85"/>
      <c r="C142" s="84" t="s">
        <v>49</v>
      </c>
      <c r="D142" s="85"/>
      <c r="E142" s="85"/>
      <c r="F142" s="29" t="s">
        <v>27</v>
      </c>
      <c r="G142" s="97">
        <v>400</v>
      </c>
      <c r="H142" s="85"/>
      <c r="I142" s="97">
        <v>2</v>
      </c>
      <c r="J142" s="85"/>
    </row>
    <row r="143" spans="1:10" ht="24.95" customHeight="1">
      <c r="A143" s="89" t="s">
        <v>50</v>
      </c>
      <c r="B143" s="85"/>
      <c r="C143" s="84" t="s">
        <v>11</v>
      </c>
      <c r="D143" s="85"/>
      <c r="E143" s="85"/>
      <c r="F143" s="84"/>
      <c r="G143" s="85"/>
      <c r="H143" s="85"/>
      <c r="I143" s="85"/>
      <c r="J143" s="85"/>
    </row>
    <row r="144" spans="1:10" ht="14.25" customHeight="1">
      <c r="A144" s="84" t="s">
        <v>58</v>
      </c>
      <c r="B144" s="85"/>
      <c r="C144" s="84" t="s">
        <v>59</v>
      </c>
      <c r="D144" s="85"/>
      <c r="E144" s="85"/>
      <c r="F144" s="29" t="s">
        <v>27</v>
      </c>
      <c r="G144" s="97">
        <v>4</v>
      </c>
      <c r="H144" s="85"/>
      <c r="I144" s="97">
        <v>0.02</v>
      </c>
      <c r="J144" s="85"/>
    </row>
    <row r="145" spans="1:11" ht="24.95" customHeight="1">
      <c r="A145" s="89" t="s">
        <v>60</v>
      </c>
      <c r="B145" s="85"/>
      <c r="C145" s="84"/>
      <c r="D145" s="85"/>
      <c r="E145" s="85"/>
      <c r="F145" s="84"/>
      <c r="G145" s="85"/>
      <c r="H145" s="85"/>
      <c r="I145" s="85"/>
      <c r="J145" s="85"/>
    </row>
    <row r="146" spans="1:11" ht="14.25" customHeight="1">
      <c r="A146" s="84"/>
      <c r="B146" s="85"/>
      <c r="C146" s="84"/>
      <c r="D146" s="85"/>
      <c r="E146" s="85"/>
      <c r="F146" s="29"/>
      <c r="G146" s="97"/>
      <c r="H146" s="85"/>
      <c r="I146" s="97"/>
      <c r="J146" s="85"/>
    </row>
    <row r="147" spans="1:11" ht="24.95" customHeight="1">
      <c r="A147" s="89"/>
      <c r="B147" s="85"/>
      <c r="C147" s="84"/>
      <c r="D147" s="85"/>
      <c r="E147" s="85"/>
      <c r="F147" s="84"/>
      <c r="G147" s="85"/>
      <c r="H147" s="85"/>
      <c r="I147" s="85"/>
      <c r="J147" s="85"/>
    </row>
    <row r="148" spans="1:11" ht="14.25" customHeight="1">
      <c r="A148" s="84"/>
      <c r="B148" s="85"/>
      <c r="C148" s="84"/>
      <c r="D148" s="85"/>
      <c r="E148" s="85"/>
      <c r="F148" s="29"/>
      <c r="G148" s="97"/>
      <c r="H148" s="85"/>
      <c r="I148" s="97"/>
      <c r="J148" s="85"/>
    </row>
    <row r="149" spans="1:11" ht="24.95" customHeight="1">
      <c r="A149" s="89"/>
      <c r="B149" s="85"/>
      <c r="C149" s="84"/>
      <c r="D149" s="85"/>
      <c r="E149" s="85"/>
      <c r="F149" s="84"/>
      <c r="G149" s="85"/>
      <c r="H149" s="85"/>
      <c r="I149" s="85"/>
      <c r="J149" s="85"/>
    </row>
    <row r="150" spans="1:11" ht="14.25" customHeight="1">
      <c r="A150" s="84"/>
      <c r="B150" s="85"/>
      <c r="C150" s="84"/>
      <c r="D150" s="85"/>
      <c r="E150" s="85"/>
      <c r="F150" s="29"/>
      <c r="G150" s="97"/>
      <c r="H150" s="85"/>
      <c r="I150" s="97"/>
      <c r="J150" s="85"/>
    </row>
    <row r="151" spans="1:11" ht="24.95" customHeight="1">
      <c r="A151" s="89"/>
      <c r="B151" s="85"/>
      <c r="C151" s="84"/>
      <c r="D151" s="85"/>
      <c r="E151" s="85"/>
      <c r="F151" s="84"/>
      <c r="G151" s="85"/>
      <c r="H151" s="85"/>
      <c r="I151" s="85"/>
      <c r="J151" s="85"/>
    </row>
    <row r="152" spans="1:11" s="5" customFormat="1" ht="18" customHeight="1">
      <c r="A152" s="136" t="s">
        <v>93</v>
      </c>
      <c r="B152" s="137"/>
      <c r="C152" s="137"/>
      <c r="D152" s="137"/>
      <c r="E152" s="30" t="s">
        <v>94</v>
      </c>
      <c r="F152" s="31"/>
      <c r="G152" s="115" t="s">
        <v>95</v>
      </c>
      <c r="H152" s="116"/>
      <c r="I152" s="32" t="s">
        <v>96</v>
      </c>
      <c r="J152" s="33" t="s">
        <v>97</v>
      </c>
    </row>
    <row r="153" spans="1:11" s="7" customFormat="1" ht="18" customHeight="1">
      <c r="A153" s="138" t="str">
        <f>F117</f>
        <v>001EGAW 565</v>
      </c>
      <c r="B153" s="139"/>
      <c r="C153" s="139"/>
      <c r="D153" s="139"/>
      <c r="E153" s="142" t="str">
        <f>IFERROR(IF(OR(J153="", F123="", F123=0, J153/F123=0), C144&amp;" 　 "&amp;""&amp;"      枚", C144&amp;" 　 "&amp;J153/F123&amp;"      枚"), C144&amp;" 　 "&amp;""&amp;"      枚")</f>
        <v>S-30 　 4      枚</v>
      </c>
      <c r="F153" s="143"/>
      <c r="G153" s="34" t="s">
        <v>98</v>
      </c>
      <c r="H153" s="35">
        <f>_xlfn.XLOOKUP($B119, [1]加工記録２!$CD:$CD,[1]加工記録２!AH:AH)</f>
        <v>0</v>
      </c>
      <c r="I153" s="144">
        <f>MAX(I165:I169)</f>
        <v>45812</v>
      </c>
      <c r="J153" s="133">
        <f>_xlfn.XLOOKUP($B119, [1]加工記録２!$CD:$CD,[1]加工記録２!AD:AD,,0)</f>
        <v>800</v>
      </c>
    </row>
    <row r="154" spans="1:11" s="5" customFormat="1" ht="18" customHeight="1">
      <c r="A154" s="140"/>
      <c r="B154" s="141"/>
      <c r="C154" s="141"/>
      <c r="D154" s="141"/>
      <c r="E154" s="146" t="s">
        <v>99</v>
      </c>
      <c r="F154" s="146"/>
      <c r="G154" s="34" t="s">
        <v>100</v>
      </c>
      <c r="H154" s="35">
        <f>_xlfn.XLOOKUP($B119, [1]加工記録２!$CD:$CD,[1]加工記録２!AI:AI,,0)</f>
        <v>0</v>
      </c>
      <c r="I154" s="145"/>
      <c r="J154" s="133"/>
      <c r="K154" s="36"/>
    </row>
    <row r="155" spans="1:11" s="7" customFormat="1" ht="18" customHeight="1">
      <c r="A155" s="147" t="s">
        <v>101</v>
      </c>
      <c r="B155" s="123" t="str">
        <f>_xlfn.XLOOKUP(A126,[1]!テーブル5[品目コード],[1]!テーブル5[温度換算],,2)</f>
        <v>-</v>
      </c>
      <c r="C155" s="125" t="s">
        <v>102</v>
      </c>
      <c r="D155" s="127">
        <f>_xlfn.XLOOKUP(A126,[1]!テーブル5[品目コード],[1]!テーブル5[取数],,2)</f>
        <v>2</v>
      </c>
      <c r="E155" s="129" t="s">
        <v>103</v>
      </c>
      <c r="F155" s="129"/>
      <c r="G155" s="34" t="s">
        <v>104</v>
      </c>
      <c r="H155" s="35">
        <f>_xlfn.XLOOKUP($B119, [1]加工記録２!$CD:$CD,[1]加工記録２!AJ:AJ,,0)</f>
        <v>0</v>
      </c>
      <c r="I155" s="32" t="s">
        <v>105</v>
      </c>
      <c r="J155" s="32" t="s">
        <v>106</v>
      </c>
      <c r="K155" s="37"/>
    </row>
    <row r="156" spans="1:11" s="5" customFormat="1" ht="18" customHeight="1">
      <c r="A156" s="147"/>
      <c r="B156" s="124"/>
      <c r="C156" s="126"/>
      <c r="D156" s="128"/>
      <c r="E156" s="130">
        <f>_xlfn.XLOOKUP(A126,[1]!テーブル5[品目コード],[1]!テーブル5[備考１],,2)</f>
        <v>0</v>
      </c>
      <c r="F156" s="130"/>
      <c r="G156" s="34" t="s">
        <v>107</v>
      </c>
      <c r="H156" s="35">
        <f>_xlfn.XLOOKUP($B119, [1]加工記録２!$CD:$CD,[1]加工記録２!AK:AK,,0)</f>
        <v>0</v>
      </c>
      <c r="I156" s="131" t="str">
        <f>_xlfn.XLOOKUP($B119, [1]加工記録２!$CD:$CD,[1]加工記録２!CA:CA,,0)</f>
        <v>水野</v>
      </c>
      <c r="J156" s="131" t="str">
        <f>_xlfn.XLOOKUP($B119, [1]加工記録２!$CD:$CD,[1]加工記録２!CB:CB,,0)</f>
        <v>-</v>
      </c>
      <c r="K156" s="36"/>
    </row>
    <row r="157" spans="1:11" s="7" customFormat="1" ht="18" customHeight="1">
      <c r="A157" s="148" t="s">
        <v>108</v>
      </c>
      <c r="B157" s="149">
        <f>D117</f>
        <v>565</v>
      </c>
      <c r="C157" s="151" t="s">
        <v>109</v>
      </c>
      <c r="D157" s="153" t="str">
        <f>_xlfn.XLOOKUP(A126,[1]!テーブル5[品目コード],[1]!テーブル5[上限公差],,2)</f>
        <v>+0.5</v>
      </c>
      <c r="E157" s="130" t="str">
        <f>_xlfn.XLOOKUP(A126,[1]!テーブル5[品目コード],[1]!テーブル5[備考２],,2)</f>
        <v>※使用基材、取数は依頼書にて確認</v>
      </c>
      <c r="F157" s="130"/>
      <c r="G157" s="34" t="s">
        <v>110</v>
      </c>
      <c r="H157" s="35">
        <f>_xlfn.XLOOKUP($B119, [1]加工記録２!$CD:$CD,[1]加工記録２!AL:AL,,0)</f>
        <v>0</v>
      </c>
      <c r="I157" s="132"/>
      <c r="J157" s="132"/>
      <c r="K157" s="37"/>
    </row>
    <row r="158" spans="1:11" s="5" customFormat="1" ht="18" customHeight="1">
      <c r="A158" s="148"/>
      <c r="B158" s="150"/>
      <c r="C158" s="152"/>
      <c r="D158" s="154"/>
      <c r="E158" s="155" t="s">
        <v>111</v>
      </c>
      <c r="F158" s="155"/>
      <c r="G158" s="34" t="s">
        <v>112</v>
      </c>
      <c r="H158" s="35">
        <f>_xlfn.XLOOKUP($B119, [1]加工記録２!$CD:$CD,[1]加工記録２!AM:AM,,0)</f>
        <v>0</v>
      </c>
      <c r="I158" s="38" t="s">
        <v>113</v>
      </c>
      <c r="J158" s="38" t="s">
        <v>114</v>
      </c>
      <c r="K158" s="36"/>
    </row>
    <row r="159" spans="1:11" s="7" customFormat="1" ht="18" customHeight="1">
      <c r="A159" s="147" t="s">
        <v>115</v>
      </c>
      <c r="B159" s="157">
        <v>565</v>
      </c>
      <c r="C159" s="159" t="s">
        <v>116</v>
      </c>
      <c r="D159" s="153">
        <f>_xlfn.XLOOKUP(A126,[1]!テーブル5[品目コード],[1]!テーブル5[下限公差],,2)</f>
        <v>-0.5</v>
      </c>
      <c r="E159" s="162" t="str">
        <f>_xlfn.XLOOKUP(A126,[1]!テーブル5[品目コード],[1]!テーブル5[梱包方法],,2)</f>
        <v>ラベル２枚　長手有　鉢巻無</v>
      </c>
      <c r="F159" s="162"/>
      <c r="G159" s="34" t="s">
        <v>117</v>
      </c>
      <c r="H159" s="35">
        <f>_xlfn.XLOOKUP($B119, [1]加工記録２!$CD:$CD,[1]加工記録２!AN:AN,,0)</f>
        <v>0</v>
      </c>
      <c r="I159" s="133">
        <f>_xlfn.XLOOKUP($B119, [1]加工記録２!$CD:$CD,[1]加工記録２!AF:AF,,0)</f>
        <v>0</v>
      </c>
      <c r="J159" s="133">
        <f>_xlfn.XLOOKUP($B119, [1]加工記録２!$CD:$CD,[1]加工記録２!AE:AE,,0)</f>
        <v>0</v>
      </c>
      <c r="K159" s="37"/>
    </row>
    <row r="160" spans="1:11" s="5" customFormat="1" ht="18" customHeight="1" thickBot="1">
      <c r="A160" s="156"/>
      <c r="B160" s="158"/>
      <c r="C160" s="160"/>
      <c r="D160" s="161"/>
      <c r="E160" s="134"/>
      <c r="F160" s="134"/>
      <c r="G160" s="39" t="s">
        <v>118</v>
      </c>
      <c r="H160" s="40">
        <f>SUM(H153:H159)</f>
        <v>0</v>
      </c>
      <c r="I160" s="133"/>
      <c r="J160" s="133"/>
    </row>
    <row r="161" spans="1:22" s="49" customFormat="1" ht="18.95" customHeight="1">
      <c r="A161" s="41" t="s">
        <v>119</v>
      </c>
      <c r="B161" s="42" t="s">
        <v>120</v>
      </c>
      <c r="C161" s="43" t="s">
        <v>121</v>
      </c>
      <c r="D161" s="43" t="s">
        <v>122</v>
      </c>
      <c r="E161" s="44" t="s">
        <v>123</v>
      </c>
      <c r="F161" s="45" t="s">
        <v>124</v>
      </c>
      <c r="G161" s="44" t="s">
        <v>125</v>
      </c>
      <c r="H161" s="46" t="s">
        <v>126</v>
      </c>
      <c r="I161" s="47" t="s">
        <v>127</v>
      </c>
      <c r="J161" s="38" t="s">
        <v>128</v>
      </c>
      <c r="K161" s="48"/>
      <c r="L161" s="48"/>
      <c r="M161" s="48"/>
      <c r="N161" s="48"/>
    </row>
    <row r="162" spans="1:22" s="58" customFormat="1" ht="18.95" customHeight="1">
      <c r="A162" s="50" t="str">
        <f>IFERROR(_xlfn.XLOOKUP($B119&amp;$J153,[1]加工記録２!B:B&amp;[1]加工記録２!AD:AD,[1]加工記録２!BB:BB,,0),"/")</f>
        <v>/</v>
      </c>
      <c r="B162" s="51" t="str">
        <f>_xlfn.XLOOKUP($B119,[1]加工記録２!$CD:$CD,[1]加工記録２!BJ:BJ,,0)</f>
        <v/>
      </c>
      <c r="C162" s="52"/>
      <c r="D162" s="53"/>
      <c r="E162" s="52"/>
      <c r="F162" s="54" t="s">
        <v>129</v>
      </c>
      <c r="G162" s="55" t="str">
        <f>IFERROR(SUM(H162*$D155),"")</f>
        <v/>
      </c>
      <c r="H162" s="56" t="str">
        <f>_xlfn.XLOOKUP($B119,[1]加工記録２!$CD:$CD,[1]加工記録２!BR:BR,,0)</f>
        <v/>
      </c>
      <c r="I162" s="135">
        <f>_xlfn.XLOOKUP($B119, [1]加工記録２!$CD:$CD,[1]加工記録２!AO:AO,,0)</f>
        <v>0</v>
      </c>
      <c r="J162" s="133">
        <f>_xlfn.XLOOKUP($B119, [1]加工記録２!$CD:$CD,[1]加工記録２!AG:AG,,0)</f>
        <v>400</v>
      </c>
      <c r="K162" s="57"/>
      <c r="L162" s="57"/>
      <c r="M162" s="57"/>
      <c r="N162" s="57"/>
      <c r="V162" s="59"/>
    </row>
    <row r="163" spans="1:22" s="58" customFormat="1" ht="18.95" customHeight="1" thickBot="1">
      <c r="A163" s="60">
        <f>IFERROR(_xlfn.XLOOKUP($B119&amp;$J153,[1]加工記録２!$CD:$CD&amp;[1]加工記録２!AD:AD,[1]加工記録２!BC:BC,,0),"/")</f>
        <v>45812</v>
      </c>
      <c r="B163" s="61" t="str">
        <f>_xlfn.XLOOKUP($B119,[1]加工記録２!$CD:$CD,[1]加工記録２!BK:BK,,0)</f>
        <v>25E23C</v>
      </c>
      <c r="C163" s="61">
        <f>_xlfn.XLOOKUP($B119,[1]加工記録２!$CD:$CD,[1]加工記録２!P:P,,0)</f>
        <v>24</v>
      </c>
      <c r="D163" s="62">
        <v>565</v>
      </c>
      <c r="E163" s="63">
        <f>_xlfn.XLOOKUP($B119, [1]加工記録２!$CD:$CD,[1]加工記録２!W:W,,0)</f>
        <v>565.16999999999996</v>
      </c>
      <c r="F163" s="64"/>
      <c r="G163" s="65">
        <f>IFERROR(SUM(H163*$D155),"")</f>
        <v>800</v>
      </c>
      <c r="H163" s="66">
        <f>_xlfn.XLOOKUP($B119,[1]加工記録２!$CD:$CD,[1]加工記録２!BS:BS,,0)</f>
        <v>400</v>
      </c>
      <c r="I163" s="135"/>
      <c r="J163" s="133"/>
      <c r="K163" s="57"/>
      <c r="L163" s="57"/>
      <c r="M163" s="57"/>
      <c r="N163" s="57"/>
    </row>
    <row r="164" spans="1:22" s="58" customFormat="1" ht="18.95" customHeight="1" thickBot="1">
      <c r="A164" s="60">
        <f>IFERROR(_xlfn.XLOOKUP($B119&amp;$J153,[1]加工記録２!$CD:$CD&amp;[1]加工記録２!AD:AD,[1]加工記録２!BD:BD,,0),"/")</f>
        <v>45812</v>
      </c>
      <c r="B164" s="61" t="str">
        <f>_xlfn.XLOOKUP($B119,[1]加工記録２!CD:CD,[1]加工記録２!BL:BL,,0)</f>
        <v>25E23C</v>
      </c>
      <c r="C164" s="61">
        <f>_xlfn.XLOOKUP($B119,[1]加工記録２!$CD:$CD,[1]加工記録２!Q:Q,,0)</f>
        <v>24</v>
      </c>
      <c r="D164" s="62" t="str">
        <f>IFERROR(_xlfn.XLOOKUP(IF(_xlfn.XLOOKUP($B119,[1]加工記録２!$CD:$CD,[1]加工記録２!C:C,,0)="","",_xlfn.XLOOKUP($B119,[1]加工記録２!$CD:$CD,[1]加工記録２!C:C,,0))&amp;C164,[1]温度換算!A:A,[1]温度換算!C:C),"")</f>
        <v/>
      </c>
      <c r="E164" s="63">
        <f>_xlfn.XLOOKUP($B119, [1]加工記録２!$CD:$CD,[1]加工記録２!X:X,,0)</f>
        <v>565.42999999999995</v>
      </c>
      <c r="F164" s="64"/>
      <c r="G164" s="65" t="str">
        <f>IFERROR(SUM(H164*$D155),"")</f>
        <v/>
      </c>
      <c r="H164" s="66" t="str">
        <f>_xlfn.XLOOKUP($B119,[1]加工記録２!$CD:$CD,[1]加工記録２!BT:BT,,0)</f>
        <v/>
      </c>
      <c r="I164" s="67" t="s">
        <v>130</v>
      </c>
      <c r="J164" s="68" t="s">
        <v>131</v>
      </c>
      <c r="K164" s="57"/>
      <c r="L164" s="57"/>
      <c r="M164" s="57"/>
      <c r="N164" s="57"/>
    </row>
    <row r="165" spans="1:22" s="58" customFormat="1" ht="18.95" customHeight="1">
      <c r="A165" s="60" t="str">
        <f>IFERROR(_xlfn.XLOOKUP($B119&amp;$J153,[1]加工記録２!$CD:$CD&amp;[1]加工記録２!AD:AD,[1]加工記録２!BE:BE,,0),"/")</f>
        <v/>
      </c>
      <c r="B165" s="61" t="str">
        <f>_xlfn.XLOOKUP($B119,[1]加工記録２!$CD:$CD,[1]加工記録２!BM:BM,,0)</f>
        <v/>
      </c>
      <c r="C165" s="61" t="str">
        <f>_xlfn.XLOOKUP($B119,[1]加工記録２!$CD:$CD,[1]加工記録２!R:R,,0)</f>
        <v/>
      </c>
      <c r="D165" s="62"/>
      <c r="E165" s="63" t="str">
        <f>_xlfn.XLOOKUP($B119, [1]加工記録２!$CD:$CD,[1]加工記録２!Y:Y,,0)</f>
        <v/>
      </c>
      <c r="F165" s="64"/>
      <c r="G165" s="65" t="str">
        <f>IFERROR(SUM(H165*$D155),"")</f>
        <v/>
      </c>
      <c r="H165" s="66" t="str">
        <f>_xlfn.XLOOKUP($B119,[1]加工記録２!$CD:$CD,[1]加工記録２!BU:BU,,0)</f>
        <v/>
      </c>
      <c r="I165" s="69">
        <f>_xlfn.LET(_xlpm.val,_xlfn.XLOOKUP($B119,[1]加工記録２!$CD:$CD,[1]加工記録２!AQ:AQ,""),IF(OR(_xlpm.val="",_xlpm.val=0),"",_xlpm.val))</f>
        <v>45812</v>
      </c>
      <c r="J165" s="70">
        <f>_xlfn.LET(_xlpm.val,_xlfn.XLOOKUP($B119,[1]加工記録２!$CD:$CD,[1]加工記録２!AR:AR,""),IF(OR(_xlpm.val="",_xlpm.val=0),"",_xlpm.val))</f>
        <v>4</v>
      </c>
      <c r="K165" s="57"/>
      <c r="L165" s="57"/>
      <c r="M165" s="57"/>
      <c r="N165" s="57"/>
    </row>
    <row r="166" spans="1:22" s="58" customFormat="1" ht="18.95" customHeight="1">
      <c r="A166" s="60" t="str">
        <f>IFERROR(_xlfn.XLOOKUP($B119&amp;$J153,[1]加工記録２!$CD:$CD&amp;[1]加工記録２!AD:AD,[1]加工記録２!BF:BF,,0),"/")</f>
        <v/>
      </c>
      <c r="B166" s="61" t="str">
        <f>_xlfn.XLOOKUP($B119,[1]加工記録２!$CD:$CD,[1]加工記録２!BN:BN,,0)</f>
        <v/>
      </c>
      <c r="C166" s="61" t="str">
        <f>_xlfn.XLOOKUP($B119,[1]加工記録２!$CD:$CD,[1]加工記録２!S:S,,0)</f>
        <v/>
      </c>
      <c r="D166" s="62"/>
      <c r="E166" s="63" t="str">
        <f>_xlfn.XLOOKUP($B119, [1]加工記録２!$CD:$CD,[1]加工記録２!Z:Z,,0)</f>
        <v/>
      </c>
      <c r="F166" s="64"/>
      <c r="G166" s="65" t="str">
        <f>IFERROR(SUM(H166*$D155),"")</f>
        <v/>
      </c>
      <c r="H166" s="66" t="str">
        <f>_xlfn.XLOOKUP($B119,[1]加工記録２!$CD:$CD,[1]加工記録２!BV:BV,,0)</f>
        <v/>
      </c>
      <c r="I166" s="71" t="str">
        <f>_xlfn.LET(_xlpm.val,_xlfn.XLOOKUP($B119,[1]加工記録２!$CD:$CD,[1]加工記録２!AS:AS,""),IF(OR(_xlpm.val="",_xlpm.val=0),"",_xlpm.val))</f>
        <v/>
      </c>
      <c r="J166" s="72" t="str">
        <f>_xlfn.LET(_xlpm.val,_xlfn.XLOOKUP($B119,[1]加工記録２!$CD:$CD,[1]加工記録２!AT:AT,""),IF(OR(_xlpm.val="",_xlpm.val=0),"",_xlpm.val))</f>
        <v/>
      </c>
      <c r="K166" s="57"/>
      <c r="L166" s="57"/>
      <c r="M166" s="57"/>
      <c r="N166" s="57"/>
    </row>
    <row r="167" spans="1:22" s="58" customFormat="1" ht="18.95" customHeight="1">
      <c r="A167" s="60" t="str">
        <f>IFERROR(_xlfn.XLOOKUP($B119&amp;$J153,[1]加工記録２!$CD:$CD&amp;[1]加工記録２!AD:AD,[1]加工記録２!BG:BG,,0),"/")</f>
        <v/>
      </c>
      <c r="B167" s="61" t="str">
        <f>_xlfn.XLOOKUP($B119,[1]加工記録２!$CD:$CD,[1]加工記録２!BO:BO,,0)</f>
        <v/>
      </c>
      <c r="C167" s="61" t="str">
        <f>_xlfn.XLOOKUP($B119,[1]加工記録２!$CD:$CD,[1]加工記録２!T:T,,0)</f>
        <v/>
      </c>
      <c r="D167" s="62"/>
      <c r="E167" s="63" t="str">
        <f>_xlfn.XLOOKUP($B119, [1]加工記録２!$CD:$CD,[1]加工記録２!AA:AA,,0)</f>
        <v/>
      </c>
      <c r="F167" s="64"/>
      <c r="G167" s="65" t="str">
        <f>IFERROR(SUM(H167*$D155),"")</f>
        <v/>
      </c>
      <c r="H167" s="66" t="str">
        <f>_xlfn.XLOOKUP($B119,[1]加工記録２!$CD:$CD,[1]加工記録２!BW:BW,,0)</f>
        <v/>
      </c>
      <c r="I167" s="71" t="str">
        <f>_xlfn.LET(_xlpm.val,_xlfn.XLOOKUP($B119,[1]加工記録２!$CD:$CD,[1]加工記録２!AU:AU,""),IF(OR(_xlpm.val="",_xlpm.val=0),"",_xlpm.val))</f>
        <v/>
      </c>
      <c r="J167" s="72" t="str">
        <f>_xlfn.LET(_xlpm.val,_xlfn.XLOOKUP($B119,[1]加工記録２!$CD:$CD,[1]加工記録２!AV:AV,""),IF(OR(_xlpm.val="",_xlpm.val=0),"",_xlpm.val))</f>
        <v/>
      </c>
      <c r="K167" s="57"/>
      <c r="L167" s="57"/>
      <c r="M167" s="57"/>
      <c r="N167" s="57"/>
    </row>
    <row r="168" spans="1:22" s="58" customFormat="1" ht="18.95" customHeight="1">
      <c r="A168" s="60" t="str">
        <f>IFERROR(_xlfn.XLOOKUP($B119&amp;$J153,[1]加工記録２!$CD:$CD&amp;[1]加工記録２!AD:AD,[1]加工記録２!BH:BH,,0),"/")</f>
        <v/>
      </c>
      <c r="B168" s="61" t="str">
        <f>_xlfn.XLOOKUP($B119,[1]加工記録２!$CD:$CD,[1]加工記録２!BP:BP,,0)</f>
        <v/>
      </c>
      <c r="C168" s="61" t="str">
        <f>_xlfn.XLOOKUP($B119,[1]加工記録２!$CD:$CD,[1]加工記録２!U:U,,0)</f>
        <v/>
      </c>
      <c r="D168" s="62"/>
      <c r="E168" s="63" t="str">
        <f>_xlfn.XLOOKUP($B119, [1]加工記録２!$CD:$CD,[1]加工記録２!AB:AB,,0)</f>
        <v/>
      </c>
      <c r="F168" s="64"/>
      <c r="G168" s="65" t="str">
        <f>IFERROR(SUM(H168*$D155),"")</f>
        <v/>
      </c>
      <c r="H168" s="66" t="str">
        <f>_xlfn.XLOOKUP($B119,[1]加工記録２!$CD:$CD,[1]加工記録２!BX:BX,,0)</f>
        <v/>
      </c>
      <c r="I168" s="71" t="str">
        <f>_xlfn.LET(_xlpm.val,_xlfn.XLOOKUP($B119,[1]加工記録２!$CD:$CD,[1]加工記録２!AW:AW,""),IF(OR(_xlpm.val="",_xlpm.val=0),"",_xlpm.val))</f>
        <v/>
      </c>
      <c r="J168" s="72" t="str">
        <f>_xlfn.LET(_xlpm.val,_xlfn.XLOOKUP($B119,[1]加工記録２!$CD:$CD,[1]加工記録２!AX:AX,""),IF(OR(_xlpm.val="",_xlpm.val=0),"",_xlpm.val))</f>
        <v/>
      </c>
      <c r="K168" s="57"/>
      <c r="L168" s="57"/>
      <c r="M168" s="57"/>
      <c r="N168" s="57"/>
    </row>
    <row r="169" spans="1:22" s="58" customFormat="1" ht="18.95" customHeight="1" thickBot="1">
      <c r="A169" s="73" t="str">
        <f>IFERROR(_xlfn.XLOOKUP($B119&amp;$J153,[1]加工記録２!$CD:$CD&amp;[1]加工記録２!AD:AD,[1]加工記録２!BI:BI,,0),"/")</f>
        <v/>
      </c>
      <c r="B169" s="74" t="str">
        <f>_xlfn.XLOOKUP($B119,[1]加工記録２!$CD:$CD,[1]加工記録２!BQ:BQ,,0)</f>
        <v/>
      </c>
      <c r="C169" s="74" t="str">
        <f>_xlfn.XLOOKUP($B119,[1]加工記録２!$CD:$CD,[1]加工記録２!V:V,,0)</f>
        <v/>
      </c>
      <c r="D169" s="75"/>
      <c r="E169" s="76" t="str">
        <f>_xlfn.XLOOKUP($B119, [1]加工記録２!$CD:$CD,[1]加工記録２!AC:AC,,0)</f>
        <v/>
      </c>
      <c r="F169" s="77"/>
      <c r="G169" s="78" t="str">
        <f>IFERROR(SUM(H169*$D155),"")</f>
        <v/>
      </c>
      <c r="H169" s="79" t="str">
        <f>_xlfn.XLOOKUP($B119,[1]加工記録２!$CD:$CD,[1]加工記録２!BY:BY,,0)</f>
        <v/>
      </c>
      <c r="I169" s="80" t="str">
        <f>_xlfn.LET(_xlpm.val,_xlfn.XLOOKUP($B119,[1]加工記録２!$CD:$CD,[1]加工記録２!AY:AY,""),IF(OR(_xlpm.val="",_xlpm.val=0),"",_xlpm.val))</f>
        <v/>
      </c>
      <c r="J169" s="81" t="str">
        <f>_xlfn.LET(_xlpm.val,_xlfn.XLOOKUP($B119,[1]加工記録２!$CD:$CD,[1]加工記録２!AZ:AZ,""),IF(OR(_xlpm.val="",_xlpm.val=0),"",_xlpm.val))</f>
        <v/>
      </c>
      <c r="K169" s="57"/>
      <c r="L169" s="57"/>
      <c r="M169" s="57"/>
      <c r="N169" s="57"/>
    </row>
    <row r="170" spans="1:22" ht="18.95" customHeight="1" thickBo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</row>
    <row r="171" spans="1:22" ht="18.95" customHeight="1" thickTop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22" ht="14.25" customHeight="1" thickBot="1">
      <c r="A172" s="12"/>
      <c r="B172" s="117" t="s">
        <v>0</v>
      </c>
      <c r="C172" s="85"/>
      <c r="D172" s="85"/>
      <c r="E172" s="12"/>
      <c r="F172" s="12"/>
      <c r="G172" s="12"/>
      <c r="H172" s="12"/>
      <c r="I172" s="12"/>
      <c r="J172" s="12"/>
    </row>
    <row r="173" spans="1:22" ht="14.25" customHeight="1">
      <c r="A173" s="13"/>
      <c r="B173" s="85"/>
      <c r="C173" s="85"/>
      <c r="D173" s="85"/>
      <c r="E173" s="13"/>
      <c r="F173" s="13"/>
      <c r="G173" s="13"/>
      <c r="H173" s="13"/>
      <c r="I173" s="13"/>
      <c r="J173" s="13"/>
    </row>
    <row r="174" spans="1:22" ht="14.25" customHeight="1">
      <c r="A174" s="94" t="s">
        <v>1</v>
      </c>
      <c r="B174" s="94" t="s">
        <v>66</v>
      </c>
      <c r="C174" s="94" t="s">
        <v>3</v>
      </c>
      <c r="D174" s="121">
        <v>633</v>
      </c>
      <c r="E174" s="94" t="s">
        <v>4</v>
      </c>
      <c r="F174" s="111" t="s">
        <v>67</v>
      </c>
      <c r="G174" s="85"/>
      <c r="H174" s="110"/>
      <c r="I174" s="14" t="s">
        <v>6</v>
      </c>
      <c r="J174" s="14" t="s">
        <v>7</v>
      </c>
    </row>
    <row r="175" spans="1:22" ht="14.25" customHeight="1">
      <c r="A175" s="85"/>
      <c r="B175" s="85"/>
      <c r="C175" s="85"/>
      <c r="D175" s="85"/>
      <c r="E175" s="85"/>
      <c r="F175" s="85"/>
      <c r="G175" s="85"/>
      <c r="H175" s="110"/>
      <c r="I175" s="82"/>
      <c r="J175" s="82"/>
    </row>
    <row r="176" spans="1:22" ht="17.45" customHeight="1">
      <c r="A176" s="88" t="s">
        <v>8</v>
      </c>
      <c r="B176" s="88" t="s">
        <v>68</v>
      </c>
      <c r="E176" s="88" t="s">
        <v>10</v>
      </c>
      <c r="F176" s="109" t="s">
        <v>11</v>
      </c>
      <c r="G176" s="85"/>
      <c r="H176" s="110"/>
      <c r="I176" s="83"/>
      <c r="J176" s="83"/>
    </row>
    <row r="177" spans="1:10" ht="17.45" customHeight="1">
      <c r="A177" s="85"/>
      <c r="B177" s="85"/>
      <c r="E177" s="85"/>
      <c r="F177" s="85"/>
      <c r="G177" s="85"/>
      <c r="H177" s="110"/>
      <c r="I177" s="16"/>
      <c r="J177" s="16"/>
    </row>
    <row r="178" spans="1:10" ht="17.45" customHeight="1">
      <c r="A178" s="88" t="s">
        <v>12</v>
      </c>
      <c r="B178" s="88" t="s">
        <v>69</v>
      </c>
      <c r="E178" s="2" t="s">
        <v>14</v>
      </c>
      <c r="F178" s="113" t="s">
        <v>15</v>
      </c>
      <c r="G178" s="85"/>
      <c r="H178" s="23"/>
    </row>
    <row r="179" spans="1:10" ht="17.45" customHeight="1">
      <c r="A179" s="85"/>
      <c r="B179" s="85"/>
      <c r="E179" s="2" t="s">
        <v>16</v>
      </c>
      <c r="F179" s="23" t="s">
        <v>17</v>
      </c>
      <c r="G179" s="23"/>
      <c r="H179" s="23"/>
    </row>
    <row r="180" spans="1:10" ht="17.45" customHeight="1">
      <c r="A180" s="2" t="s">
        <v>18</v>
      </c>
      <c r="B180" s="4">
        <v>45818</v>
      </c>
      <c r="E180" s="2" t="s">
        <v>19</v>
      </c>
      <c r="F180" s="90">
        <v>200</v>
      </c>
      <c r="G180" s="85"/>
      <c r="H180" s="23"/>
    </row>
    <row r="181" spans="1:10" ht="17.45" customHeight="1">
      <c r="A181" s="2" t="s">
        <v>20</v>
      </c>
      <c r="B181" s="4">
        <v>45818</v>
      </c>
      <c r="E181" s="2" t="s">
        <v>21</v>
      </c>
      <c r="F181" s="23">
        <v>1</v>
      </c>
      <c r="G181" s="112" t="s">
        <v>22</v>
      </c>
      <c r="H181" s="99">
        <v>200</v>
      </c>
      <c r="I181" s="100"/>
      <c r="J181" s="101"/>
    </row>
    <row r="182" spans="1:10" ht="17.45" customHeight="1">
      <c r="A182" s="21"/>
      <c r="B182" s="22"/>
      <c r="C182" s="22"/>
      <c r="D182" s="22"/>
      <c r="E182" s="2" t="s">
        <v>23</v>
      </c>
      <c r="F182" s="23" t="s">
        <v>24</v>
      </c>
      <c r="G182" s="102"/>
      <c r="H182" s="102"/>
      <c r="I182" s="103"/>
      <c r="J182" s="104"/>
    </row>
    <row r="183" spans="1:10" ht="13.5" customHeight="1">
      <c r="A183" s="105" t="s">
        <v>70</v>
      </c>
      <c r="B183" s="85"/>
      <c r="C183" s="85"/>
      <c r="D183" s="22"/>
      <c r="F183" s="3"/>
      <c r="G183" s="95" t="s">
        <v>26</v>
      </c>
      <c r="H183" s="114" t="s">
        <v>27</v>
      </c>
      <c r="I183" s="122" t="s">
        <v>28</v>
      </c>
      <c r="J183" s="110"/>
    </row>
    <row r="184" spans="1:10" ht="13.5" customHeight="1">
      <c r="A184" s="85"/>
      <c r="B184" s="85"/>
      <c r="C184" s="85"/>
      <c r="D184" s="22"/>
      <c r="F184" s="3"/>
      <c r="G184" s="96"/>
      <c r="H184" s="96"/>
      <c r="I184" s="103"/>
      <c r="J184" s="104"/>
    </row>
    <row r="185" spans="1:10" ht="13.5" customHeight="1">
      <c r="A185" s="1" t="s">
        <v>29</v>
      </c>
    </row>
    <row r="186" spans="1:10" ht="63" customHeight="1">
      <c r="A186" s="119"/>
      <c r="B186" s="120"/>
      <c r="C186" s="120"/>
      <c r="D186" s="120"/>
      <c r="E186" s="120"/>
      <c r="F186" s="120"/>
      <c r="G186" s="120"/>
      <c r="H186" s="120"/>
      <c r="I186" s="120"/>
      <c r="J186" s="120"/>
    </row>
    <row r="187" spans="1:10" ht="18.75">
      <c r="A187" s="25" t="s">
        <v>30</v>
      </c>
      <c r="B187" s="18" t="s">
        <v>31</v>
      </c>
      <c r="C187" s="106" t="s">
        <v>32</v>
      </c>
      <c r="D187" s="107"/>
      <c r="E187" s="18" t="s">
        <v>33</v>
      </c>
      <c r="F187" s="106" t="s">
        <v>34</v>
      </c>
      <c r="G187" s="107"/>
      <c r="H187" s="107"/>
      <c r="I187" s="118" t="s">
        <v>35</v>
      </c>
      <c r="J187" s="107"/>
    </row>
    <row r="188" spans="1:10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24">
        <v>1</v>
      </c>
      <c r="B189" s="27" t="s">
        <v>36</v>
      </c>
      <c r="C189" s="84" t="s">
        <v>37</v>
      </c>
      <c r="D189" s="85"/>
      <c r="E189" s="27" t="s">
        <v>38</v>
      </c>
      <c r="F189" s="84" t="s">
        <v>39</v>
      </c>
      <c r="G189" s="85"/>
      <c r="H189" s="85"/>
      <c r="I189" s="93"/>
      <c r="J189" s="85"/>
    </row>
    <row r="190" spans="1:10" ht="16.5" customHeight="1">
      <c r="A190" s="24">
        <v>1</v>
      </c>
      <c r="B190" s="28" t="s">
        <v>36</v>
      </c>
      <c r="C190" s="84" t="s">
        <v>37</v>
      </c>
      <c r="D190" s="85"/>
      <c r="E190" s="27" t="s">
        <v>40</v>
      </c>
      <c r="F190" s="84" t="s">
        <v>41</v>
      </c>
      <c r="G190" s="85"/>
      <c r="H190" s="85"/>
      <c r="I190" s="93"/>
      <c r="J190" s="85"/>
    </row>
    <row r="191" spans="1:10" ht="16.5" customHeight="1">
      <c r="A191" s="24"/>
      <c r="B191" s="28"/>
      <c r="C191" s="84"/>
      <c r="D191" s="85"/>
      <c r="E191" s="27"/>
      <c r="F191" s="84"/>
      <c r="G191" s="85"/>
      <c r="H191" s="85"/>
      <c r="I191" s="93"/>
      <c r="J191" s="85"/>
    </row>
    <row r="192" spans="1:10" ht="16.5" customHeight="1">
      <c r="A192" s="24"/>
      <c r="B192" s="28"/>
      <c r="C192" s="84"/>
      <c r="D192" s="85"/>
      <c r="E192" s="27"/>
      <c r="F192" s="84"/>
      <c r="G192" s="85"/>
      <c r="H192" s="85"/>
      <c r="I192" s="93"/>
      <c r="J192" s="85"/>
    </row>
    <row r="193" spans="1:10" ht="16.5" customHeight="1">
      <c r="A193" s="24"/>
      <c r="B193" s="28"/>
      <c r="C193" s="84"/>
      <c r="D193" s="85"/>
      <c r="E193" s="27"/>
      <c r="F193" s="84"/>
      <c r="G193" s="85"/>
      <c r="H193" s="85"/>
      <c r="I193" s="93"/>
      <c r="J193" s="85"/>
    </row>
    <row r="194" spans="1:10" ht="16.5" customHeight="1">
      <c r="A194" s="24"/>
      <c r="B194" s="28"/>
      <c r="C194" s="84"/>
      <c r="D194" s="85"/>
      <c r="E194" s="27"/>
      <c r="F194" s="84"/>
      <c r="G194" s="85"/>
      <c r="H194" s="85"/>
      <c r="I194" s="93"/>
      <c r="J194" s="85"/>
    </row>
    <row r="195" spans="1:10" ht="16.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</row>
    <row r="196" spans="1:10" ht="18.75">
      <c r="A196" s="86" t="s">
        <v>42</v>
      </c>
      <c r="B196" s="87"/>
      <c r="C196" s="86" t="s">
        <v>43</v>
      </c>
      <c r="D196" s="87"/>
      <c r="E196" s="87"/>
      <c r="F196" s="19" t="s">
        <v>44</v>
      </c>
      <c r="G196" s="86" t="s">
        <v>45</v>
      </c>
      <c r="H196" s="87"/>
      <c r="I196" s="86" t="s">
        <v>46</v>
      </c>
      <c r="J196" s="87"/>
    </row>
    <row r="197" spans="1:10" ht="14.25" customHeight="1">
      <c r="A197" s="8"/>
      <c r="B197" s="20"/>
      <c r="C197" s="108" t="s">
        <v>47</v>
      </c>
      <c r="D197" s="103"/>
      <c r="E197" s="20"/>
      <c r="F197" s="108" t="s">
        <v>29</v>
      </c>
      <c r="G197" s="103"/>
      <c r="H197" s="103"/>
      <c r="I197" s="103"/>
      <c r="J197" s="103"/>
    </row>
    <row r="198" spans="1:10">
      <c r="A198" s="9"/>
      <c r="C198" s="7"/>
      <c r="D198" s="7"/>
      <c r="E198" s="7"/>
    </row>
    <row r="199" spans="1:10" ht="14.25" customHeight="1">
      <c r="A199" s="84" t="s">
        <v>48</v>
      </c>
      <c r="B199" s="85"/>
      <c r="C199" s="84" t="s">
        <v>49</v>
      </c>
      <c r="D199" s="85"/>
      <c r="E199" s="85"/>
      <c r="F199" s="29" t="s">
        <v>27</v>
      </c>
      <c r="G199" s="97">
        <v>100</v>
      </c>
      <c r="H199" s="85"/>
      <c r="I199" s="97">
        <v>0.5</v>
      </c>
      <c r="J199" s="85"/>
    </row>
    <row r="200" spans="1:10" ht="24.95" customHeight="1">
      <c r="A200" s="89" t="s">
        <v>50</v>
      </c>
      <c r="B200" s="85"/>
      <c r="C200" s="84" t="s">
        <v>11</v>
      </c>
      <c r="D200" s="85"/>
      <c r="E200" s="85"/>
      <c r="F200" s="84"/>
      <c r="G200" s="85"/>
      <c r="H200" s="85"/>
      <c r="I200" s="85"/>
      <c r="J200" s="85"/>
    </row>
    <row r="201" spans="1:10" ht="14.25" customHeight="1">
      <c r="A201" s="92" t="s">
        <v>92</v>
      </c>
      <c r="B201" s="85"/>
      <c r="C201" s="84" t="s">
        <v>72</v>
      </c>
      <c r="D201" s="85"/>
      <c r="E201" s="85"/>
      <c r="F201" s="29" t="s">
        <v>27</v>
      </c>
      <c r="G201" s="97">
        <v>1</v>
      </c>
      <c r="H201" s="85"/>
      <c r="I201" s="97">
        <v>5.0000000000000001E-3</v>
      </c>
      <c r="J201" s="85"/>
    </row>
    <row r="202" spans="1:10" ht="24.95" customHeight="1">
      <c r="A202" s="89" t="s">
        <v>73</v>
      </c>
      <c r="B202" s="85"/>
      <c r="C202" s="84"/>
      <c r="D202" s="85"/>
      <c r="E202" s="85"/>
      <c r="F202" s="84"/>
      <c r="G202" s="85"/>
      <c r="H202" s="85"/>
      <c r="I202" s="85"/>
      <c r="J202" s="85"/>
    </row>
    <row r="203" spans="1:10" ht="14.25" customHeight="1">
      <c r="A203" s="84"/>
      <c r="B203" s="85"/>
      <c r="C203" s="84"/>
      <c r="D203" s="85"/>
      <c r="E203" s="85"/>
      <c r="F203" s="29"/>
      <c r="G203" s="97"/>
      <c r="H203" s="85"/>
      <c r="I203" s="97"/>
      <c r="J203" s="85"/>
    </row>
    <row r="204" spans="1:10" ht="24.95" customHeight="1">
      <c r="A204" s="89"/>
      <c r="B204" s="85"/>
      <c r="C204" s="84"/>
      <c r="D204" s="85"/>
      <c r="E204" s="85"/>
      <c r="F204" s="84"/>
      <c r="G204" s="85"/>
      <c r="H204" s="85"/>
      <c r="I204" s="85"/>
      <c r="J204" s="85"/>
    </row>
    <row r="205" spans="1:10" ht="14.25" customHeight="1">
      <c r="A205" s="84"/>
      <c r="B205" s="85"/>
      <c r="C205" s="84"/>
      <c r="D205" s="85"/>
      <c r="E205" s="85"/>
      <c r="F205" s="29"/>
      <c r="G205" s="97"/>
      <c r="H205" s="85"/>
      <c r="I205" s="97"/>
      <c r="J205" s="85"/>
    </row>
    <row r="206" spans="1:10" ht="24.95" customHeight="1">
      <c r="A206" s="89"/>
      <c r="B206" s="85"/>
      <c r="C206" s="84"/>
      <c r="D206" s="85"/>
      <c r="E206" s="85"/>
      <c r="F206" s="84"/>
      <c r="G206" s="85"/>
      <c r="H206" s="85"/>
      <c r="I206" s="85"/>
      <c r="J206" s="85"/>
    </row>
    <row r="207" spans="1:10" ht="14.25" customHeight="1">
      <c r="A207" s="84"/>
      <c r="B207" s="85"/>
      <c r="C207" s="84"/>
      <c r="D207" s="85"/>
      <c r="E207" s="85"/>
      <c r="F207" s="29"/>
      <c r="G207" s="97"/>
      <c r="H207" s="85"/>
      <c r="I207" s="97"/>
      <c r="J207" s="85"/>
    </row>
    <row r="208" spans="1:10" ht="24.95" customHeight="1">
      <c r="A208" s="89"/>
      <c r="B208" s="85"/>
      <c r="C208" s="84"/>
      <c r="D208" s="85"/>
      <c r="E208" s="85"/>
      <c r="F208" s="84"/>
      <c r="G208" s="85"/>
      <c r="H208" s="85"/>
      <c r="I208" s="85"/>
      <c r="J208" s="85"/>
    </row>
    <row r="209" spans="1:22" s="5" customFormat="1" ht="18" customHeight="1">
      <c r="A209" s="136" t="s">
        <v>93</v>
      </c>
      <c r="B209" s="137"/>
      <c r="C209" s="137"/>
      <c r="D209" s="137"/>
      <c r="E209" s="30" t="s">
        <v>94</v>
      </c>
      <c r="F209" s="31"/>
      <c r="G209" s="115" t="s">
        <v>95</v>
      </c>
      <c r="H209" s="116"/>
      <c r="I209" s="32" t="s">
        <v>96</v>
      </c>
      <c r="J209" s="33" t="s">
        <v>97</v>
      </c>
    </row>
    <row r="210" spans="1:22" s="7" customFormat="1" ht="18" customHeight="1">
      <c r="A210" s="138" t="str">
        <f>F174</f>
        <v>001EGAW 633</v>
      </c>
      <c r="B210" s="139"/>
      <c r="C210" s="139"/>
      <c r="D210" s="139"/>
      <c r="E210" s="142" t="str">
        <f>IFERROR(IF(OR(J210="", F180="", F180=0, J210/F180=0), C201&amp;" 　 "&amp;""&amp;"      枚", C201&amp;" 　 "&amp;J210/F180&amp;"      枚"), C201&amp;" 　 "&amp;""&amp;"      枚")</f>
        <v>S-40 　 1      枚</v>
      </c>
      <c r="F210" s="143"/>
      <c r="G210" s="34" t="s">
        <v>98</v>
      </c>
      <c r="H210" s="35">
        <f>_xlfn.XLOOKUP($B176, [1]加工記録２!$CD:$CD,[1]加工記録２!AH:AH)</f>
        <v>0</v>
      </c>
      <c r="I210" s="144">
        <f>MAX(I222:I226)</f>
        <v>45812</v>
      </c>
      <c r="J210" s="133">
        <f>_xlfn.XLOOKUP($B176, [1]加工記録２!$CD:$CD,[1]加工記録２!AD:AD,,0)</f>
        <v>200</v>
      </c>
    </row>
    <row r="211" spans="1:22" s="5" customFormat="1" ht="18" customHeight="1">
      <c r="A211" s="140"/>
      <c r="B211" s="141"/>
      <c r="C211" s="141"/>
      <c r="D211" s="141"/>
      <c r="E211" s="146" t="s">
        <v>99</v>
      </c>
      <c r="F211" s="146"/>
      <c r="G211" s="34" t="s">
        <v>100</v>
      </c>
      <c r="H211" s="35">
        <f>_xlfn.XLOOKUP($B176, [1]加工記録２!$CD:$CD,[1]加工記録２!AI:AI,,0)</f>
        <v>0</v>
      </c>
      <c r="I211" s="145"/>
      <c r="J211" s="133"/>
      <c r="K211" s="36"/>
    </row>
    <row r="212" spans="1:22" s="7" customFormat="1" ht="18" customHeight="1">
      <c r="A212" s="147" t="s">
        <v>101</v>
      </c>
      <c r="B212" s="123" t="str">
        <f>_xlfn.XLOOKUP(A183,[1]!テーブル5[品目コード],[1]!テーブル5[温度換算],,2)</f>
        <v>-</v>
      </c>
      <c r="C212" s="125" t="s">
        <v>102</v>
      </c>
      <c r="D212" s="127">
        <f>_xlfn.XLOOKUP(A183,[1]!テーブル5[品目コード],[1]!テーブル5[取数],,2)</f>
        <v>2</v>
      </c>
      <c r="E212" s="129" t="s">
        <v>103</v>
      </c>
      <c r="F212" s="129"/>
      <c r="G212" s="34" t="s">
        <v>104</v>
      </c>
      <c r="H212" s="35">
        <f>_xlfn.XLOOKUP($B176, [1]加工記録２!$CD:$CD,[1]加工記録２!AJ:AJ,,0)</f>
        <v>0</v>
      </c>
      <c r="I212" s="32" t="s">
        <v>105</v>
      </c>
      <c r="J212" s="32" t="s">
        <v>106</v>
      </c>
      <c r="K212" s="37"/>
    </row>
    <row r="213" spans="1:22" s="5" customFormat="1" ht="18" customHeight="1">
      <c r="A213" s="147"/>
      <c r="B213" s="124"/>
      <c r="C213" s="126"/>
      <c r="D213" s="128"/>
      <c r="E213" s="130">
        <f>_xlfn.XLOOKUP(A183,[1]!テーブル5[品目コード],[1]!テーブル5[備考１],,2)</f>
        <v>0</v>
      </c>
      <c r="F213" s="130"/>
      <c r="G213" s="34" t="s">
        <v>107</v>
      </c>
      <c r="H213" s="35">
        <f>_xlfn.XLOOKUP($B176, [1]加工記録２!$CD:$CD,[1]加工記録２!AK:AK,,0)</f>
        <v>0</v>
      </c>
      <c r="I213" s="131" t="str">
        <f>_xlfn.XLOOKUP($B176, [1]加工記録２!$CD:$CD,[1]加工記録２!CA:CA,,0)</f>
        <v>水野</v>
      </c>
      <c r="J213" s="131" t="str">
        <f>_xlfn.XLOOKUP($B176, [1]加工記録２!$CD:$CD,[1]加工記録２!CB:CB,,0)</f>
        <v>-</v>
      </c>
      <c r="K213" s="36"/>
    </row>
    <row r="214" spans="1:22" s="7" customFormat="1" ht="18" customHeight="1">
      <c r="A214" s="148" t="s">
        <v>108</v>
      </c>
      <c r="B214" s="149">
        <f>D174</f>
        <v>633</v>
      </c>
      <c r="C214" s="151" t="s">
        <v>109</v>
      </c>
      <c r="D214" s="153" t="str">
        <f>_xlfn.XLOOKUP(A183,[1]!テーブル5[品目コード],[1]!テーブル5[上限公差],,2)</f>
        <v>+0.5</v>
      </c>
      <c r="E214" s="130" t="str">
        <f>_xlfn.XLOOKUP(A183,[1]!テーブル5[品目コード],[1]!テーブル5[備考２],,2)</f>
        <v>※使用基材、取数は依頼書にて確認</v>
      </c>
      <c r="F214" s="130"/>
      <c r="G214" s="34" t="s">
        <v>110</v>
      </c>
      <c r="H214" s="35">
        <f>_xlfn.XLOOKUP($B176, [1]加工記録２!$CD:$CD,[1]加工記録２!AL:AL,,0)</f>
        <v>0</v>
      </c>
      <c r="I214" s="132"/>
      <c r="J214" s="132"/>
      <c r="K214" s="37"/>
    </row>
    <row r="215" spans="1:22" s="5" customFormat="1" ht="18" customHeight="1">
      <c r="A215" s="148"/>
      <c r="B215" s="150"/>
      <c r="C215" s="152"/>
      <c r="D215" s="154"/>
      <c r="E215" s="155" t="s">
        <v>111</v>
      </c>
      <c r="F215" s="155"/>
      <c r="G215" s="34" t="s">
        <v>112</v>
      </c>
      <c r="H215" s="35">
        <f>_xlfn.XLOOKUP($B176, [1]加工記録２!$CD:$CD,[1]加工記録２!AM:AM,,0)</f>
        <v>0</v>
      </c>
      <c r="I215" s="38" t="s">
        <v>113</v>
      </c>
      <c r="J215" s="38" t="s">
        <v>114</v>
      </c>
      <c r="K215" s="36"/>
    </row>
    <row r="216" spans="1:22" s="7" customFormat="1" ht="18" customHeight="1">
      <c r="A216" s="147" t="s">
        <v>115</v>
      </c>
      <c r="B216" s="157">
        <v>633</v>
      </c>
      <c r="C216" s="159" t="s">
        <v>116</v>
      </c>
      <c r="D216" s="153">
        <f>_xlfn.XLOOKUP(A183,[1]!テーブル5[品目コード],[1]!テーブル5[下限公差],,2)</f>
        <v>-0.5</v>
      </c>
      <c r="E216" s="162" t="str">
        <f>_xlfn.XLOOKUP(A183,[1]!テーブル5[品目コード],[1]!テーブル5[梱包方法],,2)</f>
        <v>ラベル２枚　長手有　鉢巻無</v>
      </c>
      <c r="F216" s="162"/>
      <c r="G216" s="34" t="s">
        <v>117</v>
      </c>
      <c r="H216" s="35">
        <f>_xlfn.XLOOKUP($B176, [1]加工記録２!$CD:$CD,[1]加工記録２!AN:AN,,0)</f>
        <v>0</v>
      </c>
      <c r="I216" s="133">
        <f>_xlfn.XLOOKUP($B176, [1]加工記録２!$CD:$CD,[1]加工記録２!AF:AF,,0)</f>
        <v>0</v>
      </c>
      <c r="J216" s="133">
        <f>_xlfn.XLOOKUP($B176, [1]加工記録２!$CD:$CD,[1]加工記録２!AE:AE,,0)</f>
        <v>0</v>
      </c>
      <c r="K216" s="37"/>
    </row>
    <row r="217" spans="1:22" s="5" customFormat="1" ht="18" customHeight="1" thickBot="1">
      <c r="A217" s="156"/>
      <c r="B217" s="158"/>
      <c r="C217" s="160"/>
      <c r="D217" s="161"/>
      <c r="E217" s="134"/>
      <c r="F217" s="134"/>
      <c r="G217" s="39" t="s">
        <v>118</v>
      </c>
      <c r="H217" s="40">
        <f>SUM(H210:H216)</f>
        <v>0</v>
      </c>
      <c r="I217" s="133"/>
      <c r="J217" s="133"/>
    </row>
    <row r="218" spans="1:22" s="49" customFormat="1" ht="18.95" customHeight="1">
      <c r="A218" s="41" t="s">
        <v>119</v>
      </c>
      <c r="B218" s="42" t="s">
        <v>120</v>
      </c>
      <c r="C218" s="43" t="s">
        <v>121</v>
      </c>
      <c r="D218" s="43" t="s">
        <v>122</v>
      </c>
      <c r="E218" s="44" t="s">
        <v>123</v>
      </c>
      <c r="F218" s="45" t="s">
        <v>124</v>
      </c>
      <c r="G218" s="44" t="s">
        <v>125</v>
      </c>
      <c r="H218" s="46" t="s">
        <v>126</v>
      </c>
      <c r="I218" s="47" t="s">
        <v>127</v>
      </c>
      <c r="J218" s="38" t="s">
        <v>128</v>
      </c>
      <c r="K218" s="48"/>
      <c r="L218" s="48"/>
      <c r="M218" s="48"/>
      <c r="N218" s="48"/>
    </row>
    <row r="219" spans="1:22" s="58" customFormat="1" ht="18.95" customHeight="1">
      <c r="A219" s="50" t="str">
        <f>IFERROR(_xlfn.XLOOKUP($B176&amp;$J210,[1]加工記録２!B:B&amp;[1]加工記録２!AD:AD,[1]加工記録２!BB:BB,,0),"/")</f>
        <v>/</v>
      </c>
      <c r="B219" s="51" t="str">
        <f>_xlfn.XLOOKUP($B176,[1]加工記録２!$CD:$CD,[1]加工記録２!BJ:BJ,,0)</f>
        <v/>
      </c>
      <c r="C219" s="52"/>
      <c r="D219" s="53"/>
      <c r="E219" s="52"/>
      <c r="F219" s="54" t="s">
        <v>129</v>
      </c>
      <c r="G219" s="55" t="str">
        <f>IFERROR(SUM(H219*$D212),"")</f>
        <v/>
      </c>
      <c r="H219" s="56" t="str">
        <f>_xlfn.XLOOKUP($B176,[1]加工記録２!$CD:$CD,[1]加工記録２!BR:BR,,0)</f>
        <v/>
      </c>
      <c r="I219" s="135">
        <f>_xlfn.XLOOKUP($B176, [1]加工記録２!$CD:$CD,[1]加工記録２!AO:AO,,0)</f>
        <v>0</v>
      </c>
      <c r="J219" s="133">
        <f>_xlfn.XLOOKUP($B176, [1]加工記録２!$CD:$CD,[1]加工記録２!AG:AG,,0)</f>
        <v>100</v>
      </c>
      <c r="K219" s="57"/>
      <c r="L219" s="57"/>
      <c r="M219" s="57"/>
      <c r="N219" s="57"/>
      <c r="V219" s="59"/>
    </row>
    <row r="220" spans="1:22" s="58" customFormat="1" ht="18.95" customHeight="1" thickBot="1">
      <c r="A220" s="60">
        <f>IFERROR(_xlfn.XLOOKUP($B176&amp;$J210,[1]加工記録２!$CD:$CD&amp;[1]加工記録２!AD:AD,[1]加工記録２!BC:BC,,0),"/")</f>
        <v>45812</v>
      </c>
      <c r="B220" s="61" t="str">
        <f>_xlfn.XLOOKUP($B176,[1]加工記録２!$CD:$CD,[1]加工記録２!BK:BK,,0)</f>
        <v>25E23C</v>
      </c>
      <c r="C220" s="61">
        <f>_xlfn.XLOOKUP($B176,[1]加工記録２!$CD:$CD,[1]加工記録２!P:P,,0)</f>
        <v>20</v>
      </c>
      <c r="D220" s="62">
        <v>633</v>
      </c>
      <c r="E220" s="63">
        <f>_xlfn.XLOOKUP($B176, [1]加工記録２!$CD:$CD,[1]加工記録２!W:W,,0)</f>
        <v>633.41999999999996</v>
      </c>
      <c r="F220" s="64"/>
      <c r="G220" s="65">
        <f>IFERROR(SUM(H220*$D212),"")</f>
        <v>200</v>
      </c>
      <c r="H220" s="66">
        <f>_xlfn.XLOOKUP($B176,[1]加工記録２!$CD:$CD,[1]加工記録２!BS:BS,,0)</f>
        <v>100</v>
      </c>
      <c r="I220" s="135"/>
      <c r="J220" s="133"/>
      <c r="K220" s="57"/>
      <c r="L220" s="57"/>
      <c r="M220" s="57"/>
      <c r="N220" s="57"/>
    </row>
    <row r="221" spans="1:22" s="58" customFormat="1" ht="18.95" customHeight="1" thickBot="1">
      <c r="A221" s="60">
        <f>IFERROR(_xlfn.XLOOKUP($B176&amp;$J210,[1]加工記録２!$CD:$CD&amp;[1]加工記録２!AD:AD,[1]加工記録２!BD:BD,,0),"/")</f>
        <v>45812</v>
      </c>
      <c r="B221" s="61" t="str">
        <f>_xlfn.XLOOKUP($B176,[1]加工記録２!CD:CD,[1]加工記録２!BL:BL,,0)</f>
        <v>25E23C</v>
      </c>
      <c r="C221" s="61">
        <f>_xlfn.XLOOKUP($B176,[1]加工記録２!$CD:$CD,[1]加工記録２!Q:Q,,0)</f>
        <v>20</v>
      </c>
      <c r="D221" s="62" t="str">
        <f>IFERROR(_xlfn.XLOOKUP(IF(_xlfn.XLOOKUP($B176,[1]加工記録２!$CD:$CD,[1]加工記録２!C:C,,0)="","",_xlfn.XLOOKUP($B176,[1]加工記録２!$CD:$CD,[1]加工記録２!C:C,,0))&amp;C221,[1]温度換算!A:A,[1]温度換算!C:C),"")</f>
        <v/>
      </c>
      <c r="E221" s="63">
        <f>_xlfn.XLOOKUP($B176, [1]加工記録２!$CD:$CD,[1]加工記録２!X:X,,0)</f>
        <v>633.45000000000005</v>
      </c>
      <c r="F221" s="64"/>
      <c r="G221" s="65" t="str">
        <f>IFERROR(SUM(H221*$D212),"")</f>
        <v/>
      </c>
      <c r="H221" s="66" t="str">
        <f>_xlfn.XLOOKUP($B176,[1]加工記録２!$CD:$CD,[1]加工記録２!BT:BT,,0)</f>
        <v/>
      </c>
      <c r="I221" s="67" t="s">
        <v>130</v>
      </c>
      <c r="J221" s="68" t="s">
        <v>131</v>
      </c>
      <c r="K221" s="57"/>
      <c r="L221" s="57"/>
      <c r="M221" s="57"/>
      <c r="N221" s="57"/>
    </row>
    <row r="222" spans="1:22" s="58" customFormat="1" ht="18.95" customHeight="1">
      <c r="A222" s="60" t="str">
        <f>IFERROR(_xlfn.XLOOKUP($B176&amp;$J210,[1]加工記録２!$CD:$CD&amp;[1]加工記録２!AD:AD,[1]加工記録２!BE:BE,,0),"/")</f>
        <v/>
      </c>
      <c r="B222" s="61" t="str">
        <f>_xlfn.XLOOKUP($B176,[1]加工記録２!$CD:$CD,[1]加工記録２!BM:BM,,0)</f>
        <v/>
      </c>
      <c r="C222" s="61" t="str">
        <f>_xlfn.XLOOKUP($B176,[1]加工記録２!$CD:$CD,[1]加工記録２!R:R,,0)</f>
        <v/>
      </c>
      <c r="D222" s="62"/>
      <c r="E222" s="63" t="str">
        <f>_xlfn.XLOOKUP($B176, [1]加工記録２!$CD:$CD,[1]加工記録２!Y:Y,,0)</f>
        <v/>
      </c>
      <c r="F222" s="64"/>
      <c r="G222" s="65" t="str">
        <f>IFERROR(SUM(H222*$D212),"")</f>
        <v/>
      </c>
      <c r="H222" s="66" t="str">
        <f>_xlfn.XLOOKUP($B176,[1]加工記録２!$CD:$CD,[1]加工記録２!BU:BU,,0)</f>
        <v/>
      </c>
      <c r="I222" s="69">
        <f>_xlfn.LET(_xlpm.val,_xlfn.XLOOKUP($B176,[1]加工記録２!$CD:$CD,[1]加工記録２!AQ:AQ,""),IF(OR(_xlpm.val="",_xlpm.val=0),"",_xlpm.val))</f>
        <v>45812</v>
      </c>
      <c r="J222" s="70">
        <f>_xlfn.LET(_xlpm.val,_xlfn.XLOOKUP($B176,[1]加工記録２!$CD:$CD,[1]加工記録２!AR:AR,""),IF(OR(_xlpm.val="",_xlpm.val=0),"",_xlpm.val))</f>
        <v>1</v>
      </c>
      <c r="K222" s="57"/>
      <c r="L222" s="57"/>
      <c r="M222" s="57"/>
      <c r="N222" s="57"/>
    </row>
    <row r="223" spans="1:22" s="58" customFormat="1" ht="18.95" customHeight="1">
      <c r="A223" s="60" t="str">
        <f>IFERROR(_xlfn.XLOOKUP($B176&amp;$J210,[1]加工記録２!$CD:$CD&amp;[1]加工記録２!AD:AD,[1]加工記録２!BF:BF,,0),"/")</f>
        <v/>
      </c>
      <c r="B223" s="61" t="str">
        <f>_xlfn.XLOOKUP($B176,[1]加工記録２!$CD:$CD,[1]加工記録２!BN:BN,,0)</f>
        <v/>
      </c>
      <c r="C223" s="61" t="str">
        <f>_xlfn.XLOOKUP($B176,[1]加工記録２!$CD:$CD,[1]加工記録２!S:S,,0)</f>
        <v/>
      </c>
      <c r="D223" s="62"/>
      <c r="E223" s="63" t="str">
        <f>_xlfn.XLOOKUP($B176, [1]加工記録２!$CD:$CD,[1]加工記録２!Z:Z,,0)</f>
        <v/>
      </c>
      <c r="F223" s="64"/>
      <c r="G223" s="65" t="str">
        <f>IFERROR(SUM(H223*$D212),"")</f>
        <v/>
      </c>
      <c r="H223" s="66" t="str">
        <f>_xlfn.XLOOKUP($B176,[1]加工記録２!$CD:$CD,[1]加工記録２!BV:BV,,0)</f>
        <v/>
      </c>
      <c r="I223" s="71" t="str">
        <f>_xlfn.LET(_xlpm.val,_xlfn.XLOOKUP($B176,[1]加工記録２!$CD:$CD,[1]加工記録２!AS:AS,""),IF(OR(_xlpm.val="",_xlpm.val=0),"",_xlpm.val))</f>
        <v/>
      </c>
      <c r="J223" s="72" t="str">
        <f>_xlfn.LET(_xlpm.val,_xlfn.XLOOKUP($B176,[1]加工記録２!$CD:$CD,[1]加工記録２!AT:AT,""),IF(OR(_xlpm.val="",_xlpm.val=0),"",_xlpm.val))</f>
        <v/>
      </c>
      <c r="K223" s="57"/>
      <c r="L223" s="57"/>
      <c r="M223" s="57"/>
      <c r="N223" s="57"/>
    </row>
    <row r="224" spans="1:22" s="58" customFormat="1" ht="18.95" customHeight="1">
      <c r="A224" s="60" t="str">
        <f>IFERROR(_xlfn.XLOOKUP($B176&amp;$J210,[1]加工記録２!$CD:$CD&amp;[1]加工記録２!AD:AD,[1]加工記録２!BG:BG,,0),"/")</f>
        <v/>
      </c>
      <c r="B224" s="61" t="str">
        <f>_xlfn.XLOOKUP($B176,[1]加工記録２!$CD:$CD,[1]加工記録２!BO:BO,,0)</f>
        <v/>
      </c>
      <c r="C224" s="61" t="str">
        <f>_xlfn.XLOOKUP($B176,[1]加工記録２!$CD:$CD,[1]加工記録２!T:T,,0)</f>
        <v/>
      </c>
      <c r="D224" s="62"/>
      <c r="E224" s="63" t="str">
        <f>_xlfn.XLOOKUP($B176, [1]加工記録２!$CD:$CD,[1]加工記録２!AA:AA,,0)</f>
        <v/>
      </c>
      <c r="F224" s="64"/>
      <c r="G224" s="65" t="str">
        <f>IFERROR(SUM(H224*$D212),"")</f>
        <v/>
      </c>
      <c r="H224" s="66" t="str">
        <f>_xlfn.XLOOKUP($B176,[1]加工記録２!$CD:$CD,[1]加工記録２!BW:BW,,0)</f>
        <v/>
      </c>
      <c r="I224" s="71" t="str">
        <f>_xlfn.LET(_xlpm.val,_xlfn.XLOOKUP($B176,[1]加工記録２!$CD:$CD,[1]加工記録２!AU:AU,""),IF(OR(_xlpm.val="",_xlpm.val=0),"",_xlpm.val))</f>
        <v/>
      </c>
      <c r="J224" s="72" t="str">
        <f>_xlfn.LET(_xlpm.val,_xlfn.XLOOKUP($B176,[1]加工記録２!$CD:$CD,[1]加工記録２!AV:AV,""),IF(OR(_xlpm.val="",_xlpm.val=0),"",_xlpm.val))</f>
        <v/>
      </c>
      <c r="K224" s="57"/>
      <c r="L224" s="57"/>
      <c r="M224" s="57"/>
      <c r="N224" s="57"/>
    </row>
    <row r="225" spans="1:14" s="58" customFormat="1" ht="18.95" customHeight="1">
      <c r="A225" s="60" t="str">
        <f>IFERROR(_xlfn.XLOOKUP($B176&amp;$J210,[1]加工記録２!$CD:$CD&amp;[1]加工記録２!AD:AD,[1]加工記録２!BH:BH,,0),"/")</f>
        <v/>
      </c>
      <c r="B225" s="61" t="str">
        <f>_xlfn.XLOOKUP($B176,[1]加工記録２!$CD:$CD,[1]加工記録２!BP:BP,,0)</f>
        <v/>
      </c>
      <c r="C225" s="61" t="str">
        <f>_xlfn.XLOOKUP($B176,[1]加工記録２!$CD:$CD,[1]加工記録２!U:U,,0)</f>
        <v/>
      </c>
      <c r="D225" s="62"/>
      <c r="E225" s="63" t="str">
        <f>_xlfn.XLOOKUP($B176, [1]加工記録２!$CD:$CD,[1]加工記録２!AB:AB,,0)</f>
        <v/>
      </c>
      <c r="F225" s="64"/>
      <c r="G225" s="65" t="str">
        <f>IFERROR(SUM(H225*$D212),"")</f>
        <v/>
      </c>
      <c r="H225" s="66" t="str">
        <f>_xlfn.XLOOKUP($B176,[1]加工記録２!$CD:$CD,[1]加工記録２!BX:BX,,0)</f>
        <v/>
      </c>
      <c r="I225" s="71" t="str">
        <f>_xlfn.LET(_xlpm.val,_xlfn.XLOOKUP($B176,[1]加工記録２!$CD:$CD,[1]加工記録２!AW:AW,""),IF(OR(_xlpm.val="",_xlpm.val=0),"",_xlpm.val))</f>
        <v/>
      </c>
      <c r="J225" s="72" t="str">
        <f>_xlfn.LET(_xlpm.val,_xlfn.XLOOKUP($B176,[1]加工記録２!$CD:$CD,[1]加工記録２!AX:AX,""),IF(OR(_xlpm.val="",_xlpm.val=0),"",_xlpm.val))</f>
        <v/>
      </c>
      <c r="K225" s="57"/>
      <c r="L225" s="57"/>
      <c r="M225" s="57"/>
      <c r="N225" s="57"/>
    </row>
    <row r="226" spans="1:14" s="58" customFormat="1" ht="18.95" customHeight="1" thickBot="1">
      <c r="A226" s="73" t="str">
        <f>IFERROR(_xlfn.XLOOKUP($B176&amp;$J210,[1]加工記録２!$CD:$CD&amp;[1]加工記録２!AD:AD,[1]加工記録２!BI:BI,,0),"/")</f>
        <v/>
      </c>
      <c r="B226" s="74" t="str">
        <f>_xlfn.XLOOKUP($B176,[1]加工記録２!$CD:$CD,[1]加工記録２!BQ:BQ,,0)</f>
        <v/>
      </c>
      <c r="C226" s="74" t="str">
        <f>_xlfn.XLOOKUP($B176,[1]加工記録２!$CD:$CD,[1]加工記録２!V:V,,0)</f>
        <v/>
      </c>
      <c r="D226" s="75"/>
      <c r="E226" s="76" t="str">
        <f>_xlfn.XLOOKUP($B176, [1]加工記録２!$CD:$CD,[1]加工記録２!AC:AC,,0)</f>
        <v/>
      </c>
      <c r="F226" s="77"/>
      <c r="G226" s="78" t="str">
        <f>IFERROR(SUM(H226*$D212),"")</f>
        <v/>
      </c>
      <c r="H226" s="79" t="str">
        <f>_xlfn.XLOOKUP($B176,[1]加工記録２!$CD:$CD,[1]加工記録２!BY:BY,,0)</f>
        <v/>
      </c>
      <c r="I226" s="80" t="str">
        <f>_xlfn.LET(_xlpm.val,_xlfn.XLOOKUP($B176,[1]加工記録２!$CD:$CD,[1]加工記録２!AY:AY,""),IF(OR(_xlpm.val="",_xlpm.val=0),"",_xlpm.val))</f>
        <v/>
      </c>
      <c r="J226" s="81" t="str">
        <f>_xlfn.LET(_xlpm.val,_xlfn.XLOOKUP($B176,[1]加工記録２!$CD:$CD,[1]加工記録２!AZ:AZ,""),IF(OR(_xlpm.val="",_xlpm.val=0),"",_xlpm.val))</f>
        <v/>
      </c>
      <c r="K226" s="57"/>
      <c r="L226" s="57"/>
      <c r="M226" s="57"/>
      <c r="N226" s="57"/>
    </row>
    <row r="227" spans="1:14" ht="13.5" customHeight="1" thickBo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</row>
    <row r="228" spans="1:14" ht="6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4" ht="14.25" customHeight="1">
      <c r="A229" s="12"/>
      <c r="B229" s="117" t="s">
        <v>0</v>
      </c>
      <c r="C229" s="85"/>
      <c r="D229" s="85"/>
      <c r="E229" s="12"/>
      <c r="F229" s="12"/>
      <c r="G229" s="12"/>
      <c r="H229" s="12"/>
      <c r="I229" s="12"/>
      <c r="J229" s="12"/>
    </row>
    <row r="230" spans="1:14" ht="14.25" customHeight="1">
      <c r="A230" s="13"/>
      <c r="B230" s="85"/>
      <c r="C230" s="85"/>
      <c r="D230" s="85"/>
      <c r="E230" s="13"/>
      <c r="F230" s="13"/>
      <c r="G230" s="13"/>
      <c r="H230" s="13"/>
      <c r="I230" s="13"/>
      <c r="J230" s="13"/>
    </row>
    <row r="231" spans="1:14" ht="14.25" customHeight="1">
      <c r="A231" s="94" t="s">
        <v>1</v>
      </c>
      <c r="B231" s="94" t="s">
        <v>74</v>
      </c>
      <c r="C231" s="94" t="s">
        <v>3</v>
      </c>
      <c r="D231" s="121">
        <v>652</v>
      </c>
      <c r="E231" s="94" t="s">
        <v>4</v>
      </c>
      <c r="F231" s="111" t="s">
        <v>75</v>
      </c>
      <c r="G231" s="85"/>
      <c r="H231" s="110"/>
      <c r="I231" s="14" t="s">
        <v>6</v>
      </c>
      <c r="J231" s="14" t="s">
        <v>7</v>
      </c>
    </row>
    <row r="232" spans="1:14" ht="14.25" customHeight="1">
      <c r="A232" s="85"/>
      <c r="B232" s="85"/>
      <c r="C232" s="85"/>
      <c r="D232" s="85"/>
      <c r="E232" s="85"/>
      <c r="F232" s="85"/>
      <c r="G232" s="85"/>
      <c r="H232" s="110"/>
      <c r="I232" s="82"/>
      <c r="J232" s="82"/>
    </row>
    <row r="233" spans="1:14" ht="17.45" customHeight="1">
      <c r="A233" s="88" t="s">
        <v>8</v>
      </c>
      <c r="B233" s="88" t="s">
        <v>76</v>
      </c>
      <c r="E233" s="88" t="s">
        <v>10</v>
      </c>
      <c r="F233" s="109" t="s">
        <v>11</v>
      </c>
      <c r="G233" s="85"/>
      <c r="H233" s="110"/>
      <c r="I233" s="83"/>
      <c r="J233" s="83"/>
    </row>
    <row r="234" spans="1:14" ht="17.45" customHeight="1">
      <c r="A234" s="85"/>
      <c r="B234" s="85"/>
      <c r="E234" s="85"/>
      <c r="F234" s="85"/>
      <c r="G234" s="85"/>
      <c r="H234" s="110"/>
      <c r="I234" s="16"/>
      <c r="J234" s="16"/>
    </row>
    <row r="235" spans="1:14" ht="17.45" customHeight="1">
      <c r="A235" s="88" t="s">
        <v>12</v>
      </c>
      <c r="B235" s="88" t="s">
        <v>77</v>
      </c>
      <c r="E235" s="2" t="s">
        <v>14</v>
      </c>
      <c r="F235" s="113" t="s">
        <v>15</v>
      </c>
      <c r="G235" s="85"/>
      <c r="H235" s="23"/>
    </row>
    <row r="236" spans="1:14" ht="17.45" customHeight="1">
      <c r="A236" s="85"/>
      <c r="B236" s="85"/>
      <c r="E236" s="2" t="s">
        <v>16</v>
      </c>
      <c r="F236" s="23" t="s">
        <v>17</v>
      </c>
      <c r="G236" s="23"/>
      <c r="H236" s="23"/>
    </row>
    <row r="237" spans="1:14" ht="17.45" customHeight="1">
      <c r="A237" s="2" t="s">
        <v>18</v>
      </c>
      <c r="B237" s="4">
        <v>45818</v>
      </c>
      <c r="E237" s="2" t="s">
        <v>19</v>
      </c>
      <c r="F237" s="90">
        <v>200</v>
      </c>
      <c r="G237" s="85"/>
      <c r="H237" s="23"/>
    </row>
    <row r="238" spans="1:14" ht="17.45" customHeight="1">
      <c r="A238" s="2" t="s">
        <v>20</v>
      </c>
      <c r="B238" s="4">
        <v>45818</v>
      </c>
      <c r="E238" s="2" t="s">
        <v>21</v>
      </c>
      <c r="F238" s="23">
        <v>13.5</v>
      </c>
      <c r="G238" s="112" t="s">
        <v>22</v>
      </c>
      <c r="H238" s="99">
        <v>2700</v>
      </c>
      <c r="I238" s="100"/>
      <c r="J238" s="101"/>
    </row>
    <row r="239" spans="1:14" ht="17.45" customHeight="1">
      <c r="A239" s="21"/>
      <c r="B239" s="22"/>
      <c r="C239" s="22"/>
      <c r="D239" s="22"/>
      <c r="E239" s="2" t="s">
        <v>23</v>
      </c>
      <c r="F239" s="23" t="s">
        <v>24</v>
      </c>
      <c r="G239" s="102"/>
      <c r="H239" s="102"/>
      <c r="I239" s="103"/>
      <c r="J239" s="104"/>
    </row>
    <row r="240" spans="1:14" ht="13.5" customHeight="1">
      <c r="A240" s="105" t="s">
        <v>78</v>
      </c>
      <c r="B240" s="85"/>
      <c r="C240" s="85"/>
      <c r="D240" s="22"/>
      <c r="F240" s="3"/>
      <c r="G240" s="95" t="s">
        <v>26</v>
      </c>
      <c r="H240" s="114" t="s">
        <v>27</v>
      </c>
      <c r="I240" s="122" t="s">
        <v>28</v>
      </c>
      <c r="J240" s="110"/>
    </row>
    <row r="241" spans="1:10" ht="13.5" customHeight="1">
      <c r="A241" s="85"/>
      <c r="B241" s="85"/>
      <c r="C241" s="85"/>
      <c r="D241" s="22"/>
      <c r="F241" s="3"/>
      <c r="G241" s="96"/>
      <c r="H241" s="96"/>
      <c r="I241" s="103"/>
      <c r="J241" s="104"/>
    </row>
    <row r="242" spans="1:10" ht="13.5" customHeight="1">
      <c r="A242" s="1" t="s">
        <v>29</v>
      </c>
    </row>
    <row r="243" spans="1:10" ht="63" customHeight="1">
      <c r="A243" s="119"/>
      <c r="B243" s="120"/>
      <c r="C243" s="120"/>
      <c r="D243" s="120"/>
      <c r="E243" s="120"/>
      <c r="F243" s="120"/>
      <c r="G243" s="120"/>
      <c r="H243" s="120"/>
      <c r="I243" s="120"/>
      <c r="J243" s="120"/>
    </row>
    <row r="244" spans="1:10" ht="18.75">
      <c r="A244" s="25" t="s">
        <v>30</v>
      </c>
      <c r="B244" s="18" t="s">
        <v>31</v>
      </c>
      <c r="C244" s="106" t="s">
        <v>32</v>
      </c>
      <c r="D244" s="107"/>
      <c r="E244" s="18" t="s">
        <v>33</v>
      </c>
      <c r="F244" s="106" t="s">
        <v>34</v>
      </c>
      <c r="G244" s="107"/>
      <c r="H244" s="107"/>
      <c r="I244" s="118" t="s">
        <v>35</v>
      </c>
      <c r="J244" s="107"/>
    </row>
    <row r="245" spans="1:10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24">
        <v>1</v>
      </c>
      <c r="B246" s="27" t="s">
        <v>36</v>
      </c>
      <c r="C246" s="84" t="s">
        <v>37</v>
      </c>
      <c r="D246" s="85"/>
      <c r="E246" s="27" t="s">
        <v>38</v>
      </c>
      <c r="F246" s="84" t="s">
        <v>39</v>
      </c>
      <c r="G246" s="85"/>
      <c r="H246" s="85"/>
      <c r="I246" s="93"/>
      <c r="J246" s="85"/>
    </row>
    <row r="247" spans="1:10" ht="16.5" customHeight="1">
      <c r="A247" s="24">
        <v>1</v>
      </c>
      <c r="B247" s="28" t="s">
        <v>36</v>
      </c>
      <c r="C247" s="84" t="s">
        <v>37</v>
      </c>
      <c r="D247" s="85"/>
      <c r="E247" s="27" t="s">
        <v>40</v>
      </c>
      <c r="F247" s="84" t="s">
        <v>41</v>
      </c>
      <c r="G247" s="85"/>
      <c r="H247" s="85"/>
      <c r="I247" s="93"/>
      <c r="J247" s="85"/>
    </row>
    <row r="248" spans="1:10" ht="16.5" customHeight="1">
      <c r="A248" s="24"/>
      <c r="B248" s="28"/>
      <c r="C248" s="84"/>
      <c r="D248" s="85"/>
      <c r="E248" s="27"/>
      <c r="F248" s="84"/>
      <c r="G248" s="85"/>
      <c r="H248" s="85"/>
      <c r="I248" s="93"/>
      <c r="J248" s="85"/>
    </row>
    <row r="249" spans="1:10" ht="16.5" customHeight="1">
      <c r="A249" s="24"/>
      <c r="B249" s="28"/>
      <c r="C249" s="84"/>
      <c r="D249" s="85"/>
      <c r="E249" s="27"/>
      <c r="F249" s="84"/>
      <c r="G249" s="85"/>
      <c r="H249" s="85"/>
      <c r="I249" s="93"/>
      <c r="J249" s="85"/>
    </row>
    <row r="250" spans="1:10" ht="16.5" customHeight="1">
      <c r="A250" s="24"/>
      <c r="B250" s="28"/>
      <c r="C250" s="84"/>
      <c r="D250" s="85"/>
      <c r="E250" s="27"/>
      <c r="F250" s="84"/>
      <c r="G250" s="85"/>
      <c r="H250" s="85"/>
      <c r="I250" s="93"/>
      <c r="J250" s="85"/>
    </row>
    <row r="251" spans="1:10" ht="16.5" customHeight="1">
      <c r="A251" s="24"/>
      <c r="B251" s="28"/>
      <c r="C251" s="84"/>
      <c r="D251" s="85"/>
      <c r="E251" s="27"/>
      <c r="F251" s="84"/>
      <c r="G251" s="85"/>
      <c r="H251" s="85"/>
      <c r="I251" s="93"/>
      <c r="J251" s="85"/>
    </row>
    <row r="252" spans="1:10" ht="16.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</row>
    <row r="253" spans="1:10" ht="18.75">
      <c r="A253" s="86" t="s">
        <v>42</v>
      </c>
      <c r="B253" s="87"/>
      <c r="C253" s="86" t="s">
        <v>43</v>
      </c>
      <c r="D253" s="87"/>
      <c r="E253" s="87"/>
      <c r="F253" s="19" t="s">
        <v>44</v>
      </c>
      <c r="G253" s="86" t="s">
        <v>45</v>
      </c>
      <c r="H253" s="87"/>
      <c r="I253" s="86" t="s">
        <v>46</v>
      </c>
      <c r="J253" s="87"/>
    </row>
    <row r="254" spans="1:10" ht="14.25" customHeight="1">
      <c r="A254" s="8"/>
      <c r="B254" s="20"/>
      <c r="C254" s="108" t="s">
        <v>47</v>
      </c>
      <c r="D254" s="103"/>
      <c r="E254" s="20"/>
      <c r="F254" s="108" t="s">
        <v>29</v>
      </c>
      <c r="G254" s="103"/>
      <c r="H254" s="103"/>
      <c r="I254" s="103"/>
      <c r="J254" s="103"/>
    </row>
    <row r="255" spans="1:10">
      <c r="A255" s="9"/>
      <c r="C255" s="7"/>
      <c r="D255" s="7"/>
      <c r="E255" s="7"/>
    </row>
    <row r="256" spans="1:10" ht="14.25" customHeight="1">
      <c r="A256" s="84" t="s">
        <v>48</v>
      </c>
      <c r="B256" s="85"/>
      <c r="C256" s="84" t="s">
        <v>49</v>
      </c>
      <c r="D256" s="85"/>
      <c r="E256" s="85"/>
      <c r="F256" s="29" t="s">
        <v>27</v>
      </c>
      <c r="G256" s="97">
        <v>1350</v>
      </c>
      <c r="H256" s="85"/>
      <c r="I256" s="97">
        <v>6.75</v>
      </c>
      <c r="J256" s="85"/>
    </row>
    <row r="257" spans="1:11" ht="24.95" customHeight="1">
      <c r="A257" s="89" t="s">
        <v>50</v>
      </c>
      <c r="B257" s="85"/>
      <c r="C257" s="84" t="s">
        <v>11</v>
      </c>
      <c r="D257" s="85"/>
      <c r="E257" s="85"/>
      <c r="F257" s="84"/>
      <c r="G257" s="85"/>
      <c r="H257" s="85"/>
      <c r="I257" s="85"/>
      <c r="J257" s="85"/>
    </row>
    <row r="258" spans="1:11" ht="14.25" customHeight="1">
      <c r="A258" s="84" t="s">
        <v>71</v>
      </c>
      <c r="B258" s="85"/>
      <c r="C258" s="84" t="s">
        <v>72</v>
      </c>
      <c r="D258" s="85"/>
      <c r="E258" s="85"/>
      <c r="F258" s="29" t="s">
        <v>27</v>
      </c>
      <c r="G258" s="97">
        <v>13.5</v>
      </c>
      <c r="H258" s="85"/>
      <c r="I258" s="97">
        <v>6.7500000000000004E-2</v>
      </c>
      <c r="J258" s="85"/>
    </row>
    <row r="259" spans="1:11" ht="24.95" customHeight="1">
      <c r="A259" s="89" t="s">
        <v>73</v>
      </c>
      <c r="B259" s="85"/>
      <c r="C259" s="84"/>
      <c r="D259" s="85"/>
      <c r="E259" s="85"/>
      <c r="F259" s="84"/>
      <c r="G259" s="85"/>
      <c r="H259" s="85"/>
      <c r="I259" s="85"/>
      <c r="J259" s="85"/>
    </row>
    <row r="260" spans="1:11" ht="14.25" customHeight="1">
      <c r="A260" s="84"/>
      <c r="B260" s="85"/>
      <c r="C260" s="84"/>
      <c r="D260" s="85"/>
      <c r="E260" s="85"/>
      <c r="F260" s="29"/>
      <c r="G260" s="97"/>
      <c r="H260" s="85"/>
      <c r="I260" s="97"/>
      <c r="J260" s="85"/>
    </row>
    <row r="261" spans="1:11" ht="24.95" customHeight="1">
      <c r="A261" s="89"/>
      <c r="B261" s="85"/>
      <c r="C261" s="84"/>
      <c r="D261" s="85"/>
      <c r="E261" s="85"/>
      <c r="F261" s="84"/>
      <c r="G261" s="85"/>
      <c r="H261" s="85"/>
      <c r="I261" s="85"/>
      <c r="J261" s="85"/>
    </row>
    <row r="262" spans="1:11" ht="14.25" customHeight="1">
      <c r="A262" s="84"/>
      <c r="B262" s="85"/>
      <c r="C262" s="84"/>
      <c r="D262" s="85"/>
      <c r="E262" s="85"/>
      <c r="F262" s="29"/>
      <c r="G262" s="97"/>
      <c r="H262" s="85"/>
      <c r="I262" s="97"/>
      <c r="J262" s="85"/>
    </row>
    <row r="263" spans="1:11" ht="24.95" customHeight="1">
      <c r="A263" s="89"/>
      <c r="B263" s="85"/>
      <c r="C263" s="84"/>
      <c r="D263" s="85"/>
      <c r="E263" s="85"/>
      <c r="F263" s="84"/>
      <c r="G263" s="85"/>
      <c r="H263" s="85"/>
      <c r="I263" s="85"/>
      <c r="J263" s="85"/>
    </row>
    <row r="264" spans="1:11" ht="14.25" customHeight="1">
      <c r="A264" s="84"/>
      <c r="B264" s="85"/>
      <c r="C264" s="84"/>
      <c r="D264" s="85"/>
      <c r="E264" s="85"/>
      <c r="F264" s="29"/>
      <c r="G264" s="97"/>
      <c r="H264" s="85"/>
      <c r="I264" s="97"/>
      <c r="J264" s="85"/>
    </row>
    <row r="265" spans="1:11" ht="24.95" customHeight="1">
      <c r="A265" s="89"/>
      <c r="B265" s="85"/>
      <c r="C265" s="84"/>
      <c r="D265" s="85"/>
      <c r="E265" s="85"/>
      <c r="F265" s="84"/>
      <c r="G265" s="85"/>
      <c r="H265" s="85"/>
      <c r="I265" s="85"/>
      <c r="J265" s="85"/>
    </row>
    <row r="266" spans="1:11" s="5" customFormat="1" ht="18" customHeight="1">
      <c r="A266" s="136" t="s">
        <v>93</v>
      </c>
      <c r="B266" s="137"/>
      <c r="C266" s="137"/>
      <c r="D266" s="137"/>
      <c r="E266" s="30" t="s">
        <v>94</v>
      </c>
      <c r="F266" s="31"/>
      <c r="G266" s="115" t="s">
        <v>95</v>
      </c>
      <c r="H266" s="116"/>
      <c r="I266" s="32" t="s">
        <v>96</v>
      </c>
      <c r="J266" s="33" t="s">
        <v>97</v>
      </c>
    </row>
    <row r="267" spans="1:11" s="7" customFormat="1" ht="18" customHeight="1">
      <c r="A267" s="138" t="str">
        <f>F231</f>
        <v>001EGAW 652</v>
      </c>
      <c r="B267" s="139"/>
      <c r="C267" s="139"/>
      <c r="D267" s="139"/>
      <c r="E267" s="142" t="s">
        <v>134</v>
      </c>
      <c r="F267" s="143"/>
      <c r="G267" s="34" t="s">
        <v>98</v>
      </c>
      <c r="H267" s="35">
        <f>_xlfn.XLOOKUP($B233, [1]加工記録２!$CD:$CD,[1]加工記録２!AH:AH)</f>
        <v>0</v>
      </c>
      <c r="I267" s="144">
        <f>MAX(I279:I283)</f>
        <v>45811</v>
      </c>
      <c r="J267" s="133">
        <f>_xlfn.XLOOKUP($B233, [1]加工記録２!$CD:$CD,[1]加工記録２!AD:AD,,0)</f>
        <v>2700</v>
      </c>
    </row>
    <row r="268" spans="1:11" s="5" customFormat="1" ht="18" customHeight="1">
      <c r="A268" s="140"/>
      <c r="B268" s="141"/>
      <c r="C268" s="141"/>
      <c r="D268" s="141"/>
      <c r="E268" s="146" t="s">
        <v>99</v>
      </c>
      <c r="F268" s="146"/>
      <c r="G268" s="34" t="s">
        <v>100</v>
      </c>
      <c r="H268" s="35">
        <f>_xlfn.XLOOKUP($B233, [1]加工記録２!$CD:$CD,[1]加工記録２!AI:AI,,0)</f>
        <v>0</v>
      </c>
      <c r="I268" s="145"/>
      <c r="J268" s="133"/>
      <c r="K268" s="36"/>
    </row>
    <row r="269" spans="1:11" s="7" customFormat="1" ht="18" customHeight="1">
      <c r="A269" s="147" t="s">
        <v>101</v>
      </c>
      <c r="B269" s="123" t="str">
        <f>_xlfn.XLOOKUP(A240,[1]!テーブル5[品目コード],[1]!テーブル5[温度換算],,2)</f>
        <v>-</v>
      </c>
      <c r="C269" s="125" t="s">
        <v>102</v>
      </c>
      <c r="D269" s="127">
        <f>_xlfn.XLOOKUP(A240,[1]!テーブル5[品目コード],[1]!テーブル5[取数],,2)</f>
        <v>2</v>
      </c>
      <c r="E269" s="129" t="s">
        <v>103</v>
      </c>
      <c r="F269" s="129"/>
      <c r="G269" s="34" t="s">
        <v>104</v>
      </c>
      <c r="H269" s="35">
        <f>_xlfn.XLOOKUP($B233, [1]加工記録２!$CD:$CD,[1]加工記録２!AJ:AJ,,0)</f>
        <v>0</v>
      </c>
      <c r="I269" s="32" t="s">
        <v>105</v>
      </c>
      <c r="J269" s="32" t="s">
        <v>106</v>
      </c>
      <c r="K269" s="37"/>
    </row>
    <row r="270" spans="1:11" s="5" customFormat="1" ht="18" customHeight="1">
      <c r="A270" s="147"/>
      <c r="B270" s="124"/>
      <c r="C270" s="126"/>
      <c r="D270" s="128"/>
      <c r="E270" s="130">
        <f>_xlfn.XLOOKUP(A240,[1]!テーブル5[品目コード],[1]!テーブル5[備考１],,2)</f>
        <v>0</v>
      </c>
      <c r="F270" s="130"/>
      <c r="G270" s="34" t="s">
        <v>107</v>
      </c>
      <c r="H270" s="35">
        <f>_xlfn.XLOOKUP($B233, [1]加工記録２!$CD:$CD,[1]加工記録２!AK:AK,,0)</f>
        <v>0</v>
      </c>
      <c r="I270" s="131" t="str">
        <f>_xlfn.XLOOKUP($B233, [1]加工記録２!$CD:$CD,[1]加工記録２!CA:CA,,0)</f>
        <v>富田・水野</v>
      </c>
      <c r="J270" s="131" t="str">
        <f>_xlfn.XLOOKUP($B233, [1]加工記録２!$CD:$CD,[1]加工記録２!CB:CB,,0)</f>
        <v>-</v>
      </c>
      <c r="K270" s="36"/>
    </row>
    <row r="271" spans="1:11" s="7" customFormat="1" ht="18" customHeight="1">
      <c r="A271" s="148" t="s">
        <v>108</v>
      </c>
      <c r="B271" s="149">
        <f>D231</f>
        <v>652</v>
      </c>
      <c r="C271" s="151" t="s">
        <v>109</v>
      </c>
      <c r="D271" s="153" t="str">
        <f>_xlfn.XLOOKUP(A240,[1]!テーブル5[品目コード],[1]!テーブル5[上限公差],,2)</f>
        <v>+0.5</v>
      </c>
      <c r="E271" s="130" t="str">
        <f>_xlfn.XLOOKUP(A240,[1]!テーブル5[品目コード],[1]!テーブル5[備考２],,2)</f>
        <v>※使用基材、取数は依頼書にて確認</v>
      </c>
      <c r="F271" s="130"/>
      <c r="G271" s="34" t="s">
        <v>110</v>
      </c>
      <c r="H271" s="35">
        <f>_xlfn.XLOOKUP($B233, [1]加工記録２!$CD:$CD,[1]加工記録２!AL:AL,,0)</f>
        <v>0</v>
      </c>
      <c r="I271" s="132"/>
      <c r="J271" s="132"/>
      <c r="K271" s="37"/>
    </row>
    <row r="272" spans="1:11" s="5" customFormat="1" ht="18" customHeight="1">
      <c r="A272" s="148"/>
      <c r="B272" s="150"/>
      <c r="C272" s="152"/>
      <c r="D272" s="154"/>
      <c r="E272" s="155" t="s">
        <v>111</v>
      </c>
      <c r="F272" s="155"/>
      <c r="G272" s="34" t="s">
        <v>112</v>
      </c>
      <c r="H272" s="35">
        <f>_xlfn.XLOOKUP($B233, [1]加工記録２!$CD:$CD,[1]加工記録２!AM:AM,,0)</f>
        <v>0</v>
      </c>
      <c r="I272" s="38" t="s">
        <v>113</v>
      </c>
      <c r="J272" s="38" t="s">
        <v>114</v>
      </c>
      <c r="K272" s="36"/>
    </row>
    <row r="273" spans="1:22" s="7" customFormat="1" ht="18" customHeight="1">
      <c r="A273" s="147" t="s">
        <v>115</v>
      </c>
      <c r="B273" s="157">
        <v>652</v>
      </c>
      <c r="C273" s="159" t="s">
        <v>116</v>
      </c>
      <c r="D273" s="153">
        <f>_xlfn.XLOOKUP(A240,[1]!テーブル5[品目コード],[1]!テーブル5[下限公差],,2)</f>
        <v>-0.5</v>
      </c>
      <c r="E273" s="162" t="str">
        <f>_xlfn.XLOOKUP(A240,[1]!テーブル5[品目コード],[1]!テーブル5[梱包方法],,2)</f>
        <v>ラベル２枚　長手有　鉢巻無</v>
      </c>
      <c r="F273" s="162"/>
      <c r="G273" s="34" t="s">
        <v>117</v>
      </c>
      <c r="H273" s="35">
        <f>_xlfn.XLOOKUP($B233, [1]加工記録２!$CD:$CD,[1]加工記録２!AN:AN,,0)</f>
        <v>0</v>
      </c>
      <c r="I273" s="133">
        <f>_xlfn.XLOOKUP($B233, [1]加工記録２!$CD:$CD,[1]加工記録２!AF:AF,,0)</f>
        <v>0</v>
      </c>
      <c r="J273" s="133">
        <f>_xlfn.XLOOKUP($B233, [1]加工記録２!$CD:$CD,[1]加工記録２!AE:AE,,0)</f>
        <v>0</v>
      </c>
      <c r="K273" s="37"/>
    </row>
    <row r="274" spans="1:22" s="5" customFormat="1" ht="18" customHeight="1" thickBot="1">
      <c r="A274" s="156"/>
      <c r="B274" s="158"/>
      <c r="C274" s="160"/>
      <c r="D274" s="161"/>
      <c r="E274" s="134"/>
      <c r="F274" s="134"/>
      <c r="G274" s="39" t="s">
        <v>118</v>
      </c>
      <c r="H274" s="40">
        <f>SUM(H267:H273)</f>
        <v>0</v>
      </c>
      <c r="I274" s="133"/>
      <c r="J274" s="133"/>
    </row>
    <row r="275" spans="1:22" s="49" customFormat="1" ht="18.95" customHeight="1">
      <c r="A275" s="41" t="s">
        <v>119</v>
      </c>
      <c r="B275" s="42" t="s">
        <v>120</v>
      </c>
      <c r="C275" s="43" t="s">
        <v>121</v>
      </c>
      <c r="D275" s="43" t="s">
        <v>122</v>
      </c>
      <c r="E275" s="44" t="s">
        <v>123</v>
      </c>
      <c r="F275" s="45" t="s">
        <v>124</v>
      </c>
      <c r="G275" s="44" t="s">
        <v>125</v>
      </c>
      <c r="H275" s="46" t="s">
        <v>126</v>
      </c>
      <c r="I275" s="47" t="s">
        <v>127</v>
      </c>
      <c r="J275" s="38" t="s">
        <v>128</v>
      </c>
      <c r="K275" s="48"/>
      <c r="L275" s="48"/>
      <c r="M275" s="48"/>
      <c r="N275" s="48"/>
    </row>
    <row r="276" spans="1:22" s="58" customFormat="1" ht="18.95" customHeight="1">
      <c r="A276" s="50" t="str">
        <f>IFERROR(_xlfn.XLOOKUP($B233&amp;$J267,[1]加工記録２!B:B&amp;[1]加工記録２!AD:AD,[1]加工記録２!BB:BB,,0),"/")</f>
        <v>/</v>
      </c>
      <c r="B276" s="51" t="str">
        <f>_xlfn.XLOOKUP($B233,[1]加工記録２!$CD:$CD,[1]加工記録２!BJ:BJ,,0)</f>
        <v/>
      </c>
      <c r="C276" s="52"/>
      <c r="D276" s="53"/>
      <c r="E276" s="52"/>
      <c r="F276" s="54" t="s">
        <v>129</v>
      </c>
      <c r="G276" s="55" t="str">
        <f>IFERROR(SUM(H276*$D269),"")</f>
        <v/>
      </c>
      <c r="H276" s="56" t="str">
        <f>_xlfn.XLOOKUP($B233,[1]加工記録２!$CD:$CD,[1]加工記録２!BR:BR,,0)</f>
        <v/>
      </c>
      <c r="I276" s="135">
        <f>_xlfn.XLOOKUP($B233, [1]加工記録２!$CD:$CD,[1]加工記録２!AO:AO,,0)</f>
        <v>0</v>
      </c>
      <c r="J276" s="133">
        <f>_xlfn.XLOOKUP($B233, [1]加工記録２!$CD:$CD,[1]加工記録２!AG:AG,,0)</f>
        <v>1350</v>
      </c>
      <c r="K276" s="57"/>
      <c r="L276" s="57"/>
      <c r="M276" s="57"/>
      <c r="N276" s="57"/>
      <c r="V276" s="59"/>
    </row>
    <row r="277" spans="1:22" s="58" customFormat="1" ht="18.95" customHeight="1" thickBot="1">
      <c r="A277" s="60">
        <f>IFERROR(_xlfn.XLOOKUP($B233&amp;$J267,[1]加工記録２!$CD:$CD&amp;[1]加工記録２!AD:AD,[1]加工記録２!BC:BC,,0),"/")</f>
        <v>45811</v>
      </c>
      <c r="B277" s="61" t="str">
        <f>_xlfn.XLOOKUP($B233,[1]加工記録２!$CD:$CD,[1]加工記録２!BK:BK,,0)</f>
        <v>25E26C</v>
      </c>
      <c r="C277" s="61">
        <f>_xlfn.XLOOKUP($B233,[1]加工記録２!$CD:$CD,[1]加工記録２!P:P,,0)</f>
        <v>22</v>
      </c>
      <c r="D277" s="62">
        <v>652</v>
      </c>
      <c r="E277" s="63">
        <f>_xlfn.XLOOKUP($B233, [1]加工記録２!$CD:$CD,[1]加工記録２!W:W,,0)</f>
        <v>651.97</v>
      </c>
      <c r="F277" s="64"/>
      <c r="G277" s="65">
        <f>IFERROR(SUM(H277*$D269),"")</f>
        <v>1200</v>
      </c>
      <c r="H277" s="66">
        <f>_xlfn.XLOOKUP($B233,[1]加工記録２!$CD:$CD,[1]加工記録２!BS:BS,,0)</f>
        <v>600</v>
      </c>
      <c r="I277" s="135"/>
      <c r="J277" s="133"/>
      <c r="K277" s="57"/>
      <c r="L277" s="57"/>
      <c r="M277" s="57"/>
      <c r="N277" s="57"/>
    </row>
    <row r="278" spans="1:22" s="58" customFormat="1" ht="18.95" customHeight="1" thickBot="1">
      <c r="A278" s="60">
        <f>IFERROR(_xlfn.XLOOKUP($B233&amp;$J267,[1]加工記録２!$CD:$CD&amp;[1]加工記録２!AD:AD,[1]加工記録２!BD:BD,,0),"/")</f>
        <v>45811</v>
      </c>
      <c r="B278" s="61" t="str">
        <f>_xlfn.XLOOKUP($B233,[1]加工記録２!CD:CD,[1]加工記録２!BL:BL,,0)</f>
        <v>25E24A</v>
      </c>
      <c r="C278" s="61">
        <f>_xlfn.XLOOKUP($B233,[1]加工記録２!$CD:$CD,[1]加工記録２!Q:Q,,0)</f>
        <v>24</v>
      </c>
      <c r="D278" s="62" t="str">
        <f>IFERROR(_xlfn.XLOOKUP(IF(_xlfn.XLOOKUP($B233,[1]加工記録２!$CD:$CD,[1]加工記録２!C:C,,0)="","",_xlfn.XLOOKUP($B233,[1]加工記録２!$CD:$CD,[1]加工記録２!C:C,,0))&amp;C278,[1]温度換算!A:A,[1]温度換算!C:C),"")</f>
        <v/>
      </c>
      <c r="E278" s="63">
        <f>_xlfn.XLOOKUP($B233, [1]加工記録２!$CD:$CD,[1]加工記録２!X:X,,0)</f>
        <v>652.20000000000005</v>
      </c>
      <c r="F278" s="64"/>
      <c r="G278" s="65">
        <f>IFERROR(SUM(H278*$D269),"")</f>
        <v>900</v>
      </c>
      <c r="H278" s="66">
        <f>_xlfn.XLOOKUP($B233,[1]加工記録２!$CD:$CD,[1]加工記録２!BT:BT,,0)</f>
        <v>450</v>
      </c>
      <c r="I278" s="67" t="s">
        <v>130</v>
      </c>
      <c r="J278" s="68" t="s">
        <v>131</v>
      </c>
      <c r="K278" s="57"/>
      <c r="L278" s="57"/>
      <c r="M278" s="57"/>
      <c r="N278" s="57"/>
    </row>
    <row r="279" spans="1:22" s="58" customFormat="1" ht="18.95" customHeight="1">
      <c r="A279" s="60">
        <f>IFERROR(_xlfn.XLOOKUP($B233&amp;$J267,[1]加工記録２!$CD:$CD&amp;[1]加工記録２!AD:AD,[1]加工記録２!BE:BE,,0),"/")</f>
        <v>45811</v>
      </c>
      <c r="B279" s="61" t="str">
        <f>_xlfn.XLOOKUP($B233,[1]加工記録２!$CD:$CD,[1]加工記録２!BM:BM,,0)</f>
        <v>25E26C</v>
      </c>
      <c r="C279" s="61">
        <f>_xlfn.XLOOKUP($B233,[1]加工記録２!$CD:$CD,[1]加工記録２!R:R,,0)</f>
        <v>26</v>
      </c>
      <c r="D279" s="62" t="str">
        <f>IFERROR(_xlfn.XLOOKUP(IF(_xlfn.XLOOKUP($B233,[1]加工記録２!$CD:$CD,[1]加工記録２!C:C,,0)="","",_xlfn.XLOOKUP($B233,[1]加工記録２!$CD:$CD,[1]加工記録２!C:C,,0))&amp;C279,[1]温度換算!A:A,[1]温度換算!C:C),"")</f>
        <v/>
      </c>
      <c r="E279" s="63">
        <f>_xlfn.XLOOKUP($B233, [1]加工記録２!$CD:$CD,[1]加工記録２!Y:Y,,0)</f>
        <v>652.16999999999996</v>
      </c>
      <c r="F279" s="64"/>
      <c r="G279" s="65" t="str">
        <f>IFERROR(SUM(H279*$D269),"")</f>
        <v/>
      </c>
      <c r="H279" s="66" t="str">
        <f>_xlfn.XLOOKUP($B233,[1]加工記録２!$CD:$CD,[1]加工記録２!BU:BU,,0)</f>
        <v/>
      </c>
      <c r="I279" s="69">
        <f>_xlfn.LET(_xlpm.val,_xlfn.XLOOKUP($B233,[1]加工記録２!$CD:$CD,[1]加工記録２!AQ:AQ,""),IF(OR(_xlpm.val="",_xlpm.val=0),"",_xlpm.val))</f>
        <v>45811</v>
      </c>
      <c r="J279" s="70">
        <f>_xlfn.LET(_xlpm.val,_xlfn.XLOOKUP($B233,[1]加工記録２!$CD:$CD,[1]加工記録２!AR:AR,""),IF(OR(_xlpm.val="",_xlpm.val=0),"",_xlpm.val))</f>
        <v>14</v>
      </c>
      <c r="K279" s="57"/>
      <c r="L279" s="57"/>
      <c r="M279" s="57"/>
      <c r="N279" s="57"/>
    </row>
    <row r="280" spans="1:22" s="58" customFormat="1" ht="18.95" customHeight="1">
      <c r="A280" s="60">
        <f>IFERROR(_xlfn.XLOOKUP($B233&amp;$J267,[1]加工記録２!$CD:$CD&amp;[1]加工記録２!AD:AD,[1]加工記録２!BF:BF,,0),"/")</f>
        <v>45811</v>
      </c>
      <c r="B280" s="61" t="str">
        <f>_xlfn.XLOOKUP($B233,[1]加工記録２!$CD:$CD,[1]加工記録２!BN:BN,,0)</f>
        <v>25E26B</v>
      </c>
      <c r="C280" s="61">
        <f>_xlfn.XLOOKUP($B233,[1]加工記録２!$CD:$CD,[1]加工記録２!S:S,,0)</f>
        <v>26</v>
      </c>
      <c r="D280" s="62" t="str">
        <f>IFERROR(_xlfn.XLOOKUP(IF(_xlfn.XLOOKUP($B233,[1]加工記録２!$CD:$CD,[1]加工記録２!C:C,,0)="","",_xlfn.XLOOKUP($B233,[1]加工記録２!$CD:$CD,[1]加工記録２!C:C,,0))&amp;C280,[1]温度換算!A:A,[1]温度換算!C:C),"")</f>
        <v/>
      </c>
      <c r="E280" s="63">
        <f>_xlfn.XLOOKUP($B233, [1]加工記録２!$CD:$CD,[1]加工記録２!Z:Z,,0)</f>
        <v>652.03</v>
      </c>
      <c r="F280" s="64"/>
      <c r="G280" s="65">
        <f>IFERROR(SUM(H280*$D269),"")</f>
        <v>600</v>
      </c>
      <c r="H280" s="66">
        <f>_xlfn.XLOOKUP($B233,[1]加工記録２!$CD:$CD,[1]加工記録２!BV:BV,,0)</f>
        <v>300</v>
      </c>
      <c r="I280" s="71" t="str">
        <f>_xlfn.LET(_xlpm.val,_xlfn.XLOOKUP($B233,[1]加工記録２!$CD:$CD,[1]加工記録２!AS:AS,""),IF(OR(_xlpm.val="",_xlpm.val=0),"",_xlpm.val))</f>
        <v/>
      </c>
      <c r="J280" s="72" t="str">
        <f>_xlfn.LET(_xlpm.val,_xlfn.XLOOKUP($B233,[1]加工記録２!$CD:$CD,[1]加工記録２!AT:AT,""),IF(OR(_xlpm.val="",_xlpm.val=0),"",_xlpm.val))</f>
        <v/>
      </c>
      <c r="K280" s="57"/>
      <c r="L280" s="57"/>
      <c r="M280" s="57"/>
      <c r="N280" s="57"/>
    </row>
    <row r="281" spans="1:22" s="58" customFormat="1" ht="18.95" customHeight="1">
      <c r="A281" s="60" t="str">
        <f>IFERROR(_xlfn.XLOOKUP($B233&amp;$J267,[1]加工記録２!$CD:$CD&amp;[1]加工記録２!AD:AD,[1]加工記録２!BG:BG,,0),"/")</f>
        <v/>
      </c>
      <c r="B281" s="61" t="str">
        <f>_xlfn.XLOOKUP($B233,[1]加工記録２!$CD:$CD,[1]加工記録２!BO:BO,,0)</f>
        <v/>
      </c>
      <c r="C281" s="61" t="str">
        <f>_xlfn.XLOOKUP($B233,[1]加工記録２!$CD:$CD,[1]加工記録２!T:T,,0)</f>
        <v/>
      </c>
      <c r="D281" s="62"/>
      <c r="E281" s="63" t="str">
        <f>_xlfn.XLOOKUP($B233, [1]加工記録２!$CD:$CD,[1]加工記録２!AA:AA,,0)</f>
        <v/>
      </c>
      <c r="F281" s="64"/>
      <c r="G281" s="65" t="str">
        <f>IFERROR(SUM(H281*$D269),"")</f>
        <v/>
      </c>
      <c r="H281" s="66" t="str">
        <f>_xlfn.XLOOKUP($B233,[1]加工記録２!$CD:$CD,[1]加工記録２!BW:BW,,0)</f>
        <v/>
      </c>
      <c r="I281" s="71" t="str">
        <f>_xlfn.LET(_xlpm.val,_xlfn.XLOOKUP($B233,[1]加工記録２!$CD:$CD,[1]加工記録２!AU:AU,""),IF(OR(_xlpm.val="",_xlpm.val=0),"",_xlpm.val))</f>
        <v/>
      </c>
      <c r="J281" s="72" t="str">
        <f>_xlfn.LET(_xlpm.val,_xlfn.XLOOKUP($B233,[1]加工記録２!$CD:$CD,[1]加工記録２!AV:AV,""),IF(OR(_xlpm.val="",_xlpm.val=0),"",_xlpm.val))</f>
        <v/>
      </c>
      <c r="K281" s="57"/>
      <c r="L281" s="57"/>
      <c r="M281" s="57"/>
      <c r="N281" s="57"/>
    </row>
    <row r="282" spans="1:22" s="58" customFormat="1" ht="18.95" customHeight="1">
      <c r="A282" s="60" t="str">
        <f>IFERROR(_xlfn.XLOOKUP($B233&amp;$J267,[1]加工記録２!$CD:$CD&amp;[1]加工記録２!AD:AD,[1]加工記録２!BH:BH,,0),"/")</f>
        <v/>
      </c>
      <c r="B282" s="61" t="str">
        <f>_xlfn.XLOOKUP($B233,[1]加工記録２!$CD:$CD,[1]加工記録２!BP:BP,,0)</f>
        <v/>
      </c>
      <c r="C282" s="61" t="str">
        <f>_xlfn.XLOOKUP($B233,[1]加工記録２!$CD:$CD,[1]加工記録２!U:U,,0)</f>
        <v/>
      </c>
      <c r="D282" s="62"/>
      <c r="E282" s="63" t="str">
        <f>_xlfn.XLOOKUP($B233, [1]加工記録２!$CD:$CD,[1]加工記録２!AB:AB,,0)</f>
        <v/>
      </c>
      <c r="F282" s="64"/>
      <c r="G282" s="65" t="str">
        <f>IFERROR(SUM(H282*$D269),"")</f>
        <v/>
      </c>
      <c r="H282" s="66" t="str">
        <f>_xlfn.XLOOKUP($B233,[1]加工記録２!$CD:$CD,[1]加工記録２!BX:BX,,0)</f>
        <v/>
      </c>
      <c r="I282" s="71" t="str">
        <f>_xlfn.LET(_xlpm.val,_xlfn.XLOOKUP($B233,[1]加工記録２!$CD:$CD,[1]加工記録２!AW:AW,""),IF(OR(_xlpm.val="",_xlpm.val=0),"",_xlpm.val))</f>
        <v/>
      </c>
      <c r="J282" s="72" t="str">
        <f>_xlfn.LET(_xlpm.val,_xlfn.XLOOKUP($B233,[1]加工記録２!$CD:$CD,[1]加工記録２!AX:AX,""),IF(OR(_xlpm.val="",_xlpm.val=0),"",_xlpm.val))</f>
        <v/>
      </c>
      <c r="K282" s="57"/>
      <c r="L282" s="57"/>
      <c r="M282" s="57"/>
      <c r="N282" s="57"/>
    </row>
    <row r="283" spans="1:22" s="58" customFormat="1" ht="18.95" customHeight="1" thickBot="1">
      <c r="A283" s="73" t="str">
        <f>IFERROR(_xlfn.XLOOKUP($B233&amp;$J267,[1]加工記録２!$CD:$CD&amp;[1]加工記録２!AD:AD,[1]加工記録２!BI:BI,,0),"/")</f>
        <v/>
      </c>
      <c r="B283" s="74" t="str">
        <f>_xlfn.XLOOKUP($B233,[1]加工記録２!$CD:$CD,[1]加工記録２!BQ:BQ,,0)</f>
        <v/>
      </c>
      <c r="C283" s="74" t="str">
        <f>_xlfn.XLOOKUP($B233,[1]加工記録２!$CD:$CD,[1]加工記録２!V:V,,0)</f>
        <v/>
      </c>
      <c r="D283" s="75"/>
      <c r="E283" s="76" t="str">
        <f>_xlfn.XLOOKUP($B233, [1]加工記録２!$CD:$CD,[1]加工記録２!AC:AC,,0)</f>
        <v/>
      </c>
      <c r="F283" s="77"/>
      <c r="G283" s="78" t="str">
        <f>IFERROR(SUM(H283*$D269),"")</f>
        <v/>
      </c>
      <c r="H283" s="79" t="str">
        <f>_xlfn.XLOOKUP($B233,[1]加工記録２!$CD:$CD,[1]加工記録２!BY:BY,,0)</f>
        <v/>
      </c>
      <c r="I283" s="80" t="str">
        <f>_xlfn.LET(_xlpm.val,_xlfn.XLOOKUP($B233,[1]加工記録２!$CD:$CD,[1]加工記録２!AY:AY,""),IF(OR(_xlpm.val="",_xlpm.val=0),"",_xlpm.val))</f>
        <v/>
      </c>
      <c r="J283" s="81" t="str">
        <f>_xlfn.LET(_xlpm.val,_xlfn.XLOOKUP($B233,[1]加工記録２!$CD:$CD,[1]加工記録２!AZ:AZ,""),IF(OR(_xlpm.val="",_xlpm.val=0),"",_xlpm.val))</f>
        <v/>
      </c>
      <c r="K283" s="57"/>
      <c r="L283" s="57"/>
      <c r="M283" s="57"/>
      <c r="N283" s="57"/>
    </row>
    <row r="284" spans="1:22" ht="18.95" customHeight="1" thickBo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</row>
    <row r="285" spans="1:22" ht="18.95" customHeight="1" thickTop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spans="1:22" ht="14.25" customHeight="1" thickBot="1">
      <c r="A286" s="12"/>
      <c r="B286" s="117" t="s">
        <v>0</v>
      </c>
      <c r="C286" s="85"/>
      <c r="D286" s="85"/>
      <c r="E286" s="12"/>
      <c r="F286" s="12"/>
      <c r="G286" s="12"/>
      <c r="H286" s="12"/>
      <c r="I286" s="12"/>
      <c r="J286" s="12"/>
    </row>
    <row r="287" spans="1:22" ht="14.25" customHeight="1">
      <c r="A287" s="13"/>
      <c r="B287" s="85"/>
      <c r="C287" s="85"/>
      <c r="D287" s="85"/>
      <c r="E287" s="13"/>
      <c r="F287" s="13"/>
      <c r="G287" s="13"/>
      <c r="H287" s="13"/>
      <c r="I287" s="13"/>
      <c r="J287" s="13"/>
    </row>
    <row r="288" spans="1:22" ht="14.25" customHeight="1">
      <c r="A288" s="94" t="s">
        <v>1</v>
      </c>
      <c r="B288" s="94" t="s">
        <v>79</v>
      </c>
      <c r="C288" s="94" t="s">
        <v>3</v>
      </c>
      <c r="D288" s="121">
        <v>665</v>
      </c>
      <c r="E288" s="94" t="s">
        <v>4</v>
      </c>
      <c r="F288" s="111" t="s">
        <v>80</v>
      </c>
      <c r="G288" s="85"/>
      <c r="H288" s="110"/>
      <c r="I288" s="14" t="s">
        <v>6</v>
      </c>
      <c r="J288" s="14" t="s">
        <v>7</v>
      </c>
    </row>
    <row r="289" spans="1:10" ht="14.25" customHeight="1">
      <c r="A289" s="85"/>
      <c r="B289" s="85"/>
      <c r="C289" s="85"/>
      <c r="D289" s="85"/>
      <c r="E289" s="85"/>
      <c r="F289" s="85"/>
      <c r="G289" s="85"/>
      <c r="H289" s="110"/>
      <c r="I289" s="82"/>
      <c r="J289" s="82"/>
    </row>
    <row r="290" spans="1:10" ht="17.45" customHeight="1">
      <c r="A290" s="88" t="s">
        <v>8</v>
      </c>
      <c r="B290" s="88" t="s">
        <v>81</v>
      </c>
      <c r="E290" s="88" t="s">
        <v>10</v>
      </c>
      <c r="F290" s="109" t="s">
        <v>11</v>
      </c>
      <c r="G290" s="85"/>
      <c r="H290" s="110"/>
      <c r="I290" s="83"/>
      <c r="J290" s="83"/>
    </row>
    <row r="291" spans="1:10" ht="17.45" customHeight="1">
      <c r="A291" s="85"/>
      <c r="B291" s="85"/>
      <c r="E291" s="85"/>
      <c r="F291" s="85"/>
      <c r="G291" s="85"/>
      <c r="H291" s="110"/>
      <c r="I291" s="16"/>
      <c r="J291" s="16"/>
    </row>
    <row r="292" spans="1:10" ht="17.45" customHeight="1">
      <c r="A292" s="88" t="s">
        <v>12</v>
      </c>
      <c r="B292" s="88" t="s">
        <v>82</v>
      </c>
      <c r="E292" s="2" t="s">
        <v>14</v>
      </c>
      <c r="F292" s="113" t="s">
        <v>15</v>
      </c>
      <c r="G292" s="85"/>
      <c r="H292" s="23"/>
    </row>
    <row r="293" spans="1:10" ht="17.45" customHeight="1">
      <c r="A293" s="85"/>
      <c r="B293" s="85"/>
      <c r="E293" s="2" t="s">
        <v>16</v>
      </c>
      <c r="F293" s="23" t="s">
        <v>17</v>
      </c>
      <c r="G293" s="23"/>
      <c r="H293" s="23"/>
    </row>
    <row r="294" spans="1:10" ht="17.45" customHeight="1">
      <c r="A294" s="2" t="s">
        <v>18</v>
      </c>
      <c r="B294" s="4">
        <v>45818</v>
      </c>
      <c r="E294" s="2" t="s">
        <v>19</v>
      </c>
      <c r="F294" s="90">
        <v>200</v>
      </c>
      <c r="G294" s="85"/>
      <c r="H294" s="23"/>
    </row>
    <row r="295" spans="1:10" ht="17.45" customHeight="1">
      <c r="A295" s="2" t="s">
        <v>20</v>
      </c>
      <c r="B295" s="4">
        <v>45818</v>
      </c>
      <c r="E295" s="2" t="s">
        <v>21</v>
      </c>
      <c r="F295" s="23">
        <v>1</v>
      </c>
      <c r="G295" s="112" t="s">
        <v>22</v>
      </c>
      <c r="H295" s="99">
        <v>200</v>
      </c>
      <c r="I295" s="100"/>
      <c r="J295" s="101"/>
    </row>
    <row r="296" spans="1:10" ht="17.45" customHeight="1">
      <c r="A296" s="21"/>
      <c r="B296" s="22"/>
      <c r="C296" s="22"/>
      <c r="D296" s="22"/>
      <c r="E296" s="2" t="s">
        <v>23</v>
      </c>
      <c r="F296" s="23" t="s">
        <v>24</v>
      </c>
      <c r="G296" s="102"/>
      <c r="H296" s="102"/>
      <c r="I296" s="103"/>
      <c r="J296" s="104"/>
    </row>
    <row r="297" spans="1:10" ht="13.5" customHeight="1">
      <c r="A297" s="105" t="s">
        <v>83</v>
      </c>
      <c r="B297" s="85"/>
      <c r="C297" s="85"/>
      <c r="D297" s="22"/>
      <c r="F297" s="3"/>
      <c r="G297" s="95" t="s">
        <v>26</v>
      </c>
      <c r="H297" s="114" t="s">
        <v>27</v>
      </c>
      <c r="I297" s="122" t="s">
        <v>28</v>
      </c>
      <c r="J297" s="110"/>
    </row>
    <row r="298" spans="1:10" ht="13.5" customHeight="1">
      <c r="A298" s="85"/>
      <c r="B298" s="85"/>
      <c r="C298" s="85"/>
      <c r="D298" s="22"/>
      <c r="F298" s="3"/>
      <c r="G298" s="96"/>
      <c r="H298" s="96"/>
      <c r="I298" s="103"/>
      <c r="J298" s="104"/>
    </row>
    <row r="299" spans="1:10" ht="13.5" customHeight="1">
      <c r="A299" s="1" t="s">
        <v>29</v>
      </c>
    </row>
    <row r="300" spans="1:10" ht="63" customHeight="1">
      <c r="A300" s="119"/>
      <c r="B300" s="120"/>
      <c r="C300" s="120"/>
      <c r="D300" s="120"/>
      <c r="E300" s="120"/>
      <c r="F300" s="120"/>
      <c r="G300" s="120"/>
      <c r="H300" s="120"/>
      <c r="I300" s="120"/>
      <c r="J300" s="120"/>
    </row>
    <row r="301" spans="1:10" ht="18.75">
      <c r="A301" s="25" t="s">
        <v>30</v>
      </c>
      <c r="B301" s="18" t="s">
        <v>31</v>
      </c>
      <c r="C301" s="106" t="s">
        <v>32</v>
      </c>
      <c r="D301" s="107"/>
      <c r="E301" s="18" t="s">
        <v>33</v>
      </c>
      <c r="F301" s="106" t="s">
        <v>34</v>
      </c>
      <c r="G301" s="107"/>
      <c r="H301" s="107"/>
      <c r="I301" s="118" t="s">
        <v>35</v>
      </c>
      <c r="J301" s="107"/>
    </row>
    <row r="302" spans="1:10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24">
        <v>1</v>
      </c>
      <c r="B303" s="27" t="s">
        <v>36</v>
      </c>
      <c r="C303" s="84" t="s">
        <v>37</v>
      </c>
      <c r="D303" s="85"/>
      <c r="E303" s="27" t="s">
        <v>38</v>
      </c>
      <c r="F303" s="84" t="s">
        <v>39</v>
      </c>
      <c r="G303" s="85"/>
      <c r="H303" s="85"/>
      <c r="I303" s="93"/>
      <c r="J303" s="85"/>
    </row>
    <row r="304" spans="1:10" ht="16.5" customHeight="1">
      <c r="A304" s="24">
        <v>1</v>
      </c>
      <c r="B304" s="28" t="s">
        <v>36</v>
      </c>
      <c r="C304" s="84" t="s">
        <v>37</v>
      </c>
      <c r="D304" s="85"/>
      <c r="E304" s="27" t="s">
        <v>40</v>
      </c>
      <c r="F304" s="84" t="s">
        <v>41</v>
      </c>
      <c r="G304" s="85"/>
      <c r="H304" s="85"/>
      <c r="I304" s="93"/>
      <c r="J304" s="85"/>
    </row>
    <row r="305" spans="1:10" ht="16.5" customHeight="1">
      <c r="A305" s="24"/>
      <c r="B305" s="28"/>
      <c r="C305" s="84"/>
      <c r="D305" s="85"/>
      <c r="E305" s="27"/>
      <c r="F305" s="84"/>
      <c r="G305" s="85"/>
      <c r="H305" s="85"/>
      <c r="I305" s="93"/>
      <c r="J305" s="85"/>
    </row>
    <row r="306" spans="1:10" ht="16.5" customHeight="1">
      <c r="A306" s="24"/>
      <c r="B306" s="28"/>
      <c r="C306" s="84"/>
      <c r="D306" s="85"/>
      <c r="E306" s="27"/>
      <c r="F306" s="84"/>
      <c r="G306" s="85"/>
      <c r="H306" s="85"/>
      <c r="I306" s="93"/>
      <c r="J306" s="85"/>
    </row>
    <row r="307" spans="1:10" ht="16.5" customHeight="1">
      <c r="A307" s="24"/>
      <c r="B307" s="28"/>
      <c r="C307" s="84"/>
      <c r="D307" s="85"/>
      <c r="E307" s="27"/>
      <c r="F307" s="84"/>
      <c r="G307" s="85"/>
      <c r="H307" s="85"/>
      <c r="I307" s="93"/>
      <c r="J307" s="85"/>
    </row>
    <row r="308" spans="1:10" ht="16.5" customHeight="1">
      <c r="A308" s="24"/>
      <c r="B308" s="28"/>
      <c r="C308" s="84"/>
      <c r="D308" s="85"/>
      <c r="E308" s="27"/>
      <c r="F308" s="84"/>
      <c r="G308" s="85"/>
      <c r="H308" s="85"/>
      <c r="I308" s="93"/>
      <c r="J308" s="85"/>
    </row>
    <row r="309" spans="1:10" ht="16.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</row>
    <row r="310" spans="1:10" ht="18.75">
      <c r="A310" s="86" t="s">
        <v>42</v>
      </c>
      <c r="B310" s="87"/>
      <c r="C310" s="86" t="s">
        <v>43</v>
      </c>
      <c r="D310" s="87"/>
      <c r="E310" s="87"/>
      <c r="F310" s="19" t="s">
        <v>44</v>
      </c>
      <c r="G310" s="86" t="s">
        <v>45</v>
      </c>
      <c r="H310" s="87"/>
      <c r="I310" s="86" t="s">
        <v>46</v>
      </c>
      <c r="J310" s="87"/>
    </row>
    <row r="311" spans="1:10" ht="14.25" customHeight="1">
      <c r="A311" s="8"/>
      <c r="B311" s="20"/>
      <c r="C311" s="108" t="s">
        <v>47</v>
      </c>
      <c r="D311" s="103"/>
      <c r="E311" s="20"/>
      <c r="F311" s="108" t="s">
        <v>29</v>
      </c>
      <c r="G311" s="103"/>
      <c r="H311" s="103"/>
      <c r="I311" s="103"/>
      <c r="J311" s="103"/>
    </row>
    <row r="312" spans="1:10">
      <c r="A312" s="9"/>
      <c r="C312" s="7"/>
      <c r="D312" s="7"/>
      <c r="E312" s="7"/>
    </row>
    <row r="313" spans="1:10" ht="14.25" customHeight="1">
      <c r="A313" s="84" t="s">
        <v>48</v>
      </c>
      <c r="B313" s="85"/>
      <c r="C313" s="84" t="s">
        <v>49</v>
      </c>
      <c r="D313" s="85"/>
      <c r="E313" s="85"/>
      <c r="F313" s="29" t="s">
        <v>27</v>
      </c>
      <c r="G313" s="97">
        <v>100</v>
      </c>
      <c r="H313" s="85"/>
      <c r="I313" s="97">
        <v>0.5</v>
      </c>
      <c r="J313" s="85"/>
    </row>
    <row r="314" spans="1:10" ht="24.95" customHeight="1">
      <c r="A314" s="89" t="s">
        <v>50</v>
      </c>
      <c r="B314" s="85"/>
      <c r="C314" s="84" t="s">
        <v>11</v>
      </c>
      <c r="D314" s="85"/>
      <c r="E314" s="85"/>
      <c r="F314" s="84"/>
      <c r="G314" s="85"/>
      <c r="H314" s="85"/>
      <c r="I314" s="85"/>
      <c r="J314" s="85"/>
    </row>
    <row r="315" spans="1:10" ht="14.25" customHeight="1">
      <c r="A315" s="84" t="s">
        <v>71</v>
      </c>
      <c r="B315" s="85"/>
      <c r="C315" s="84" t="s">
        <v>72</v>
      </c>
      <c r="D315" s="85"/>
      <c r="E315" s="85"/>
      <c r="F315" s="29" t="s">
        <v>27</v>
      </c>
      <c r="G315" s="97">
        <v>1</v>
      </c>
      <c r="H315" s="85"/>
      <c r="I315" s="97">
        <v>5.0000000000000001E-3</v>
      </c>
      <c r="J315" s="85"/>
    </row>
    <row r="316" spans="1:10" ht="24.95" customHeight="1">
      <c r="A316" s="89" t="s">
        <v>73</v>
      </c>
      <c r="B316" s="85"/>
      <c r="C316" s="84"/>
      <c r="D316" s="85"/>
      <c r="E316" s="85"/>
      <c r="F316" s="84"/>
      <c r="G316" s="85"/>
      <c r="H316" s="85"/>
      <c r="I316" s="85"/>
      <c r="J316" s="85"/>
    </row>
    <row r="317" spans="1:10" ht="14.25" customHeight="1">
      <c r="A317" s="84"/>
      <c r="B317" s="85"/>
      <c r="C317" s="84"/>
      <c r="D317" s="85"/>
      <c r="E317" s="85"/>
      <c r="F317" s="29"/>
      <c r="G317" s="97"/>
      <c r="H317" s="85"/>
      <c r="I317" s="97"/>
      <c r="J317" s="85"/>
    </row>
    <row r="318" spans="1:10" ht="24.95" customHeight="1">
      <c r="A318" s="89"/>
      <c r="B318" s="85"/>
      <c r="C318" s="84"/>
      <c r="D318" s="85"/>
      <c r="E318" s="85"/>
      <c r="F318" s="84"/>
      <c r="G318" s="85"/>
      <c r="H318" s="85"/>
      <c r="I318" s="85"/>
      <c r="J318" s="85"/>
    </row>
    <row r="319" spans="1:10" ht="14.25" customHeight="1">
      <c r="A319" s="84"/>
      <c r="B319" s="85"/>
      <c r="C319" s="84"/>
      <c r="D319" s="85"/>
      <c r="E319" s="85"/>
      <c r="F319" s="29"/>
      <c r="G319" s="97"/>
      <c r="H319" s="85"/>
      <c r="I319" s="97"/>
      <c r="J319" s="85"/>
    </row>
    <row r="320" spans="1:10" ht="24.95" customHeight="1">
      <c r="A320" s="89"/>
      <c r="B320" s="85"/>
      <c r="C320" s="84"/>
      <c r="D320" s="85"/>
      <c r="E320" s="85"/>
      <c r="F320" s="84"/>
      <c r="G320" s="85"/>
      <c r="H320" s="85"/>
      <c r="I320" s="85"/>
      <c r="J320" s="85"/>
    </row>
    <row r="321" spans="1:22" ht="14.25" customHeight="1">
      <c r="A321" s="84"/>
      <c r="B321" s="85"/>
      <c r="C321" s="84"/>
      <c r="D321" s="85"/>
      <c r="E321" s="85"/>
      <c r="F321" s="29"/>
      <c r="G321" s="97"/>
      <c r="H321" s="85"/>
      <c r="I321" s="97"/>
      <c r="J321" s="85"/>
    </row>
    <row r="322" spans="1:22" ht="24.95" customHeight="1">
      <c r="A322" s="89"/>
      <c r="B322" s="85"/>
      <c r="C322" s="84"/>
      <c r="D322" s="85"/>
      <c r="E322" s="85"/>
      <c r="F322" s="84"/>
      <c r="G322" s="85"/>
      <c r="H322" s="85"/>
      <c r="I322" s="85"/>
      <c r="J322" s="85"/>
    </row>
    <row r="323" spans="1:22" s="5" customFormat="1" ht="18" customHeight="1">
      <c r="A323" s="136" t="s">
        <v>93</v>
      </c>
      <c r="B323" s="137"/>
      <c r="C323" s="137"/>
      <c r="D323" s="137"/>
      <c r="E323" s="30" t="s">
        <v>94</v>
      </c>
      <c r="F323" s="31"/>
      <c r="G323" s="115" t="s">
        <v>95</v>
      </c>
      <c r="H323" s="116"/>
      <c r="I323" s="32" t="s">
        <v>96</v>
      </c>
      <c r="J323" s="33" t="s">
        <v>97</v>
      </c>
    </row>
    <row r="324" spans="1:22" s="7" customFormat="1" ht="18" customHeight="1">
      <c r="A324" s="138" t="str">
        <f>F288</f>
        <v>001EGAW 665</v>
      </c>
      <c r="B324" s="139"/>
      <c r="C324" s="139"/>
      <c r="D324" s="139"/>
      <c r="E324" s="142" t="str">
        <f>IFERROR(IF(OR(J324="", F294="", F294=0, J324/F294=0), C315&amp;" 　 "&amp;""&amp;"      枚", C315&amp;" 　 "&amp;J324/F294&amp;"      枚"), C315&amp;" 　 "&amp;""&amp;"      枚")</f>
        <v>S-40 　 1      枚</v>
      </c>
      <c r="F324" s="143"/>
      <c r="G324" s="34" t="s">
        <v>98</v>
      </c>
      <c r="H324" s="35">
        <f>_xlfn.XLOOKUP($B290, [1]加工記録２!$CD:$CD,[1]加工記録２!AH:AH)</f>
        <v>0</v>
      </c>
      <c r="I324" s="144">
        <f>MAX(I336:I340)</f>
        <v>45811</v>
      </c>
      <c r="J324" s="133">
        <f>_xlfn.XLOOKUP($B290, [1]加工記録２!$CD:$CD,[1]加工記録２!AD:AD,,0)</f>
        <v>200</v>
      </c>
    </row>
    <row r="325" spans="1:22" s="5" customFormat="1" ht="18" customHeight="1">
      <c r="A325" s="140"/>
      <c r="B325" s="141"/>
      <c r="C325" s="141"/>
      <c r="D325" s="141"/>
      <c r="E325" s="146" t="s">
        <v>99</v>
      </c>
      <c r="F325" s="146"/>
      <c r="G325" s="34" t="s">
        <v>100</v>
      </c>
      <c r="H325" s="35">
        <f>_xlfn.XLOOKUP($B290, [1]加工記録２!$CD:$CD,[1]加工記録２!AI:AI,,0)</f>
        <v>0</v>
      </c>
      <c r="I325" s="145"/>
      <c r="J325" s="133"/>
      <c r="K325" s="36"/>
    </row>
    <row r="326" spans="1:22" s="7" customFormat="1" ht="18" customHeight="1">
      <c r="A326" s="147" t="s">
        <v>101</v>
      </c>
      <c r="B326" s="123" t="str">
        <f>_xlfn.XLOOKUP(A297,[1]!テーブル5[品目コード],[1]!テーブル5[温度換算],,2)</f>
        <v>-</v>
      </c>
      <c r="C326" s="125" t="s">
        <v>102</v>
      </c>
      <c r="D326" s="127">
        <f>_xlfn.XLOOKUP(A297,[1]!テーブル5[品目コード],[1]!テーブル5[取数],,2)</f>
        <v>2</v>
      </c>
      <c r="E326" s="129" t="s">
        <v>103</v>
      </c>
      <c r="F326" s="129"/>
      <c r="G326" s="34" t="s">
        <v>104</v>
      </c>
      <c r="H326" s="35">
        <f>_xlfn.XLOOKUP($B290, [1]加工記録２!$CD:$CD,[1]加工記録２!AJ:AJ,,0)</f>
        <v>0</v>
      </c>
      <c r="I326" s="32" t="s">
        <v>105</v>
      </c>
      <c r="J326" s="32" t="s">
        <v>106</v>
      </c>
      <c r="K326" s="37"/>
    </row>
    <row r="327" spans="1:22" s="5" customFormat="1" ht="18" customHeight="1">
      <c r="A327" s="147"/>
      <c r="B327" s="124"/>
      <c r="C327" s="126"/>
      <c r="D327" s="128"/>
      <c r="E327" s="130">
        <f>_xlfn.XLOOKUP(A297,[1]!テーブル5[品目コード],[1]!テーブル5[備考１],,2)</f>
        <v>0</v>
      </c>
      <c r="F327" s="130"/>
      <c r="G327" s="34" t="s">
        <v>107</v>
      </c>
      <c r="H327" s="35">
        <f>_xlfn.XLOOKUP($B290, [1]加工記録２!$CD:$CD,[1]加工記録２!AK:AK,,0)</f>
        <v>0</v>
      </c>
      <c r="I327" s="131" t="str">
        <f>_xlfn.XLOOKUP($B290, [1]加工記録２!$CD:$CD,[1]加工記録２!CA:CA,,0)</f>
        <v>水野</v>
      </c>
      <c r="J327" s="131" t="str">
        <f>_xlfn.XLOOKUP($B290, [1]加工記録２!$CD:$CD,[1]加工記録２!CB:CB,,0)</f>
        <v>-</v>
      </c>
      <c r="K327" s="36"/>
    </row>
    <row r="328" spans="1:22" s="7" customFormat="1" ht="18" customHeight="1">
      <c r="A328" s="148" t="s">
        <v>108</v>
      </c>
      <c r="B328" s="149">
        <f>D288</f>
        <v>665</v>
      </c>
      <c r="C328" s="151" t="s">
        <v>109</v>
      </c>
      <c r="D328" s="153" t="str">
        <f>_xlfn.XLOOKUP(A297,[1]!テーブル5[品目コード],[1]!テーブル5[上限公差],,2)</f>
        <v>+0.5</v>
      </c>
      <c r="E328" s="130" t="str">
        <f>_xlfn.XLOOKUP(A297,[1]!テーブル5[品目コード],[1]!テーブル5[備考２],,2)</f>
        <v>※使用基材、取数は依頼書にて確認</v>
      </c>
      <c r="F328" s="130"/>
      <c r="G328" s="34" t="s">
        <v>110</v>
      </c>
      <c r="H328" s="35">
        <f>_xlfn.XLOOKUP($B290, [1]加工記録２!$CD:$CD,[1]加工記録２!AL:AL,,0)</f>
        <v>0</v>
      </c>
      <c r="I328" s="132"/>
      <c r="J328" s="132"/>
      <c r="K328" s="37"/>
    </row>
    <row r="329" spans="1:22" s="5" customFormat="1" ht="18" customHeight="1">
      <c r="A329" s="148"/>
      <c r="B329" s="150"/>
      <c r="C329" s="152"/>
      <c r="D329" s="154"/>
      <c r="E329" s="155" t="s">
        <v>111</v>
      </c>
      <c r="F329" s="155"/>
      <c r="G329" s="34" t="s">
        <v>112</v>
      </c>
      <c r="H329" s="35">
        <f>_xlfn.XLOOKUP($B290, [1]加工記録２!$CD:$CD,[1]加工記録２!AM:AM,,0)</f>
        <v>0</v>
      </c>
      <c r="I329" s="38" t="s">
        <v>113</v>
      </c>
      <c r="J329" s="38" t="s">
        <v>114</v>
      </c>
      <c r="K329" s="36"/>
    </row>
    <row r="330" spans="1:22" s="7" customFormat="1" ht="18" customHeight="1">
      <c r="A330" s="147" t="s">
        <v>115</v>
      </c>
      <c r="B330" s="157">
        <v>665</v>
      </c>
      <c r="C330" s="159" t="s">
        <v>116</v>
      </c>
      <c r="D330" s="153">
        <f>_xlfn.XLOOKUP(A297,[1]!テーブル5[品目コード],[1]!テーブル5[下限公差],,2)</f>
        <v>-0.5</v>
      </c>
      <c r="E330" s="162" t="str">
        <f>_xlfn.XLOOKUP(A297,[1]!テーブル5[品目コード],[1]!テーブル5[梱包方法],,2)</f>
        <v>ラベル２枚　長手有　鉢巻無</v>
      </c>
      <c r="F330" s="162"/>
      <c r="G330" s="34" t="s">
        <v>117</v>
      </c>
      <c r="H330" s="35">
        <f>_xlfn.XLOOKUP($B290, [1]加工記録２!$CD:$CD,[1]加工記録２!AN:AN,,0)</f>
        <v>0</v>
      </c>
      <c r="I330" s="133">
        <f>_xlfn.XLOOKUP($B290, [1]加工記録２!$CD:$CD,[1]加工記録２!AF:AF,,0)</f>
        <v>0</v>
      </c>
      <c r="J330" s="133">
        <f>_xlfn.XLOOKUP($B290, [1]加工記録２!$CD:$CD,[1]加工記録２!AE:AE,,0)</f>
        <v>0</v>
      </c>
      <c r="K330" s="37"/>
    </row>
    <row r="331" spans="1:22" s="5" customFormat="1" ht="18" customHeight="1" thickBot="1">
      <c r="A331" s="156"/>
      <c r="B331" s="158"/>
      <c r="C331" s="160"/>
      <c r="D331" s="161"/>
      <c r="E331" s="134"/>
      <c r="F331" s="134"/>
      <c r="G331" s="39" t="s">
        <v>118</v>
      </c>
      <c r="H331" s="40">
        <f>SUM(H324:H330)</f>
        <v>0</v>
      </c>
      <c r="I331" s="133"/>
      <c r="J331" s="133"/>
    </row>
    <row r="332" spans="1:22" s="49" customFormat="1" ht="18.95" customHeight="1">
      <c r="A332" s="41" t="s">
        <v>119</v>
      </c>
      <c r="B332" s="42" t="s">
        <v>120</v>
      </c>
      <c r="C332" s="43" t="s">
        <v>121</v>
      </c>
      <c r="D332" s="43" t="s">
        <v>122</v>
      </c>
      <c r="E332" s="44" t="s">
        <v>123</v>
      </c>
      <c r="F332" s="45" t="s">
        <v>124</v>
      </c>
      <c r="G332" s="44" t="s">
        <v>125</v>
      </c>
      <c r="H332" s="46" t="s">
        <v>126</v>
      </c>
      <c r="I332" s="47" t="s">
        <v>127</v>
      </c>
      <c r="J332" s="38" t="s">
        <v>128</v>
      </c>
      <c r="K332" s="48"/>
      <c r="L332" s="48"/>
      <c r="M332" s="48"/>
      <c r="N332" s="48"/>
    </row>
    <row r="333" spans="1:22" s="58" customFormat="1" ht="18.95" customHeight="1">
      <c r="A333" s="50" t="str">
        <f>IFERROR(_xlfn.XLOOKUP($B290&amp;$J324,[1]加工記録２!B:B&amp;[1]加工記録２!AD:AD,[1]加工記録２!BB:BB,,0),"/")</f>
        <v>/</v>
      </c>
      <c r="B333" s="51" t="str">
        <f>_xlfn.XLOOKUP($B290,[1]加工記録２!$CD:$CD,[1]加工記録２!BJ:BJ,,0)</f>
        <v/>
      </c>
      <c r="C333" s="52"/>
      <c r="D333" s="53"/>
      <c r="E333" s="52"/>
      <c r="F333" s="54" t="s">
        <v>129</v>
      </c>
      <c r="G333" s="55" t="str">
        <f>IFERROR(SUM(H333*$D326),"")</f>
        <v/>
      </c>
      <c r="H333" s="56" t="str">
        <f>_xlfn.XLOOKUP($B290,[1]加工記録２!$CD:$CD,[1]加工記録２!BR:BR,,0)</f>
        <v/>
      </c>
      <c r="I333" s="135">
        <f>_xlfn.XLOOKUP($B290, [1]加工記録２!$CD:$CD,[1]加工記録２!AO:AO,,0)</f>
        <v>0</v>
      </c>
      <c r="J333" s="133">
        <f>_xlfn.XLOOKUP($B290, [1]加工記録２!$CD:$CD,[1]加工記録２!AG:AG,,0)</f>
        <v>100</v>
      </c>
      <c r="K333" s="57"/>
      <c r="L333" s="57"/>
      <c r="M333" s="57"/>
      <c r="N333" s="57"/>
      <c r="V333" s="59"/>
    </row>
    <row r="334" spans="1:22" s="58" customFormat="1" ht="18.95" customHeight="1" thickBot="1">
      <c r="A334" s="60" t="str">
        <f>IFERROR(_xlfn.XLOOKUP($B290&amp;$J324,[1]加工記録２!$CD:$CD&amp;[1]加工記録２!AD:AD,[1]加工記録２!BC:BC,,0),"/")</f>
        <v/>
      </c>
      <c r="B334" s="61" t="str">
        <f>_xlfn.XLOOKUP($B290,[1]加工記録２!$CD:$CD,[1]加工記録２!BK:BK,,0)</f>
        <v/>
      </c>
      <c r="C334" s="61" t="str">
        <f>_xlfn.XLOOKUP($B290,[1]加工記録２!$CD:$CD,[1]加工記録２!P:P,,0)</f>
        <v/>
      </c>
      <c r="D334" s="62"/>
      <c r="E334" s="63" t="str">
        <f>_xlfn.XLOOKUP($B290, [1]加工記録２!$CD:$CD,[1]加工記録２!W:W,,0)</f>
        <v/>
      </c>
      <c r="F334" s="64"/>
      <c r="G334" s="65" t="str">
        <f>IFERROR(SUM(H334*$D326),"")</f>
        <v/>
      </c>
      <c r="H334" s="66" t="str">
        <f>_xlfn.XLOOKUP($B290,[1]加工記録２!$CD:$CD,[1]加工記録２!BS:BS,,0)</f>
        <v/>
      </c>
      <c r="I334" s="135"/>
      <c r="J334" s="133"/>
      <c r="K334" s="57"/>
      <c r="L334" s="57"/>
      <c r="M334" s="57"/>
      <c r="N334" s="57"/>
    </row>
    <row r="335" spans="1:22" s="58" customFormat="1" ht="18.95" customHeight="1" thickBot="1">
      <c r="A335" s="60">
        <f>IFERROR(_xlfn.XLOOKUP($B290&amp;$J324,[1]加工記録２!$CD:$CD&amp;[1]加工記録２!AD:AD,[1]加工記録２!BD:BD,,0),"/")</f>
        <v>45811</v>
      </c>
      <c r="B335" s="61" t="str">
        <f>_xlfn.XLOOKUP($B290,[1]加工記録２!CD:CD,[1]加工記録２!BL:BL,,0)</f>
        <v>25E26C</v>
      </c>
      <c r="C335" s="61">
        <f>_xlfn.XLOOKUP($B290,[1]加工記録２!$CD:$CD,[1]加工記録２!Q:Q,,0)</f>
        <v>22</v>
      </c>
      <c r="D335" s="62">
        <v>665</v>
      </c>
      <c r="E335" s="63">
        <f>_xlfn.XLOOKUP($B290, [1]加工記録２!$CD:$CD,[1]加工記録２!X:X,,0)</f>
        <v>665.19</v>
      </c>
      <c r="F335" s="64"/>
      <c r="G335" s="65">
        <f>IFERROR(SUM(H335*$D326),"")</f>
        <v>200</v>
      </c>
      <c r="H335" s="66">
        <f>_xlfn.XLOOKUP($B290,[1]加工記録２!$CD:$CD,[1]加工記録２!BT:BT,,0)</f>
        <v>100</v>
      </c>
      <c r="I335" s="67" t="s">
        <v>130</v>
      </c>
      <c r="J335" s="68" t="s">
        <v>131</v>
      </c>
      <c r="K335" s="57"/>
      <c r="L335" s="57"/>
      <c r="M335" s="57"/>
      <c r="N335" s="57"/>
    </row>
    <row r="336" spans="1:22" s="58" customFormat="1" ht="18.95" customHeight="1">
      <c r="A336" s="60">
        <f>IFERROR(_xlfn.XLOOKUP($B290&amp;$J324,[1]加工記録２!$CD:$CD&amp;[1]加工記録２!AD:AD,[1]加工記録２!BE:BE,,0),"/")</f>
        <v>45811</v>
      </c>
      <c r="B336" s="61" t="str">
        <f>_xlfn.XLOOKUP($B290,[1]加工記録２!$CD:$CD,[1]加工記録２!BM:BM,,0)</f>
        <v>25E26C</v>
      </c>
      <c r="C336" s="61">
        <f>_xlfn.XLOOKUP($B290,[1]加工記録２!$CD:$CD,[1]加工記録２!R:R,,0)</f>
        <v>22</v>
      </c>
      <c r="D336" s="62" t="str">
        <f>IFERROR(_xlfn.XLOOKUP(IF(_xlfn.XLOOKUP($B290,[1]加工記録２!$CD:$CD,[1]加工記録２!C:C,,0)="","",_xlfn.XLOOKUP($B290,[1]加工記録２!$CD:$CD,[1]加工記録２!C:C,,0))&amp;C336,[1]温度換算!A:A,[1]温度換算!C:C),"")</f>
        <v/>
      </c>
      <c r="E336" s="63">
        <f>_xlfn.XLOOKUP($B290, [1]加工記録２!$CD:$CD,[1]加工記録２!Y:Y,,0)</f>
        <v>665.13</v>
      </c>
      <c r="F336" s="64"/>
      <c r="G336" s="65" t="str">
        <f>IFERROR(SUM(H336*$D326),"")</f>
        <v/>
      </c>
      <c r="H336" s="66" t="str">
        <f>_xlfn.XLOOKUP($B290,[1]加工記録２!$CD:$CD,[1]加工記録２!BU:BU,,0)</f>
        <v/>
      </c>
      <c r="I336" s="69">
        <f>_xlfn.LET(_xlpm.val,_xlfn.XLOOKUP($B290,[1]加工記録２!$CD:$CD,[1]加工記録２!AQ:AQ,""),IF(OR(_xlpm.val="",_xlpm.val=0),"",_xlpm.val))</f>
        <v>45811</v>
      </c>
      <c r="J336" s="70">
        <f>_xlfn.LET(_xlpm.val,_xlfn.XLOOKUP($B290,[1]加工記録２!$CD:$CD,[1]加工記録２!AR:AR,""),IF(OR(_xlpm.val="",_xlpm.val=0),"",_xlpm.val))</f>
        <v>1</v>
      </c>
      <c r="K336" s="57"/>
      <c r="L336" s="57"/>
      <c r="M336" s="57"/>
      <c r="N336" s="57"/>
    </row>
    <row r="337" spans="1:14" s="58" customFormat="1" ht="18.95" customHeight="1">
      <c r="A337" s="60" t="str">
        <f>IFERROR(_xlfn.XLOOKUP($B290&amp;$J324,[1]加工記録２!$CD:$CD&amp;[1]加工記録２!AD:AD,[1]加工記録２!BF:BF,,0),"/")</f>
        <v/>
      </c>
      <c r="B337" s="61" t="str">
        <f>_xlfn.XLOOKUP($B290,[1]加工記録２!$CD:$CD,[1]加工記録２!BN:BN,,0)</f>
        <v/>
      </c>
      <c r="C337" s="61" t="str">
        <f>_xlfn.XLOOKUP($B290,[1]加工記録２!$CD:$CD,[1]加工記録２!S:S,,0)</f>
        <v/>
      </c>
      <c r="D337" s="62"/>
      <c r="E337" s="63" t="str">
        <f>_xlfn.XLOOKUP($B290, [1]加工記録２!$CD:$CD,[1]加工記録２!Z:Z,,0)</f>
        <v/>
      </c>
      <c r="F337" s="64"/>
      <c r="G337" s="65" t="str">
        <f>IFERROR(SUM(H337*$D326),"")</f>
        <v/>
      </c>
      <c r="H337" s="66" t="str">
        <f>_xlfn.XLOOKUP($B290,[1]加工記録２!$CD:$CD,[1]加工記録２!BV:BV,,0)</f>
        <v/>
      </c>
      <c r="I337" s="71" t="str">
        <f>_xlfn.LET(_xlpm.val,_xlfn.XLOOKUP($B290,[1]加工記録２!$CD:$CD,[1]加工記録２!AS:AS,""),IF(OR(_xlpm.val="",_xlpm.val=0),"",_xlpm.val))</f>
        <v/>
      </c>
      <c r="J337" s="72" t="str">
        <f>_xlfn.LET(_xlpm.val,_xlfn.XLOOKUP($B290,[1]加工記録２!$CD:$CD,[1]加工記録２!AT:AT,""),IF(OR(_xlpm.val="",_xlpm.val=0),"",_xlpm.val))</f>
        <v/>
      </c>
      <c r="K337" s="57"/>
      <c r="L337" s="57"/>
      <c r="M337" s="57"/>
      <c r="N337" s="57"/>
    </row>
    <row r="338" spans="1:14" s="58" customFormat="1" ht="18.95" customHeight="1">
      <c r="A338" s="60" t="str">
        <f>IFERROR(_xlfn.XLOOKUP($B290&amp;$J324,[1]加工記録２!$CD:$CD&amp;[1]加工記録２!AD:AD,[1]加工記録２!BG:BG,,0),"/")</f>
        <v/>
      </c>
      <c r="B338" s="61" t="str">
        <f>_xlfn.XLOOKUP($B290,[1]加工記録２!$CD:$CD,[1]加工記録２!BO:BO,,0)</f>
        <v/>
      </c>
      <c r="C338" s="61" t="str">
        <f>_xlfn.XLOOKUP($B290,[1]加工記録２!$CD:$CD,[1]加工記録２!T:T,,0)</f>
        <v/>
      </c>
      <c r="D338" s="62"/>
      <c r="E338" s="63" t="str">
        <f>_xlfn.XLOOKUP($B290, [1]加工記録２!$CD:$CD,[1]加工記録２!AA:AA,,0)</f>
        <v/>
      </c>
      <c r="F338" s="64"/>
      <c r="G338" s="65" t="str">
        <f>IFERROR(SUM(H338*$D326),"")</f>
        <v/>
      </c>
      <c r="H338" s="66" t="str">
        <f>_xlfn.XLOOKUP($B290,[1]加工記録２!$CD:$CD,[1]加工記録２!BW:BW,,0)</f>
        <v/>
      </c>
      <c r="I338" s="71" t="str">
        <f>_xlfn.LET(_xlpm.val,_xlfn.XLOOKUP($B290,[1]加工記録２!$CD:$CD,[1]加工記録２!AU:AU,""),IF(OR(_xlpm.val="",_xlpm.val=0),"",_xlpm.val))</f>
        <v/>
      </c>
      <c r="J338" s="72" t="str">
        <f>_xlfn.LET(_xlpm.val,_xlfn.XLOOKUP($B290,[1]加工記録２!$CD:$CD,[1]加工記録２!AV:AV,""),IF(OR(_xlpm.val="",_xlpm.val=0),"",_xlpm.val))</f>
        <v/>
      </c>
      <c r="K338" s="57"/>
      <c r="L338" s="57"/>
      <c r="M338" s="57"/>
      <c r="N338" s="57"/>
    </row>
    <row r="339" spans="1:14" s="58" customFormat="1" ht="18.95" customHeight="1">
      <c r="A339" s="60" t="str">
        <f>IFERROR(_xlfn.XLOOKUP($B290&amp;$J324,[1]加工記録２!$CD:$CD&amp;[1]加工記録２!AD:AD,[1]加工記録２!BH:BH,,0),"/")</f>
        <v/>
      </c>
      <c r="B339" s="61" t="str">
        <f>_xlfn.XLOOKUP($B290,[1]加工記録２!$CD:$CD,[1]加工記録２!BP:BP,,0)</f>
        <v/>
      </c>
      <c r="C339" s="61" t="str">
        <f>_xlfn.XLOOKUP($B290,[1]加工記録２!$CD:$CD,[1]加工記録２!U:U,,0)</f>
        <v/>
      </c>
      <c r="D339" s="62"/>
      <c r="E339" s="63" t="str">
        <f>_xlfn.XLOOKUP($B290, [1]加工記録２!$CD:$CD,[1]加工記録２!AB:AB,,0)</f>
        <v/>
      </c>
      <c r="F339" s="64"/>
      <c r="G339" s="65" t="str">
        <f>IFERROR(SUM(H339*$D326),"")</f>
        <v/>
      </c>
      <c r="H339" s="66" t="str">
        <f>_xlfn.XLOOKUP($B290,[1]加工記録２!$CD:$CD,[1]加工記録２!BX:BX,,0)</f>
        <v/>
      </c>
      <c r="I339" s="71" t="str">
        <f>_xlfn.LET(_xlpm.val,_xlfn.XLOOKUP($B290,[1]加工記録２!$CD:$CD,[1]加工記録２!AW:AW,""),IF(OR(_xlpm.val="",_xlpm.val=0),"",_xlpm.val))</f>
        <v/>
      </c>
      <c r="J339" s="72" t="str">
        <f>_xlfn.LET(_xlpm.val,_xlfn.XLOOKUP($B290,[1]加工記録２!$CD:$CD,[1]加工記録２!AX:AX,""),IF(OR(_xlpm.val="",_xlpm.val=0),"",_xlpm.val))</f>
        <v/>
      </c>
      <c r="K339" s="57"/>
      <c r="L339" s="57"/>
      <c r="M339" s="57"/>
      <c r="N339" s="57"/>
    </row>
    <row r="340" spans="1:14" s="58" customFormat="1" ht="18.95" customHeight="1" thickBot="1">
      <c r="A340" s="73" t="str">
        <f>IFERROR(_xlfn.XLOOKUP($B290&amp;$J324,[1]加工記録２!$CD:$CD&amp;[1]加工記録２!AD:AD,[1]加工記録２!BI:BI,,0),"/")</f>
        <v/>
      </c>
      <c r="B340" s="74" t="str">
        <f>_xlfn.XLOOKUP($B290,[1]加工記録２!$CD:$CD,[1]加工記録２!BQ:BQ,,0)</f>
        <v/>
      </c>
      <c r="C340" s="74" t="str">
        <f>_xlfn.XLOOKUP($B290,[1]加工記録２!$CD:$CD,[1]加工記録２!V:V,,0)</f>
        <v/>
      </c>
      <c r="D340" s="75"/>
      <c r="E340" s="76" t="str">
        <f>_xlfn.XLOOKUP($B290, [1]加工記録２!$CD:$CD,[1]加工記録２!AC:AC,,0)</f>
        <v/>
      </c>
      <c r="F340" s="77"/>
      <c r="G340" s="78" t="str">
        <f>IFERROR(SUM(H340*$D326),"")</f>
        <v/>
      </c>
      <c r="H340" s="79" t="str">
        <f>_xlfn.XLOOKUP($B290,[1]加工記録２!$CD:$CD,[1]加工記録２!BY:BY,,0)</f>
        <v/>
      </c>
      <c r="I340" s="80" t="str">
        <f>_xlfn.LET(_xlpm.val,_xlfn.XLOOKUP($B290,[1]加工記録２!$CD:$CD,[1]加工記録２!AY:AY,""),IF(OR(_xlpm.val="",_xlpm.val=0),"",_xlpm.val))</f>
        <v/>
      </c>
      <c r="J340" s="81" t="str">
        <f>_xlfn.LET(_xlpm.val,_xlfn.XLOOKUP($B290,[1]加工記録２!$CD:$CD,[1]加工記録２!AZ:AZ,""),IF(OR(_xlpm.val="",_xlpm.val=0),"",_xlpm.val))</f>
        <v/>
      </c>
      <c r="K340" s="57"/>
      <c r="L340" s="57"/>
      <c r="M340" s="57"/>
      <c r="N340" s="57"/>
    </row>
    <row r="341" spans="1:14" ht="13.5" customHeight="1" thickBo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</row>
    <row r="342" spans="1:14" ht="6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 spans="1:14" ht="14.25" customHeight="1">
      <c r="A343" s="12"/>
      <c r="B343" s="117" t="s">
        <v>0</v>
      </c>
      <c r="C343" s="85"/>
      <c r="D343" s="85"/>
      <c r="E343" s="12"/>
      <c r="F343" s="12"/>
      <c r="G343" s="12"/>
      <c r="H343" s="12"/>
      <c r="I343" s="12"/>
      <c r="J343" s="12"/>
    </row>
    <row r="344" spans="1:14" ht="14.25" customHeight="1">
      <c r="A344" s="13"/>
      <c r="B344" s="85"/>
      <c r="C344" s="85"/>
      <c r="D344" s="85"/>
      <c r="E344" s="13"/>
      <c r="F344" s="13"/>
      <c r="G344" s="13"/>
      <c r="H344" s="13"/>
      <c r="I344" s="13"/>
      <c r="J344" s="13"/>
    </row>
    <row r="345" spans="1:14" ht="14.25" customHeight="1">
      <c r="A345" s="94" t="s">
        <v>1</v>
      </c>
      <c r="B345" s="94" t="s">
        <v>84</v>
      </c>
      <c r="C345" s="94" t="s">
        <v>3</v>
      </c>
      <c r="D345" s="121">
        <v>715</v>
      </c>
      <c r="E345" s="94" t="s">
        <v>4</v>
      </c>
      <c r="F345" s="111" t="s">
        <v>85</v>
      </c>
      <c r="G345" s="85"/>
      <c r="H345" s="110"/>
      <c r="I345" s="14" t="s">
        <v>6</v>
      </c>
      <c r="J345" s="14" t="s">
        <v>7</v>
      </c>
    </row>
    <row r="346" spans="1:14" ht="14.25" customHeight="1">
      <c r="A346" s="85"/>
      <c r="B346" s="85"/>
      <c r="C346" s="85"/>
      <c r="D346" s="85"/>
      <c r="E346" s="85"/>
      <c r="F346" s="85"/>
      <c r="G346" s="85"/>
      <c r="H346" s="110"/>
      <c r="I346" s="82"/>
      <c r="J346" s="82"/>
    </row>
    <row r="347" spans="1:14" ht="17.45" customHeight="1">
      <c r="A347" s="88" t="s">
        <v>8</v>
      </c>
      <c r="B347" s="88" t="s">
        <v>86</v>
      </c>
      <c r="E347" s="88" t="s">
        <v>10</v>
      </c>
      <c r="F347" s="109" t="s">
        <v>11</v>
      </c>
      <c r="G347" s="85"/>
      <c r="H347" s="110"/>
      <c r="I347" s="83"/>
      <c r="J347" s="83"/>
    </row>
    <row r="348" spans="1:14" ht="17.45" customHeight="1">
      <c r="A348" s="85"/>
      <c r="B348" s="85"/>
      <c r="E348" s="85"/>
      <c r="F348" s="85"/>
      <c r="G348" s="85"/>
      <c r="H348" s="110"/>
      <c r="I348" s="16"/>
      <c r="J348" s="16"/>
    </row>
    <row r="349" spans="1:14" ht="17.45" customHeight="1">
      <c r="A349" s="88" t="s">
        <v>12</v>
      </c>
      <c r="B349" s="88" t="s">
        <v>87</v>
      </c>
      <c r="E349" s="2" t="s">
        <v>14</v>
      </c>
      <c r="F349" s="113" t="s">
        <v>15</v>
      </c>
      <c r="G349" s="85"/>
      <c r="H349" s="23"/>
    </row>
    <row r="350" spans="1:14" ht="17.45" customHeight="1">
      <c r="A350" s="85"/>
      <c r="B350" s="85"/>
      <c r="E350" s="2" t="s">
        <v>16</v>
      </c>
      <c r="F350" s="23" t="s">
        <v>17</v>
      </c>
      <c r="G350" s="23"/>
      <c r="H350" s="23"/>
    </row>
    <row r="351" spans="1:14" ht="17.45" customHeight="1">
      <c r="A351" s="2" t="s">
        <v>18</v>
      </c>
      <c r="B351" s="4">
        <v>45818</v>
      </c>
      <c r="E351" s="2" t="s">
        <v>19</v>
      </c>
      <c r="F351" s="90">
        <v>200</v>
      </c>
      <c r="G351" s="85"/>
      <c r="H351" s="23"/>
    </row>
    <row r="352" spans="1:14" ht="17.45" customHeight="1">
      <c r="A352" s="2" t="s">
        <v>20</v>
      </c>
      <c r="B352" s="4">
        <v>45818</v>
      </c>
      <c r="E352" s="2" t="s">
        <v>21</v>
      </c>
      <c r="F352" s="23">
        <v>2</v>
      </c>
      <c r="G352" s="112" t="s">
        <v>22</v>
      </c>
      <c r="H352" s="99">
        <v>400</v>
      </c>
      <c r="I352" s="100"/>
      <c r="J352" s="101"/>
    </row>
    <row r="353" spans="1:10" ht="17.45" customHeight="1">
      <c r="A353" s="21"/>
      <c r="B353" s="22"/>
      <c r="C353" s="22"/>
      <c r="D353" s="22"/>
      <c r="E353" s="2" t="s">
        <v>23</v>
      </c>
      <c r="F353" s="23" t="s">
        <v>24</v>
      </c>
      <c r="G353" s="102"/>
      <c r="H353" s="102"/>
      <c r="I353" s="103"/>
      <c r="J353" s="104"/>
    </row>
    <row r="354" spans="1:10" ht="13.5" customHeight="1">
      <c r="A354" s="105" t="s">
        <v>88</v>
      </c>
      <c r="B354" s="85"/>
      <c r="C354" s="85"/>
      <c r="D354" s="22"/>
      <c r="F354" s="3"/>
      <c r="G354" s="95" t="s">
        <v>26</v>
      </c>
      <c r="H354" s="114" t="s">
        <v>27</v>
      </c>
      <c r="I354" s="122" t="s">
        <v>28</v>
      </c>
      <c r="J354" s="110"/>
    </row>
    <row r="355" spans="1:10" ht="13.5" customHeight="1">
      <c r="A355" s="85"/>
      <c r="B355" s="85"/>
      <c r="C355" s="85"/>
      <c r="D355" s="22"/>
      <c r="F355" s="3"/>
      <c r="G355" s="96"/>
      <c r="H355" s="96"/>
      <c r="I355" s="103"/>
      <c r="J355" s="104"/>
    </row>
    <row r="356" spans="1:10" ht="13.5" customHeight="1">
      <c r="A356" s="1" t="s">
        <v>29</v>
      </c>
    </row>
    <row r="357" spans="1:10" ht="63" customHeight="1">
      <c r="A357" s="119"/>
      <c r="B357" s="120"/>
      <c r="C357" s="120"/>
      <c r="D357" s="120"/>
      <c r="E357" s="120"/>
      <c r="F357" s="120"/>
      <c r="G357" s="120"/>
      <c r="H357" s="120"/>
      <c r="I357" s="120"/>
      <c r="J357" s="120"/>
    </row>
    <row r="358" spans="1:10" ht="18.75">
      <c r="A358" s="25" t="s">
        <v>30</v>
      </c>
      <c r="B358" s="18" t="s">
        <v>31</v>
      </c>
      <c r="C358" s="106" t="s">
        <v>32</v>
      </c>
      <c r="D358" s="107"/>
      <c r="E358" s="18" t="s">
        <v>33</v>
      </c>
      <c r="F358" s="106" t="s">
        <v>34</v>
      </c>
      <c r="G358" s="107"/>
      <c r="H358" s="107"/>
      <c r="I358" s="118" t="s">
        <v>35</v>
      </c>
      <c r="J358" s="107"/>
    </row>
    <row r="359" spans="1:10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24">
        <v>1</v>
      </c>
      <c r="B360" s="27" t="s">
        <v>36</v>
      </c>
      <c r="C360" s="84" t="s">
        <v>37</v>
      </c>
      <c r="D360" s="85"/>
      <c r="E360" s="27" t="s">
        <v>38</v>
      </c>
      <c r="F360" s="84" t="s">
        <v>39</v>
      </c>
      <c r="G360" s="85"/>
      <c r="H360" s="85"/>
      <c r="I360" s="93"/>
      <c r="J360" s="85"/>
    </row>
    <row r="361" spans="1:10" ht="16.5" customHeight="1">
      <c r="A361" s="24">
        <v>1</v>
      </c>
      <c r="B361" s="28" t="s">
        <v>36</v>
      </c>
      <c r="C361" s="84" t="s">
        <v>37</v>
      </c>
      <c r="D361" s="85"/>
      <c r="E361" s="27" t="s">
        <v>40</v>
      </c>
      <c r="F361" s="84" t="s">
        <v>41</v>
      </c>
      <c r="G361" s="85"/>
      <c r="H361" s="85"/>
      <c r="I361" s="93"/>
      <c r="J361" s="85"/>
    </row>
    <row r="362" spans="1:10" ht="16.5" customHeight="1">
      <c r="A362" s="24"/>
      <c r="B362" s="28"/>
      <c r="C362" s="84"/>
      <c r="D362" s="85"/>
      <c r="E362" s="27"/>
      <c r="F362" s="84"/>
      <c r="G362" s="85"/>
      <c r="H362" s="85"/>
      <c r="I362" s="93"/>
      <c r="J362" s="85"/>
    </row>
    <row r="363" spans="1:10" ht="16.5" customHeight="1">
      <c r="A363" s="24"/>
      <c r="B363" s="28"/>
      <c r="C363" s="84"/>
      <c r="D363" s="85"/>
      <c r="E363" s="27"/>
      <c r="F363" s="84"/>
      <c r="G363" s="85"/>
      <c r="H363" s="85"/>
      <c r="I363" s="93"/>
      <c r="J363" s="85"/>
    </row>
    <row r="364" spans="1:10" ht="16.5" customHeight="1">
      <c r="A364" s="24"/>
      <c r="B364" s="28"/>
      <c r="C364" s="84"/>
      <c r="D364" s="85"/>
      <c r="E364" s="27"/>
      <c r="F364" s="84"/>
      <c r="G364" s="85"/>
      <c r="H364" s="85"/>
      <c r="I364" s="93"/>
      <c r="J364" s="85"/>
    </row>
    <row r="365" spans="1:10" ht="16.5" customHeight="1">
      <c r="A365" s="24"/>
      <c r="B365" s="28"/>
      <c r="C365" s="84"/>
      <c r="D365" s="85"/>
      <c r="E365" s="27"/>
      <c r="F365" s="84"/>
      <c r="G365" s="85"/>
      <c r="H365" s="85"/>
      <c r="I365" s="93"/>
      <c r="J365" s="85"/>
    </row>
    <row r="366" spans="1:10" ht="16.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</row>
    <row r="367" spans="1:10" ht="18.75">
      <c r="A367" s="86" t="s">
        <v>42</v>
      </c>
      <c r="B367" s="87"/>
      <c r="C367" s="86" t="s">
        <v>43</v>
      </c>
      <c r="D367" s="87"/>
      <c r="E367" s="87"/>
      <c r="F367" s="19" t="s">
        <v>44</v>
      </c>
      <c r="G367" s="86" t="s">
        <v>45</v>
      </c>
      <c r="H367" s="87"/>
      <c r="I367" s="86" t="s">
        <v>46</v>
      </c>
      <c r="J367" s="87"/>
    </row>
    <row r="368" spans="1:10" ht="14.25" customHeight="1">
      <c r="A368" s="8"/>
      <c r="B368" s="20"/>
      <c r="C368" s="108" t="s">
        <v>47</v>
      </c>
      <c r="D368" s="103"/>
      <c r="E368" s="20"/>
      <c r="F368" s="108" t="s">
        <v>29</v>
      </c>
      <c r="G368" s="103"/>
      <c r="H368" s="103"/>
      <c r="I368" s="103"/>
      <c r="J368" s="103"/>
    </row>
    <row r="369" spans="1:11">
      <c r="A369" s="9"/>
      <c r="C369" s="7"/>
      <c r="D369" s="7"/>
      <c r="E369" s="7"/>
    </row>
    <row r="370" spans="1:11" ht="14.25" customHeight="1">
      <c r="A370" s="84" t="s">
        <v>48</v>
      </c>
      <c r="B370" s="85"/>
      <c r="C370" s="84" t="s">
        <v>49</v>
      </c>
      <c r="D370" s="85"/>
      <c r="E370" s="85"/>
      <c r="F370" s="29" t="s">
        <v>27</v>
      </c>
      <c r="G370" s="97">
        <v>200</v>
      </c>
      <c r="H370" s="85"/>
      <c r="I370" s="97">
        <v>1</v>
      </c>
      <c r="J370" s="85"/>
    </row>
    <row r="371" spans="1:11" ht="24.95" customHeight="1">
      <c r="A371" s="89" t="s">
        <v>50</v>
      </c>
      <c r="B371" s="85"/>
      <c r="C371" s="84" t="s">
        <v>11</v>
      </c>
      <c r="D371" s="85"/>
      <c r="E371" s="85"/>
      <c r="F371" s="84"/>
      <c r="G371" s="85"/>
      <c r="H371" s="85"/>
      <c r="I371" s="85"/>
      <c r="J371" s="85"/>
    </row>
    <row r="372" spans="1:11" ht="14.25" customHeight="1">
      <c r="A372" s="84" t="s">
        <v>71</v>
      </c>
      <c r="B372" s="85"/>
      <c r="C372" s="84" t="s">
        <v>72</v>
      </c>
      <c r="D372" s="85"/>
      <c r="E372" s="85"/>
      <c r="F372" s="29" t="s">
        <v>27</v>
      </c>
      <c r="G372" s="97">
        <v>2</v>
      </c>
      <c r="H372" s="85"/>
      <c r="I372" s="97">
        <v>0.01</v>
      </c>
      <c r="J372" s="85"/>
    </row>
    <row r="373" spans="1:11" ht="24.95" customHeight="1">
      <c r="A373" s="89" t="s">
        <v>89</v>
      </c>
      <c r="B373" s="85"/>
      <c r="C373" s="84"/>
      <c r="D373" s="85"/>
      <c r="E373" s="85"/>
      <c r="F373" s="84"/>
      <c r="G373" s="85"/>
      <c r="H373" s="85"/>
      <c r="I373" s="85"/>
      <c r="J373" s="85"/>
    </row>
    <row r="374" spans="1:11" ht="14.25" customHeight="1">
      <c r="A374" s="84"/>
      <c r="B374" s="85"/>
      <c r="C374" s="84"/>
      <c r="D374" s="85"/>
      <c r="E374" s="85"/>
      <c r="F374" s="29"/>
      <c r="G374" s="97"/>
      <c r="H374" s="85"/>
      <c r="I374" s="97"/>
      <c r="J374" s="85"/>
    </row>
    <row r="375" spans="1:11" ht="24.95" customHeight="1">
      <c r="A375" s="89"/>
      <c r="B375" s="85"/>
      <c r="C375" s="84"/>
      <c r="D375" s="85"/>
      <c r="E375" s="85"/>
      <c r="F375" s="84"/>
      <c r="G375" s="85"/>
      <c r="H375" s="85"/>
      <c r="I375" s="85"/>
      <c r="J375" s="85"/>
    </row>
    <row r="376" spans="1:11" ht="14.25" customHeight="1">
      <c r="A376" s="84"/>
      <c r="B376" s="85"/>
      <c r="C376" s="84"/>
      <c r="D376" s="85"/>
      <c r="E376" s="85"/>
      <c r="F376" s="29"/>
      <c r="G376" s="97"/>
      <c r="H376" s="85"/>
      <c r="I376" s="97"/>
      <c r="J376" s="85"/>
    </row>
    <row r="377" spans="1:11" ht="24.95" customHeight="1">
      <c r="A377" s="89"/>
      <c r="B377" s="85"/>
      <c r="C377" s="84"/>
      <c r="D377" s="85"/>
      <c r="E377" s="85"/>
      <c r="F377" s="84"/>
      <c r="G377" s="85"/>
      <c r="H377" s="85"/>
      <c r="I377" s="85"/>
      <c r="J377" s="85"/>
    </row>
    <row r="378" spans="1:11" ht="14.25" customHeight="1">
      <c r="A378" s="84"/>
      <c r="B378" s="85"/>
      <c r="C378" s="84"/>
      <c r="D378" s="85"/>
      <c r="E378" s="85"/>
      <c r="F378" s="29"/>
      <c r="G378" s="97"/>
      <c r="H378" s="85"/>
      <c r="I378" s="97"/>
      <c r="J378" s="85"/>
    </row>
    <row r="379" spans="1:11" ht="24.95" customHeight="1">
      <c r="A379" s="89"/>
      <c r="B379" s="85"/>
      <c r="C379" s="84"/>
      <c r="D379" s="85"/>
      <c r="E379" s="85"/>
      <c r="F379" s="84"/>
      <c r="G379" s="85"/>
      <c r="H379" s="85"/>
      <c r="I379" s="85"/>
      <c r="J379" s="85"/>
    </row>
    <row r="380" spans="1:11" s="5" customFormat="1" ht="18" customHeight="1">
      <c r="A380" s="136" t="s">
        <v>93</v>
      </c>
      <c r="B380" s="137"/>
      <c r="C380" s="137"/>
      <c r="D380" s="137"/>
      <c r="E380" s="30" t="s">
        <v>94</v>
      </c>
      <c r="F380" s="31"/>
      <c r="G380" s="115" t="s">
        <v>95</v>
      </c>
      <c r="H380" s="116"/>
      <c r="I380" s="32" t="s">
        <v>96</v>
      </c>
      <c r="J380" s="33" t="s">
        <v>97</v>
      </c>
    </row>
    <row r="381" spans="1:11" s="7" customFormat="1" ht="18" customHeight="1">
      <c r="A381" s="138" t="str">
        <f>F345</f>
        <v>001EGAW 715</v>
      </c>
      <c r="B381" s="139"/>
      <c r="C381" s="139"/>
      <c r="D381" s="139"/>
      <c r="E381" s="142" t="str">
        <f>IFERROR(IF(OR(J381="", F351="", F351=0, J381/F351=0), C372&amp;" 　 "&amp;""&amp;"      枚", C372&amp;" 　 "&amp;J381/F351&amp;"      枚"), C372&amp;" 　 "&amp;""&amp;"      枚")</f>
        <v>S-40 　 2      枚</v>
      </c>
      <c r="F381" s="143"/>
      <c r="G381" s="34" t="s">
        <v>98</v>
      </c>
      <c r="H381" s="35">
        <f>_xlfn.XLOOKUP($B347, [1]加工記録２!$CD:$CD,[1]加工記録２!AH:AH)</f>
        <v>0</v>
      </c>
      <c r="I381" s="144">
        <f>MAX(I393:I397)</f>
        <v>45810</v>
      </c>
      <c r="J381" s="133">
        <f>_xlfn.XLOOKUP($B347, [1]加工記録２!$CD:$CD,[1]加工記録２!AD:AD,,0)</f>
        <v>400</v>
      </c>
    </row>
    <row r="382" spans="1:11" s="5" customFormat="1" ht="18" customHeight="1">
      <c r="A382" s="140"/>
      <c r="B382" s="141"/>
      <c r="C382" s="141"/>
      <c r="D382" s="141"/>
      <c r="E382" s="146" t="s">
        <v>99</v>
      </c>
      <c r="F382" s="146"/>
      <c r="G382" s="34" t="s">
        <v>100</v>
      </c>
      <c r="H382" s="35">
        <f>_xlfn.XLOOKUP($B347, [1]加工記録２!$CD:$CD,[1]加工記録２!AI:AI,,0)</f>
        <v>0</v>
      </c>
      <c r="I382" s="145"/>
      <c r="J382" s="133"/>
      <c r="K382" s="36"/>
    </row>
    <row r="383" spans="1:11" s="7" customFormat="1" ht="18" customHeight="1">
      <c r="A383" s="147" t="s">
        <v>101</v>
      </c>
      <c r="B383" s="123" t="str">
        <f>_xlfn.XLOOKUP(A354,[1]!テーブル5[品目コード],[1]!テーブル5[温度換算],,2)</f>
        <v>-</v>
      </c>
      <c r="C383" s="125" t="s">
        <v>102</v>
      </c>
      <c r="D383" s="127">
        <f>_xlfn.XLOOKUP(A354,[1]!テーブル5[品目コード],[1]!テーブル5[取数],,2)</f>
        <v>2</v>
      </c>
      <c r="E383" s="129" t="s">
        <v>103</v>
      </c>
      <c r="F383" s="129"/>
      <c r="G383" s="34" t="s">
        <v>104</v>
      </c>
      <c r="H383" s="35">
        <f>_xlfn.XLOOKUP($B347, [1]加工記録２!$CD:$CD,[1]加工記録２!AJ:AJ,,0)</f>
        <v>0</v>
      </c>
      <c r="I383" s="32" t="s">
        <v>105</v>
      </c>
      <c r="J383" s="32" t="s">
        <v>106</v>
      </c>
      <c r="K383" s="37"/>
    </row>
    <row r="384" spans="1:11" s="5" customFormat="1" ht="18" customHeight="1">
      <c r="A384" s="147"/>
      <c r="B384" s="124"/>
      <c r="C384" s="126"/>
      <c r="D384" s="128"/>
      <c r="E384" s="130">
        <f>_xlfn.XLOOKUP(A354,[1]!テーブル5[品目コード],[1]!テーブル5[備考１],,2)</f>
        <v>0</v>
      </c>
      <c r="F384" s="130"/>
      <c r="G384" s="34" t="s">
        <v>107</v>
      </c>
      <c r="H384" s="35">
        <f>_xlfn.XLOOKUP($B347, [1]加工記録２!$CD:$CD,[1]加工記録２!AK:AK,,0)</f>
        <v>0</v>
      </c>
      <c r="I384" s="131" t="str">
        <f>_xlfn.XLOOKUP($B347, [1]加工記録２!$CD:$CD,[1]加工記録２!CA:CA,,0)</f>
        <v>富田</v>
      </c>
      <c r="J384" s="131" t="str">
        <f>_xlfn.XLOOKUP($B347, [1]加工記録２!$CD:$CD,[1]加工記録２!CB:CB,,0)</f>
        <v>-</v>
      </c>
      <c r="K384" s="36"/>
    </row>
    <row r="385" spans="1:22" s="7" customFormat="1" ht="18" customHeight="1">
      <c r="A385" s="148" t="s">
        <v>108</v>
      </c>
      <c r="B385" s="149">
        <f>D345</f>
        <v>715</v>
      </c>
      <c r="C385" s="151" t="s">
        <v>109</v>
      </c>
      <c r="D385" s="153" t="str">
        <f>_xlfn.XLOOKUP(A354,[1]!テーブル5[品目コード],[1]!テーブル5[上限公差],,2)</f>
        <v>+0.5</v>
      </c>
      <c r="E385" s="130" t="str">
        <f>_xlfn.XLOOKUP(A354,[1]!テーブル5[品目コード],[1]!テーブル5[備考２],,2)</f>
        <v>※使用基材、取数は依頼書にて確認</v>
      </c>
      <c r="F385" s="130"/>
      <c r="G385" s="34" t="s">
        <v>110</v>
      </c>
      <c r="H385" s="35">
        <f>_xlfn.XLOOKUP($B347, [1]加工記録２!$CD:$CD,[1]加工記録２!AL:AL,,0)</f>
        <v>0</v>
      </c>
      <c r="I385" s="132"/>
      <c r="J385" s="132"/>
      <c r="K385" s="37"/>
    </row>
    <row r="386" spans="1:22" s="5" customFormat="1" ht="18" customHeight="1">
      <c r="A386" s="148"/>
      <c r="B386" s="150"/>
      <c r="C386" s="152"/>
      <c r="D386" s="154"/>
      <c r="E386" s="155" t="s">
        <v>111</v>
      </c>
      <c r="F386" s="155"/>
      <c r="G386" s="34" t="s">
        <v>112</v>
      </c>
      <c r="H386" s="35">
        <f>_xlfn.XLOOKUP($B347, [1]加工記録２!$CD:$CD,[1]加工記録２!AM:AM,,0)</f>
        <v>0</v>
      </c>
      <c r="I386" s="38" t="s">
        <v>113</v>
      </c>
      <c r="J386" s="38" t="s">
        <v>114</v>
      </c>
      <c r="K386" s="36"/>
    </row>
    <row r="387" spans="1:22" s="7" customFormat="1" ht="18" customHeight="1">
      <c r="A387" s="147" t="s">
        <v>115</v>
      </c>
      <c r="B387" s="157">
        <v>715</v>
      </c>
      <c r="C387" s="159" t="s">
        <v>116</v>
      </c>
      <c r="D387" s="153">
        <f>_xlfn.XLOOKUP(A354,[1]!テーブル5[品目コード],[1]!テーブル5[下限公差],,2)</f>
        <v>-0.5</v>
      </c>
      <c r="E387" s="162" t="str">
        <f>_xlfn.XLOOKUP(A354,[1]!テーブル5[品目コード],[1]!テーブル5[梱包方法],,2)</f>
        <v>ラベル２枚　長手有　鉢巻無</v>
      </c>
      <c r="F387" s="162"/>
      <c r="G387" s="34" t="s">
        <v>117</v>
      </c>
      <c r="H387" s="35">
        <f>_xlfn.XLOOKUP($B347, [1]加工記録２!$CD:$CD,[1]加工記録２!AN:AN,,0)</f>
        <v>0</v>
      </c>
      <c r="I387" s="133">
        <f>_xlfn.XLOOKUP($B347, [1]加工記録２!$CD:$CD,[1]加工記録２!AF:AF,,0)</f>
        <v>0</v>
      </c>
      <c r="J387" s="133">
        <f>_xlfn.XLOOKUP($B347, [1]加工記録２!$CD:$CD,[1]加工記録２!AE:AE,,0)</f>
        <v>0</v>
      </c>
      <c r="K387" s="37"/>
    </row>
    <row r="388" spans="1:22" s="5" customFormat="1" ht="18" customHeight="1" thickBot="1">
      <c r="A388" s="156"/>
      <c r="B388" s="158"/>
      <c r="C388" s="160"/>
      <c r="D388" s="161"/>
      <c r="E388" s="134"/>
      <c r="F388" s="134"/>
      <c r="G388" s="39" t="s">
        <v>118</v>
      </c>
      <c r="H388" s="40">
        <f>SUM(H381:H387)</f>
        <v>0</v>
      </c>
      <c r="I388" s="133"/>
      <c r="J388" s="133"/>
    </row>
    <row r="389" spans="1:22" s="49" customFormat="1" ht="18.95" customHeight="1">
      <c r="A389" s="41" t="s">
        <v>119</v>
      </c>
      <c r="B389" s="42" t="s">
        <v>120</v>
      </c>
      <c r="C389" s="43" t="s">
        <v>121</v>
      </c>
      <c r="D389" s="43" t="s">
        <v>122</v>
      </c>
      <c r="E389" s="44" t="s">
        <v>123</v>
      </c>
      <c r="F389" s="45" t="s">
        <v>124</v>
      </c>
      <c r="G389" s="44" t="s">
        <v>125</v>
      </c>
      <c r="H389" s="46" t="s">
        <v>126</v>
      </c>
      <c r="I389" s="47" t="s">
        <v>127</v>
      </c>
      <c r="J389" s="38" t="s">
        <v>128</v>
      </c>
      <c r="K389" s="48"/>
      <c r="L389" s="48"/>
      <c r="M389" s="48"/>
      <c r="N389" s="48"/>
    </row>
    <row r="390" spans="1:22" s="58" customFormat="1" ht="18.95" customHeight="1">
      <c r="A390" s="50" t="str">
        <f>IFERROR(_xlfn.XLOOKUP($B347&amp;$J381,[1]加工記録２!B:B&amp;[1]加工記録２!AD:AD,[1]加工記録２!BB:BB,,0),"/")</f>
        <v>/</v>
      </c>
      <c r="B390" s="51" t="str">
        <f>_xlfn.XLOOKUP($B347,[1]加工記録２!$CD:$CD,[1]加工記録２!BJ:BJ,,0)</f>
        <v/>
      </c>
      <c r="C390" s="52"/>
      <c r="D390" s="53"/>
      <c r="E390" s="52"/>
      <c r="F390" s="54" t="s">
        <v>129</v>
      </c>
      <c r="G390" s="55" t="str">
        <f>IFERROR(SUM(H390*$D383),"")</f>
        <v/>
      </c>
      <c r="H390" s="56" t="str">
        <f>_xlfn.XLOOKUP($B347,[1]加工記録２!$CD:$CD,[1]加工記録２!BR:BR,,0)</f>
        <v/>
      </c>
      <c r="I390" s="135">
        <f>_xlfn.XLOOKUP($B347, [1]加工記録２!$CD:$CD,[1]加工記録２!AO:AO,,0)</f>
        <v>0</v>
      </c>
      <c r="J390" s="133">
        <f>_xlfn.XLOOKUP($B347, [1]加工記録２!$CD:$CD,[1]加工記録２!AG:AG,,0)</f>
        <v>200</v>
      </c>
      <c r="K390" s="57"/>
      <c r="L390" s="57"/>
      <c r="M390" s="57"/>
      <c r="N390" s="57"/>
      <c r="V390" s="59"/>
    </row>
    <row r="391" spans="1:22" s="58" customFormat="1" ht="18.95" customHeight="1" thickBot="1">
      <c r="A391" s="60">
        <f>IFERROR(_xlfn.XLOOKUP($B347&amp;$J381,[1]加工記録２!$CD:$CD&amp;[1]加工記録２!AD:AD,[1]加工記録２!BC:BC,,0),"/")</f>
        <v>45810</v>
      </c>
      <c r="B391" s="61" t="str">
        <f>_xlfn.XLOOKUP($B347,[1]加工記録２!$CD:$CD,[1]加工記録２!BK:BK,,0)</f>
        <v>25A17B</v>
      </c>
      <c r="C391" s="61">
        <f>_xlfn.XLOOKUP($B347,[1]加工記録２!$CD:$CD,[1]加工記録２!P:P,,0)</f>
        <v>24</v>
      </c>
      <c r="D391" s="62">
        <v>715</v>
      </c>
      <c r="E391" s="63">
        <f>_xlfn.XLOOKUP($B347, [1]加工記録２!$CD:$CD,[1]加工記録２!W:W,,0)</f>
        <v>715.39</v>
      </c>
      <c r="F391" s="64"/>
      <c r="G391" s="65">
        <f>IFERROR(SUM(H391*$D383),"")</f>
        <v>400</v>
      </c>
      <c r="H391" s="66">
        <f>_xlfn.XLOOKUP($B347,[1]加工記録２!$CD:$CD,[1]加工記録２!BS:BS,,0)</f>
        <v>200</v>
      </c>
      <c r="I391" s="135"/>
      <c r="J391" s="133"/>
      <c r="K391" s="57"/>
      <c r="L391" s="57"/>
      <c r="M391" s="57"/>
      <c r="N391" s="57"/>
    </row>
    <row r="392" spans="1:22" s="58" customFormat="1" ht="18.95" customHeight="1" thickBot="1">
      <c r="A392" s="60">
        <f>IFERROR(_xlfn.XLOOKUP($B347&amp;$J381,[1]加工記録２!$CD:$CD&amp;[1]加工記録２!AD:AD,[1]加工記録２!BD:BD,,0),"/")</f>
        <v>45810</v>
      </c>
      <c r="B392" s="61" t="str">
        <f>_xlfn.XLOOKUP($B347,[1]加工記録２!CD:CD,[1]加工記録２!BL:BL,,0)</f>
        <v>25E26C</v>
      </c>
      <c r="C392" s="61">
        <f>_xlfn.XLOOKUP($B347,[1]加工記録２!$CD:$CD,[1]加工記録２!Q:Q,,0)</f>
        <v>24</v>
      </c>
      <c r="D392" s="62" t="str">
        <f>IFERROR(_xlfn.XLOOKUP(IF(_xlfn.XLOOKUP($B347,[1]加工記録２!$CD:$CD,[1]加工記録２!C:C,,0)="","",_xlfn.XLOOKUP($B347,[1]加工記録２!$CD:$CD,[1]加工記録２!C:C,,0))&amp;C392,[1]温度換算!A:A,[1]温度換算!C:C),"")</f>
        <v/>
      </c>
      <c r="E392" s="63">
        <f>_xlfn.XLOOKUP($B347, [1]加工記録２!$CD:$CD,[1]加工記録２!X:X,,0)</f>
        <v>715.21</v>
      </c>
      <c r="F392" s="64"/>
      <c r="G392" s="65" t="str">
        <f>IFERROR(SUM(H392*$D383),"")</f>
        <v/>
      </c>
      <c r="H392" s="66" t="str">
        <f>_xlfn.XLOOKUP($B347,[1]加工記録２!$CD:$CD,[1]加工記録２!BT:BT,,0)</f>
        <v/>
      </c>
      <c r="I392" s="67" t="s">
        <v>130</v>
      </c>
      <c r="J392" s="68" t="s">
        <v>131</v>
      </c>
      <c r="K392" s="57"/>
      <c r="L392" s="57"/>
      <c r="M392" s="57"/>
      <c r="N392" s="57"/>
    </row>
    <row r="393" spans="1:22" s="58" customFormat="1" ht="18.95" customHeight="1">
      <c r="A393" s="60" t="str">
        <f>IFERROR(_xlfn.XLOOKUP($B347&amp;$J381,[1]加工記録２!$CD:$CD&amp;[1]加工記録２!AD:AD,[1]加工記録２!BE:BE,,0),"/")</f>
        <v/>
      </c>
      <c r="B393" s="61" t="str">
        <f>_xlfn.XLOOKUP($B347,[1]加工記録２!$CD:$CD,[1]加工記録２!BM:BM,,0)</f>
        <v/>
      </c>
      <c r="C393" s="61" t="str">
        <f>_xlfn.XLOOKUP($B347,[1]加工記録２!$CD:$CD,[1]加工記録２!R:R,,0)</f>
        <v/>
      </c>
      <c r="D393" s="62"/>
      <c r="E393" s="63" t="str">
        <f>_xlfn.XLOOKUP($B347, [1]加工記録２!$CD:$CD,[1]加工記録２!Y:Y,,0)</f>
        <v/>
      </c>
      <c r="F393" s="64"/>
      <c r="G393" s="65" t="str">
        <f>IFERROR(SUM(H393*$D383),"")</f>
        <v/>
      </c>
      <c r="H393" s="66" t="str">
        <f>_xlfn.XLOOKUP($B347,[1]加工記録２!$CD:$CD,[1]加工記録２!BU:BU,,0)</f>
        <v/>
      </c>
      <c r="I393" s="69">
        <f>_xlfn.LET(_xlpm.val,_xlfn.XLOOKUP($B347,[1]加工記録２!$CD:$CD,[1]加工記録２!AQ:AQ,""),IF(OR(_xlpm.val="",_xlpm.val=0),"",_xlpm.val))</f>
        <v>45810</v>
      </c>
      <c r="J393" s="70">
        <f>_xlfn.LET(_xlpm.val,_xlfn.XLOOKUP($B347,[1]加工記録２!$CD:$CD,[1]加工記録２!AR:AR,""),IF(OR(_xlpm.val="",_xlpm.val=0),"",_xlpm.val))</f>
        <v>2</v>
      </c>
      <c r="K393" s="57"/>
      <c r="L393" s="57"/>
      <c r="M393" s="57"/>
      <c r="N393" s="57"/>
    </row>
    <row r="394" spans="1:22" s="58" customFormat="1" ht="18.95" customHeight="1">
      <c r="A394" s="60" t="str">
        <f>IFERROR(_xlfn.XLOOKUP($B347&amp;$J381,[1]加工記録２!$CD:$CD&amp;[1]加工記録２!AD:AD,[1]加工記録２!BF:BF,,0),"/")</f>
        <v/>
      </c>
      <c r="B394" s="61" t="str">
        <f>_xlfn.XLOOKUP($B347,[1]加工記録２!$CD:$CD,[1]加工記録２!BN:BN,,0)</f>
        <v/>
      </c>
      <c r="C394" s="61" t="str">
        <f>_xlfn.XLOOKUP($B347,[1]加工記録２!$CD:$CD,[1]加工記録２!S:S,,0)</f>
        <v/>
      </c>
      <c r="D394" s="62"/>
      <c r="E394" s="63" t="str">
        <f>_xlfn.XLOOKUP($B347, [1]加工記録２!$CD:$CD,[1]加工記録２!Z:Z,,0)</f>
        <v/>
      </c>
      <c r="F394" s="64"/>
      <c r="G394" s="65" t="str">
        <f>IFERROR(SUM(H394*$D383),"")</f>
        <v/>
      </c>
      <c r="H394" s="66" t="str">
        <f>_xlfn.XLOOKUP($B347,[1]加工記録２!$CD:$CD,[1]加工記録２!BV:BV,,0)</f>
        <v/>
      </c>
      <c r="I394" s="71" t="str">
        <f>_xlfn.LET(_xlpm.val,_xlfn.XLOOKUP($B347,[1]加工記録２!$CD:$CD,[1]加工記録２!AS:AS,""),IF(OR(_xlpm.val="",_xlpm.val=0),"",_xlpm.val))</f>
        <v/>
      </c>
      <c r="J394" s="72" t="str">
        <f>_xlfn.LET(_xlpm.val,_xlfn.XLOOKUP($B347,[1]加工記録２!$CD:$CD,[1]加工記録２!AT:AT,""),IF(OR(_xlpm.val="",_xlpm.val=0),"",_xlpm.val))</f>
        <v/>
      </c>
      <c r="K394" s="57"/>
      <c r="L394" s="57"/>
      <c r="M394" s="57"/>
      <c r="N394" s="57"/>
    </row>
    <row r="395" spans="1:22" s="58" customFormat="1" ht="18.95" customHeight="1">
      <c r="A395" s="60" t="str">
        <f>IFERROR(_xlfn.XLOOKUP($B347&amp;$J381,[1]加工記録２!$CD:$CD&amp;[1]加工記録２!AD:AD,[1]加工記録２!BG:BG,,0),"/")</f>
        <v/>
      </c>
      <c r="B395" s="61" t="str">
        <f>_xlfn.XLOOKUP($B347,[1]加工記録２!$CD:$CD,[1]加工記録２!BO:BO,,0)</f>
        <v/>
      </c>
      <c r="C395" s="61" t="str">
        <f>_xlfn.XLOOKUP($B347,[1]加工記録２!$CD:$CD,[1]加工記録２!T:T,,0)</f>
        <v/>
      </c>
      <c r="D395" s="62"/>
      <c r="E395" s="63" t="str">
        <f>_xlfn.XLOOKUP($B347, [1]加工記録２!$CD:$CD,[1]加工記録２!AA:AA,,0)</f>
        <v/>
      </c>
      <c r="F395" s="64"/>
      <c r="G395" s="65" t="str">
        <f>IFERROR(SUM(H395*$D383),"")</f>
        <v/>
      </c>
      <c r="H395" s="66" t="str">
        <f>_xlfn.XLOOKUP($B347,[1]加工記録２!$CD:$CD,[1]加工記録２!BW:BW,,0)</f>
        <v/>
      </c>
      <c r="I395" s="71" t="str">
        <f>_xlfn.LET(_xlpm.val,_xlfn.XLOOKUP($B347,[1]加工記録２!$CD:$CD,[1]加工記録２!AU:AU,""),IF(OR(_xlpm.val="",_xlpm.val=0),"",_xlpm.val))</f>
        <v/>
      </c>
      <c r="J395" s="72" t="str">
        <f>_xlfn.LET(_xlpm.val,_xlfn.XLOOKUP($B347,[1]加工記録２!$CD:$CD,[1]加工記録２!AV:AV,""),IF(OR(_xlpm.val="",_xlpm.val=0),"",_xlpm.val))</f>
        <v/>
      </c>
      <c r="K395" s="57"/>
      <c r="L395" s="57"/>
      <c r="M395" s="57"/>
      <c r="N395" s="57"/>
    </row>
    <row r="396" spans="1:22" s="58" customFormat="1" ht="18.95" customHeight="1">
      <c r="A396" s="60" t="str">
        <f>IFERROR(_xlfn.XLOOKUP($B347&amp;$J381,[1]加工記録２!$CD:$CD&amp;[1]加工記録２!AD:AD,[1]加工記録２!BH:BH,,0),"/")</f>
        <v/>
      </c>
      <c r="B396" s="61" t="str">
        <f>_xlfn.XLOOKUP($B347,[1]加工記録２!$CD:$CD,[1]加工記録２!BP:BP,,0)</f>
        <v/>
      </c>
      <c r="C396" s="61" t="str">
        <f>_xlfn.XLOOKUP($B347,[1]加工記録２!$CD:$CD,[1]加工記録２!U:U,,0)</f>
        <v/>
      </c>
      <c r="D396" s="62"/>
      <c r="E396" s="63" t="str">
        <f>_xlfn.XLOOKUP($B347, [1]加工記録２!$CD:$CD,[1]加工記録２!AB:AB,,0)</f>
        <v/>
      </c>
      <c r="F396" s="64"/>
      <c r="G396" s="65" t="str">
        <f>IFERROR(SUM(H396*$D383),"")</f>
        <v/>
      </c>
      <c r="H396" s="66" t="str">
        <f>_xlfn.XLOOKUP($B347,[1]加工記録２!$CD:$CD,[1]加工記録２!BX:BX,,0)</f>
        <v/>
      </c>
      <c r="I396" s="71" t="str">
        <f>_xlfn.LET(_xlpm.val,_xlfn.XLOOKUP($B347,[1]加工記録２!$CD:$CD,[1]加工記録２!AW:AW,""),IF(OR(_xlpm.val="",_xlpm.val=0),"",_xlpm.val))</f>
        <v/>
      </c>
      <c r="J396" s="72" t="str">
        <f>_xlfn.LET(_xlpm.val,_xlfn.XLOOKUP($B347,[1]加工記録２!$CD:$CD,[1]加工記録２!AX:AX,""),IF(OR(_xlpm.val="",_xlpm.val=0),"",_xlpm.val))</f>
        <v/>
      </c>
      <c r="K396" s="57"/>
      <c r="L396" s="57"/>
      <c r="M396" s="57"/>
      <c r="N396" s="57"/>
    </row>
    <row r="397" spans="1:22" s="58" customFormat="1" ht="18.95" customHeight="1" thickBot="1">
      <c r="A397" s="73" t="str">
        <f>IFERROR(_xlfn.XLOOKUP($B347&amp;$J381,[1]加工記録２!$CD:$CD&amp;[1]加工記録２!AD:AD,[1]加工記録２!BI:BI,,0),"/")</f>
        <v/>
      </c>
      <c r="B397" s="74" t="str">
        <f>_xlfn.XLOOKUP($B347,[1]加工記録２!$CD:$CD,[1]加工記録２!BQ:BQ,,0)</f>
        <v/>
      </c>
      <c r="C397" s="74" t="str">
        <f>_xlfn.XLOOKUP($B347,[1]加工記録２!$CD:$CD,[1]加工記録２!V:V,,0)</f>
        <v/>
      </c>
      <c r="D397" s="75"/>
      <c r="E397" s="76" t="str">
        <f>_xlfn.XLOOKUP($B347, [1]加工記録２!$CD:$CD,[1]加工記録２!AC:AC,,0)</f>
        <v/>
      </c>
      <c r="F397" s="77"/>
      <c r="G397" s="78" t="str">
        <f>IFERROR(SUM(H397*$D383),"")</f>
        <v/>
      </c>
      <c r="H397" s="79" t="str">
        <f>_xlfn.XLOOKUP($B347,[1]加工記録２!$CD:$CD,[1]加工記録２!BY:BY,,0)</f>
        <v/>
      </c>
      <c r="I397" s="80" t="str">
        <f>_xlfn.LET(_xlpm.val,_xlfn.XLOOKUP($B347,[1]加工記録２!$CD:$CD,[1]加工記録２!AY:AY,""),IF(OR(_xlpm.val="",_xlpm.val=0),"",_xlpm.val))</f>
        <v/>
      </c>
      <c r="J397" s="81" t="str">
        <f>_xlfn.LET(_xlpm.val,_xlfn.XLOOKUP($B347,[1]加工記録２!$CD:$CD,[1]加工記録２!AZ:AZ,""),IF(OR(_xlpm.val="",_xlpm.val=0),"",_xlpm.val))</f>
        <v/>
      </c>
      <c r="K397" s="57"/>
      <c r="L397" s="57"/>
      <c r="M397" s="57"/>
      <c r="N397" s="57"/>
    </row>
    <row r="398" spans="1:22" ht="13.5" customHeight="1" thickBo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</row>
    <row r="399" spans="1:22" ht="6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</sheetData>
  <mergeCells count="818">
    <mergeCell ref="A387:A388"/>
    <mergeCell ref="B387:B388"/>
    <mergeCell ref="C387:C388"/>
    <mergeCell ref="D387:D388"/>
    <mergeCell ref="E387:F387"/>
    <mergeCell ref="I387:I388"/>
    <mergeCell ref="J387:J388"/>
    <mergeCell ref="E388:F388"/>
    <mergeCell ref="I390:I391"/>
    <mergeCell ref="J390:J391"/>
    <mergeCell ref="A330:A331"/>
    <mergeCell ref="B330:B331"/>
    <mergeCell ref="C330:C331"/>
    <mergeCell ref="D330:D331"/>
    <mergeCell ref="E330:F330"/>
    <mergeCell ref="I330:I331"/>
    <mergeCell ref="J330:J331"/>
    <mergeCell ref="E331:F331"/>
    <mergeCell ref="I333:I334"/>
    <mergeCell ref="J333:J334"/>
    <mergeCell ref="A380:D380"/>
    <mergeCell ref="A381:D382"/>
    <mergeCell ref="E381:F381"/>
    <mergeCell ref="I381:I382"/>
    <mergeCell ref="J381:J382"/>
    <mergeCell ref="E382:F382"/>
    <mergeCell ref="A383:A384"/>
    <mergeCell ref="B383:B384"/>
    <mergeCell ref="C383:C384"/>
    <mergeCell ref="D383:D384"/>
    <mergeCell ref="E383:F383"/>
    <mergeCell ref="E384:F384"/>
    <mergeCell ref="I384:I385"/>
    <mergeCell ref="J384:J385"/>
    <mergeCell ref="A385:A386"/>
    <mergeCell ref="B385:B386"/>
    <mergeCell ref="C385:C386"/>
    <mergeCell ref="D385:D386"/>
    <mergeCell ref="E385:F385"/>
    <mergeCell ref="E386:F386"/>
    <mergeCell ref="G380:H380"/>
    <mergeCell ref="A323:D323"/>
    <mergeCell ref="A324:D325"/>
    <mergeCell ref="E324:F324"/>
    <mergeCell ref="I324:I325"/>
    <mergeCell ref="J324:J325"/>
    <mergeCell ref="E325:F325"/>
    <mergeCell ref="A326:A327"/>
    <mergeCell ref="B326:B327"/>
    <mergeCell ref="C326:C327"/>
    <mergeCell ref="D326:D327"/>
    <mergeCell ref="E326:F326"/>
    <mergeCell ref="E327:F327"/>
    <mergeCell ref="I327:I328"/>
    <mergeCell ref="J327:J328"/>
    <mergeCell ref="A328:A329"/>
    <mergeCell ref="B328:B329"/>
    <mergeCell ref="C328:C329"/>
    <mergeCell ref="D328:D329"/>
    <mergeCell ref="E328:F328"/>
    <mergeCell ref="E329:F329"/>
    <mergeCell ref="A266:D266"/>
    <mergeCell ref="A267:D268"/>
    <mergeCell ref="E267:F267"/>
    <mergeCell ref="I267:I268"/>
    <mergeCell ref="J267:J268"/>
    <mergeCell ref="E268:F268"/>
    <mergeCell ref="A269:A270"/>
    <mergeCell ref="B269:B270"/>
    <mergeCell ref="C269:C270"/>
    <mergeCell ref="D269:D270"/>
    <mergeCell ref="I270:I271"/>
    <mergeCell ref="J270:J271"/>
    <mergeCell ref="I273:I274"/>
    <mergeCell ref="J273:J274"/>
    <mergeCell ref="I276:I277"/>
    <mergeCell ref="J276:J277"/>
    <mergeCell ref="A216:A217"/>
    <mergeCell ref="B216:B217"/>
    <mergeCell ref="C216:C217"/>
    <mergeCell ref="D216:D217"/>
    <mergeCell ref="E216:F216"/>
    <mergeCell ref="I216:I217"/>
    <mergeCell ref="J216:J217"/>
    <mergeCell ref="E217:F217"/>
    <mergeCell ref="I219:I220"/>
    <mergeCell ref="J219:J220"/>
    <mergeCell ref="E269:F269"/>
    <mergeCell ref="E270:F270"/>
    <mergeCell ref="A271:A272"/>
    <mergeCell ref="B271:B272"/>
    <mergeCell ref="C271:C272"/>
    <mergeCell ref="D271:D272"/>
    <mergeCell ref="E271:F271"/>
    <mergeCell ref="E272:F272"/>
    <mergeCell ref="A273:A274"/>
    <mergeCell ref="B273:B274"/>
    <mergeCell ref="C273:C274"/>
    <mergeCell ref="D273:D274"/>
    <mergeCell ref="E273:F273"/>
    <mergeCell ref="E274:F274"/>
    <mergeCell ref="A209:D209"/>
    <mergeCell ref="A210:D211"/>
    <mergeCell ref="E210:F210"/>
    <mergeCell ref="I210:I211"/>
    <mergeCell ref="J210:J211"/>
    <mergeCell ref="E211:F211"/>
    <mergeCell ref="A212:A213"/>
    <mergeCell ref="B212:B213"/>
    <mergeCell ref="C212:C213"/>
    <mergeCell ref="D212:D213"/>
    <mergeCell ref="E212:F212"/>
    <mergeCell ref="E213:F213"/>
    <mergeCell ref="I213:I214"/>
    <mergeCell ref="J213:J214"/>
    <mergeCell ref="A214:A215"/>
    <mergeCell ref="B214:B215"/>
    <mergeCell ref="C214:C215"/>
    <mergeCell ref="D214:D215"/>
    <mergeCell ref="E214:F214"/>
    <mergeCell ref="E215:F215"/>
    <mergeCell ref="A153:D154"/>
    <mergeCell ref="E153:F153"/>
    <mergeCell ref="I153:I154"/>
    <mergeCell ref="J153:J154"/>
    <mergeCell ref="E154:F154"/>
    <mergeCell ref="A155:A156"/>
    <mergeCell ref="B155:B156"/>
    <mergeCell ref="C155:C156"/>
    <mergeCell ref="D155:D156"/>
    <mergeCell ref="I156:I157"/>
    <mergeCell ref="J156:J157"/>
    <mergeCell ref="J159:J160"/>
    <mergeCell ref="I162:I163"/>
    <mergeCell ref="J162:J163"/>
    <mergeCell ref="A102:A103"/>
    <mergeCell ref="B102:B103"/>
    <mergeCell ref="C102:C103"/>
    <mergeCell ref="D102:D103"/>
    <mergeCell ref="E102:F102"/>
    <mergeCell ref="I102:I103"/>
    <mergeCell ref="J102:J103"/>
    <mergeCell ref="E103:F103"/>
    <mergeCell ref="I105:I106"/>
    <mergeCell ref="J105:J106"/>
    <mergeCell ref="E155:F155"/>
    <mergeCell ref="E156:F156"/>
    <mergeCell ref="A157:A158"/>
    <mergeCell ref="B157:B158"/>
    <mergeCell ref="C157:C158"/>
    <mergeCell ref="D157:D158"/>
    <mergeCell ref="E157:F157"/>
    <mergeCell ref="E158:F158"/>
    <mergeCell ref="A159:A160"/>
    <mergeCell ref="B159:B160"/>
    <mergeCell ref="A152:D152"/>
    <mergeCell ref="A98:A99"/>
    <mergeCell ref="B98:B99"/>
    <mergeCell ref="C98:C99"/>
    <mergeCell ref="D98:D99"/>
    <mergeCell ref="E98:F98"/>
    <mergeCell ref="E99:F99"/>
    <mergeCell ref="I99:I100"/>
    <mergeCell ref="J99:J100"/>
    <mergeCell ref="A100:A101"/>
    <mergeCell ref="B100:B101"/>
    <mergeCell ref="C100:C101"/>
    <mergeCell ref="D100:D101"/>
    <mergeCell ref="E100:F100"/>
    <mergeCell ref="E101:F101"/>
    <mergeCell ref="C379:E379"/>
    <mergeCell ref="F22:H22"/>
    <mergeCell ref="F33:J33"/>
    <mergeCell ref="G148:H148"/>
    <mergeCell ref="G139:H139"/>
    <mergeCell ref="A33:B33"/>
    <mergeCell ref="A204:B204"/>
    <mergeCell ref="B64:B65"/>
    <mergeCell ref="F121:G121"/>
    <mergeCell ref="F31:J31"/>
    <mergeCell ref="A38:D38"/>
    <mergeCell ref="A39:D40"/>
    <mergeCell ref="E39:F39"/>
    <mergeCell ref="I39:I40"/>
    <mergeCell ref="J39:J40"/>
    <mergeCell ref="E40:F40"/>
    <mergeCell ref="A41:A42"/>
    <mergeCell ref="A43:A44"/>
    <mergeCell ref="B43:B44"/>
    <mergeCell ref="C43:C44"/>
    <mergeCell ref="D43:D44"/>
    <mergeCell ref="E43:F43"/>
    <mergeCell ref="E44:F44"/>
    <mergeCell ref="A45:A46"/>
    <mergeCell ref="C372:E372"/>
    <mergeCell ref="G12:G13"/>
    <mergeCell ref="A28:B28"/>
    <mergeCell ref="G183:G184"/>
    <mergeCell ref="F248:H248"/>
    <mergeCell ref="F18:H18"/>
    <mergeCell ref="A15:J15"/>
    <mergeCell ref="F132:H132"/>
    <mergeCell ref="B174:B175"/>
    <mergeCell ref="C87:E87"/>
    <mergeCell ref="C258:E258"/>
    <mergeCell ref="C194:D194"/>
    <mergeCell ref="G201:H201"/>
    <mergeCell ref="G372:H372"/>
    <mergeCell ref="G203:H203"/>
    <mergeCell ref="C79:D79"/>
    <mergeCell ref="F37:J37"/>
    <mergeCell ref="I45:I46"/>
    <mergeCell ref="J45:J46"/>
    <mergeCell ref="E46:F46"/>
    <mergeCell ref="I48:I49"/>
    <mergeCell ref="J48:J49"/>
    <mergeCell ref="A95:D95"/>
    <mergeCell ref="C73:D73"/>
    <mergeCell ref="C374:E374"/>
    <mergeCell ref="I30:J30"/>
    <mergeCell ref="C205:E205"/>
    <mergeCell ref="A30:B30"/>
    <mergeCell ref="C94:E94"/>
    <mergeCell ref="F257:J257"/>
    <mergeCell ref="I201:J201"/>
    <mergeCell ref="F237:G237"/>
    <mergeCell ref="C363:D363"/>
    <mergeCell ref="F251:H251"/>
    <mergeCell ref="F189:H189"/>
    <mergeCell ref="A257:B257"/>
    <mergeCell ref="G297:G298"/>
    <mergeCell ref="C191:D191"/>
    <mergeCell ref="A345:A346"/>
    <mergeCell ref="C345:C346"/>
    <mergeCell ref="A186:J186"/>
    <mergeCell ref="F130:H130"/>
    <mergeCell ref="F66:G66"/>
    <mergeCell ref="C192:D192"/>
    <mergeCell ref="I183:J184"/>
    <mergeCell ref="I354:J355"/>
    <mergeCell ref="F351:G351"/>
    <mergeCell ref="C244:D244"/>
    <mergeCell ref="G374:H374"/>
    <mergeCell ref="C88:E88"/>
    <mergeCell ref="C259:E259"/>
    <mergeCell ref="I374:J374"/>
    <mergeCell ref="C18:D18"/>
    <mergeCell ref="C189:D189"/>
    <mergeCell ref="A34:B34"/>
    <mergeCell ref="A143:B143"/>
    <mergeCell ref="I196:J196"/>
    <mergeCell ref="C261:E261"/>
    <mergeCell ref="G126:G127"/>
    <mergeCell ref="I207:J207"/>
    <mergeCell ref="A36:B36"/>
    <mergeCell ref="B121:B122"/>
    <mergeCell ref="A207:B207"/>
    <mergeCell ref="C37:E37"/>
    <mergeCell ref="C34:E34"/>
    <mergeCell ref="A35:B35"/>
    <mergeCell ref="A206:B206"/>
    <mergeCell ref="C144:E144"/>
    <mergeCell ref="C80:D80"/>
    <mergeCell ref="F263:J263"/>
    <mergeCell ref="G367:H367"/>
    <mergeCell ref="F60:H61"/>
    <mergeCell ref="A378:B378"/>
    <mergeCell ref="G87:H87"/>
    <mergeCell ref="I87:J87"/>
    <mergeCell ref="C365:D365"/>
    <mergeCell ref="J118:J119"/>
    <mergeCell ref="I364:J364"/>
    <mergeCell ref="G370:H370"/>
    <mergeCell ref="F379:J379"/>
    <mergeCell ref="C257:E257"/>
    <mergeCell ref="C375:E375"/>
    <mergeCell ref="I372:J372"/>
    <mergeCell ref="J232:J233"/>
    <mergeCell ref="C322:E322"/>
    <mergeCell ref="C89:E89"/>
    <mergeCell ref="C260:E260"/>
    <mergeCell ref="I193:J193"/>
    <mergeCell ref="I126:J127"/>
    <mergeCell ref="A262:B262"/>
    <mergeCell ref="C321:E321"/>
    <mergeCell ref="A315:B315"/>
    <mergeCell ref="A288:A289"/>
    <mergeCell ref="C288:C289"/>
    <mergeCell ref="A202:B202"/>
    <mergeCell ref="A258:B258"/>
    <mergeCell ref="C26:D26"/>
    <mergeCell ref="I136:J136"/>
    <mergeCell ref="A72:J72"/>
    <mergeCell ref="F247:H247"/>
    <mergeCell ref="A205:B205"/>
    <mergeCell ref="I69:J70"/>
    <mergeCell ref="I240:J241"/>
    <mergeCell ref="F249:H249"/>
    <mergeCell ref="C150:E150"/>
    <mergeCell ref="F133:H133"/>
    <mergeCell ref="F197:J197"/>
    <mergeCell ref="I192:J192"/>
    <mergeCell ref="H240:H241"/>
    <mergeCell ref="A121:A122"/>
    <mergeCell ref="A91:B91"/>
    <mergeCell ref="B41:B42"/>
    <mergeCell ref="C41:C42"/>
    <mergeCell ref="D41:D42"/>
    <mergeCell ref="E41:F41"/>
    <mergeCell ref="E42:F42"/>
    <mergeCell ref="I42:I43"/>
    <mergeCell ref="J42:J43"/>
    <mergeCell ref="B45:B46"/>
    <mergeCell ref="C45:C46"/>
    <mergeCell ref="I363:J363"/>
    <mergeCell ref="D345:D346"/>
    <mergeCell ref="F75:H75"/>
    <mergeCell ref="F135:H135"/>
    <mergeCell ref="C201:E201"/>
    <mergeCell ref="C90:E90"/>
    <mergeCell ref="C139:E139"/>
    <mergeCell ref="C197:D197"/>
    <mergeCell ref="F320:J320"/>
    <mergeCell ref="G82:H82"/>
    <mergeCell ref="C249:D249"/>
    <mergeCell ref="G253:H253"/>
    <mergeCell ref="C203:E203"/>
    <mergeCell ref="I75:J75"/>
    <mergeCell ref="G317:H317"/>
    <mergeCell ref="I146:J146"/>
    <mergeCell ref="I317:J317"/>
    <mergeCell ref="C83:D83"/>
    <mergeCell ref="C248:D248"/>
    <mergeCell ref="C254:D254"/>
    <mergeCell ref="A297:C298"/>
    <mergeCell ref="C256:E256"/>
    <mergeCell ref="C159:C160"/>
    <mergeCell ref="D159:D160"/>
    <mergeCell ref="A5:A6"/>
    <mergeCell ref="A86:B86"/>
    <mergeCell ref="G319:H319"/>
    <mergeCell ref="I248:J248"/>
    <mergeCell ref="A151:B151"/>
    <mergeCell ref="A150:B150"/>
    <mergeCell ref="A321:B321"/>
    <mergeCell ref="A144:B144"/>
    <mergeCell ref="A12:C13"/>
    <mergeCell ref="C36:E36"/>
    <mergeCell ref="C207:E207"/>
    <mergeCell ref="I118:I119"/>
    <mergeCell ref="I289:I290"/>
    <mergeCell ref="G199:H199"/>
    <mergeCell ref="B62:B63"/>
    <mergeCell ref="F80:H80"/>
    <mergeCell ref="A82:B82"/>
    <mergeCell ref="I139:J139"/>
    <mergeCell ref="C146:E146"/>
    <mergeCell ref="F26:J26"/>
    <mergeCell ref="I21:J21"/>
    <mergeCell ref="C21:D21"/>
    <mergeCell ref="F90:J90"/>
    <mergeCell ref="A32:B32"/>
    <mergeCell ref="A373:B373"/>
    <mergeCell ref="F19:H19"/>
    <mergeCell ref="H126:H127"/>
    <mergeCell ref="I78:J78"/>
    <mergeCell ref="F5:H6"/>
    <mergeCell ref="F200:J200"/>
    <mergeCell ref="C208:E208"/>
    <mergeCell ref="A233:A234"/>
    <mergeCell ref="B117:B118"/>
    <mergeCell ref="B115:D116"/>
    <mergeCell ref="B286:D287"/>
    <mergeCell ref="I194:J194"/>
    <mergeCell ref="I365:J365"/>
    <mergeCell ref="I25:J25"/>
    <mergeCell ref="C134:D134"/>
    <mergeCell ref="C305:D305"/>
    <mergeCell ref="B119:B120"/>
    <mergeCell ref="I307:J307"/>
    <mergeCell ref="A310:B310"/>
    <mergeCell ref="B347:B348"/>
    <mergeCell ref="F79:H79"/>
    <mergeCell ref="C231:C232"/>
    <mergeCell ref="E60:E61"/>
    <mergeCell ref="E231:E232"/>
    <mergeCell ref="F3:H4"/>
    <mergeCell ref="F174:H175"/>
    <mergeCell ref="C371:E371"/>
    <mergeCell ref="H295:J296"/>
    <mergeCell ref="F136:H136"/>
    <mergeCell ref="C76:D76"/>
    <mergeCell ref="B288:B289"/>
    <mergeCell ref="A374:B374"/>
    <mergeCell ref="C361:D361"/>
    <mergeCell ref="F78:H78"/>
    <mergeCell ref="C204:E204"/>
    <mergeCell ref="A371:B371"/>
    <mergeCell ref="H238:J239"/>
    <mergeCell ref="C358:D358"/>
    <mergeCell ref="F246:H246"/>
    <mergeCell ref="I308:J308"/>
    <mergeCell ref="C308:D308"/>
    <mergeCell ref="F345:H346"/>
    <mergeCell ref="F206:J206"/>
    <mergeCell ref="C77:D77"/>
    <mergeCell ref="F117:H118"/>
    <mergeCell ref="B233:B234"/>
    <mergeCell ref="I310:J310"/>
    <mergeCell ref="F29:J29"/>
    <mergeCell ref="B1:D2"/>
    <mergeCell ref="I20:J20"/>
    <mergeCell ref="G85:H85"/>
    <mergeCell ref="G256:H256"/>
    <mergeCell ref="C206:E206"/>
    <mergeCell ref="A117:A118"/>
    <mergeCell ref="C377:E377"/>
    <mergeCell ref="I370:J370"/>
    <mergeCell ref="F365:H365"/>
    <mergeCell ref="C143:E143"/>
    <mergeCell ref="A119:A120"/>
    <mergeCell ref="F147:J147"/>
    <mergeCell ref="B3:B4"/>
    <mergeCell ref="I80:J80"/>
    <mergeCell ref="A243:J243"/>
    <mergeCell ref="F311:J311"/>
    <mergeCell ref="I244:J244"/>
    <mergeCell ref="F377:J377"/>
    <mergeCell ref="B235:B236"/>
    <mergeCell ref="G352:G353"/>
    <mergeCell ref="I361:J361"/>
    <mergeCell ref="F316:J316"/>
    <mergeCell ref="A148:B148"/>
    <mergeCell ref="F9:G9"/>
    <mergeCell ref="I378:J378"/>
    <mergeCell ref="A3:A4"/>
    <mergeCell ref="F86:J86"/>
    <mergeCell ref="G146:H146"/>
    <mergeCell ref="A87:B87"/>
    <mergeCell ref="I144:J144"/>
    <mergeCell ref="A316:B316"/>
    <mergeCell ref="G38:H38"/>
    <mergeCell ref="G209:H209"/>
    <mergeCell ref="B290:B291"/>
    <mergeCell ref="H69:H70"/>
    <mergeCell ref="A89:B89"/>
    <mergeCell ref="A146:B146"/>
    <mergeCell ref="F190:H190"/>
    <mergeCell ref="G262:H262"/>
    <mergeCell ref="C316:E316"/>
    <mergeCell ref="A292:A293"/>
    <mergeCell ref="F204:J204"/>
    <mergeCell ref="I175:I176"/>
    <mergeCell ref="A376:B376"/>
    <mergeCell ref="B58:D59"/>
    <mergeCell ref="A235:A236"/>
    <mergeCell ref="A313:B313"/>
    <mergeCell ref="F140:J140"/>
    <mergeCell ref="C370:E370"/>
    <mergeCell ref="I150:J150"/>
    <mergeCell ref="I321:J321"/>
    <mergeCell ref="I313:J313"/>
    <mergeCell ref="A349:A350"/>
    <mergeCell ref="A367:B367"/>
    <mergeCell ref="B349:B350"/>
    <mergeCell ref="G205:H205"/>
    <mergeCell ref="G376:H376"/>
    <mergeCell ref="I205:J205"/>
    <mergeCell ref="I376:J376"/>
    <mergeCell ref="E176:E177"/>
    <mergeCell ref="G152:H152"/>
    <mergeCell ref="G323:H323"/>
    <mergeCell ref="F180:G180"/>
    <mergeCell ref="C367:E367"/>
    <mergeCell ref="C303:D303"/>
    <mergeCell ref="C317:E317"/>
    <mergeCell ref="C319:E319"/>
    <mergeCell ref="A347:A348"/>
    <mergeCell ref="F307:H307"/>
    <mergeCell ref="F371:J371"/>
    <mergeCell ref="I360:J360"/>
    <mergeCell ref="I232:I233"/>
    <mergeCell ref="I23:J23"/>
    <mergeCell ref="C23:D23"/>
    <mergeCell ref="J61:J62"/>
    <mergeCell ref="A265:B265"/>
    <mergeCell ref="A64:A65"/>
    <mergeCell ref="I34:J34"/>
    <mergeCell ref="D174:D175"/>
    <mergeCell ref="C93:E93"/>
    <mergeCell ref="G36:H36"/>
    <mergeCell ref="I36:J36"/>
    <mergeCell ref="C250:D250"/>
    <mergeCell ref="F143:J143"/>
    <mergeCell ref="D60:D61"/>
    <mergeCell ref="D231:D232"/>
    <mergeCell ref="F145:J145"/>
    <mergeCell ref="C247:D247"/>
    <mergeCell ref="A263:B263"/>
    <mergeCell ref="A62:A63"/>
    <mergeCell ref="I247:J247"/>
    <mergeCell ref="I262:J262"/>
    <mergeCell ref="G238:G239"/>
    <mergeCell ref="C25:E25"/>
    <mergeCell ref="C196:E196"/>
    <mergeCell ref="C85:E85"/>
    <mergeCell ref="A126:C127"/>
    <mergeCell ref="G295:G296"/>
    <mergeCell ref="A29:B29"/>
    <mergeCell ref="A31:B31"/>
    <mergeCell ref="A129:J129"/>
    <mergeCell ref="I89:J89"/>
    <mergeCell ref="I260:J260"/>
    <mergeCell ref="C187:D187"/>
    <mergeCell ref="F244:H244"/>
    <mergeCell ref="F290:H291"/>
    <mergeCell ref="C33:E33"/>
    <mergeCell ref="F261:J261"/>
    <mergeCell ref="F192:H192"/>
    <mergeCell ref="A260:B260"/>
    <mergeCell ref="A149:B149"/>
    <mergeCell ref="D45:D46"/>
    <mergeCell ref="E45:F45"/>
    <mergeCell ref="E159:F159"/>
    <mergeCell ref="E160:F160"/>
    <mergeCell ref="A96:D97"/>
    <mergeCell ref="E96:F96"/>
    <mergeCell ref="I96:I97"/>
    <mergeCell ref="J96:J97"/>
    <mergeCell ref="E97:F97"/>
    <mergeCell ref="C368:D368"/>
    <mergeCell ref="F308:H308"/>
    <mergeCell ref="J4:J5"/>
    <mergeCell ref="J175:J176"/>
    <mergeCell ref="C364:D364"/>
    <mergeCell ref="F322:J322"/>
    <mergeCell ref="B229:D230"/>
    <mergeCell ref="C251:D251"/>
    <mergeCell ref="F191:H191"/>
    <mergeCell ref="A259:B259"/>
    <mergeCell ref="I250:J250"/>
    <mergeCell ref="A253:B253"/>
    <mergeCell ref="C174:C175"/>
    <mergeCell ref="E174:E175"/>
    <mergeCell ref="C19:D19"/>
    <mergeCell ref="C190:D190"/>
    <mergeCell ref="F364:H364"/>
    <mergeCell ref="F349:G349"/>
    <mergeCell ref="F347:H348"/>
    <mergeCell ref="C304:D304"/>
    <mergeCell ref="F21:H21"/>
    <mergeCell ref="C16:D16"/>
    <mergeCell ref="F119:H120"/>
    <mergeCell ref="D288:D289"/>
    <mergeCell ref="A319:B319"/>
    <mergeCell ref="A142:B142"/>
    <mergeCell ref="I199:J199"/>
    <mergeCell ref="F194:H194"/>
    <mergeCell ref="G240:G241"/>
    <mergeCell ref="C320:E320"/>
    <mergeCell ref="F208:J208"/>
    <mergeCell ref="A357:J357"/>
    <mergeCell ref="I297:J298"/>
    <mergeCell ref="C313:E313"/>
    <mergeCell ref="C199:E199"/>
    <mergeCell ref="A147:B147"/>
    <mergeCell ref="A322:B322"/>
    <mergeCell ref="I253:J253"/>
    <mergeCell ref="G181:G182"/>
    <mergeCell ref="C306:D306"/>
    <mergeCell ref="F235:G235"/>
    <mergeCell ref="C301:D301"/>
    <mergeCell ref="C253:E253"/>
    <mergeCell ref="G196:H196"/>
    <mergeCell ref="G207:H207"/>
    <mergeCell ref="E347:E348"/>
    <mergeCell ref="B345:B346"/>
    <mergeCell ref="I159:I160"/>
    <mergeCell ref="A37:B37"/>
    <mergeCell ref="C137:D137"/>
    <mergeCell ref="D3:D4"/>
    <mergeCell ref="A208:B208"/>
    <mergeCell ref="I305:J305"/>
    <mergeCell ref="I189:J189"/>
    <mergeCell ref="I246:J246"/>
    <mergeCell ref="A94:B94"/>
    <mergeCell ref="F288:H289"/>
    <mergeCell ref="F23:H23"/>
    <mergeCell ref="C20:D20"/>
    <mergeCell ref="B176:B177"/>
    <mergeCell ref="A256:B256"/>
    <mergeCell ref="C133:D133"/>
    <mergeCell ref="B178:B179"/>
    <mergeCell ref="C22:D22"/>
    <mergeCell ref="C193:D193"/>
    <mergeCell ref="C262:E262"/>
    <mergeCell ref="A264:B264"/>
    <mergeCell ref="C28:E28"/>
    <mergeCell ref="G10:G11"/>
    <mergeCell ref="G124:G125"/>
    <mergeCell ref="C82:E82"/>
    <mergeCell ref="C86:E86"/>
    <mergeCell ref="A379:B379"/>
    <mergeCell ref="F35:J35"/>
    <mergeCell ref="A145:B145"/>
    <mergeCell ref="A139:B139"/>
    <mergeCell ref="F362:H362"/>
    <mergeCell ref="C60:C61"/>
    <mergeCell ref="H12:H13"/>
    <mergeCell ref="H183:H184"/>
    <mergeCell ref="H354:H355"/>
    <mergeCell ref="A203:B203"/>
    <mergeCell ref="C132:D132"/>
    <mergeCell ref="F259:J259"/>
    <mergeCell ref="G25:H25"/>
    <mergeCell ref="C315:E315"/>
    <mergeCell ref="C35:E35"/>
    <mergeCell ref="F254:J254"/>
    <mergeCell ref="F64:G64"/>
    <mergeCell ref="I187:J187"/>
    <mergeCell ref="A261:B261"/>
    <mergeCell ref="A92:B92"/>
    <mergeCell ref="I12:J13"/>
    <mergeCell ref="F178:G178"/>
    <mergeCell ref="B343:D344"/>
    <mergeCell ref="I251:J251"/>
    <mergeCell ref="F358:H358"/>
    <mergeCell ref="G142:H142"/>
    <mergeCell ref="G313:H313"/>
    <mergeCell ref="I142:J142"/>
    <mergeCell ref="G378:H378"/>
    <mergeCell ref="C92:E92"/>
    <mergeCell ref="C263:E263"/>
    <mergeCell ref="C30:E30"/>
    <mergeCell ref="I79:J79"/>
    <mergeCell ref="G144:H144"/>
    <mergeCell ref="I73:J73"/>
    <mergeCell ref="G315:H315"/>
    <mergeCell ref="I315:J315"/>
    <mergeCell ref="H124:J125"/>
    <mergeCell ref="I358:J358"/>
    <mergeCell ref="I135:J135"/>
    <mergeCell ref="I306:J306"/>
    <mergeCell ref="G266:H266"/>
    <mergeCell ref="G260:H260"/>
    <mergeCell ref="C145:E145"/>
    <mergeCell ref="D117:D118"/>
    <mergeCell ref="F149:J149"/>
    <mergeCell ref="I148:J148"/>
    <mergeCell ref="I82:J82"/>
    <mergeCell ref="A377:B377"/>
    <mergeCell ref="C135:D135"/>
    <mergeCell ref="F294:G294"/>
    <mergeCell ref="A85:B85"/>
    <mergeCell ref="F137:H137"/>
    <mergeCell ref="A199:B199"/>
    <mergeCell ref="E345:E346"/>
    <mergeCell ref="F360:H360"/>
    <mergeCell ref="G150:H150"/>
    <mergeCell ref="G321:H321"/>
    <mergeCell ref="C200:E200"/>
    <mergeCell ref="C136:D136"/>
    <mergeCell ref="C265:E265"/>
    <mergeCell ref="A176:A177"/>
    <mergeCell ref="A240:C241"/>
    <mergeCell ref="F88:J88"/>
    <mergeCell ref="C142:E142"/>
    <mergeCell ref="C202:E202"/>
    <mergeCell ref="C373:E373"/>
    <mergeCell ref="B292:B293"/>
    <mergeCell ref="F176:H177"/>
    <mergeCell ref="I304:J304"/>
    <mergeCell ref="F314:J314"/>
    <mergeCell ref="F292:G292"/>
    <mergeCell ref="F375:J375"/>
    <mergeCell ref="F83:J83"/>
    <mergeCell ref="I16:J16"/>
    <mergeCell ref="I76:J76"/>
    <mergeCell ref="A90:B90"/>
    <mergeCell ref="I203:J203"/>
    <mergeCell ref="I301:J301"/>
    <mergeCell ref="F368:J368"/>
    <mergeCell ref="A375:B375"/>
    <mergeCell ref="C91:E91"/>
    <mergeCell ref="I18:J18"/>
    <mergeCell ref="C151:E151"/>
    <mergeCell ref="H352:J353"/>
    <mergeCell ref="F193:H193"/>
    <mergeCell ref="F305:H305"/>
    <mergeCell ref="I367:J367"/>
    <mergeCell ref="I77:J77"/>
    <mergeCell ref="E117:E118"/>
    <mergeCell ref="I133:J133"/>
    <mergeCell ref="F265:J265"/>
    <mergeCell ref="A372:B372"/>
    <mergeCell ref="I137:J137"/>
    <mergeCell ref="C140:D140"/>
    <mergeCell ref="G28:H28"/>
    <mergeCell ref="C360:D360"/>
    <mergeCell ref="F363:H363"/>
    <mergeCell ref="F92:J92"/>
    <mergeCell ref="G91:H91"/>
    <mergeCell ref="G95:H95"/>
    <mergeCell ref="G89:H89"/>
    <mergeCell ref="A290:A291"/>
    <mergeCell ref="A200:B200"/>
    <mergeCell ref="B172:D173"/>
    <mergeCell ref="I191:J191"/>
    <mergeCell ref="I362:J362"/>
    <mergeCell ref="A178:A179"/>
    <mergeCell ref="F361:H361"/>
    <mergeCell ref="C149:E149"/>
    <mergeCell ref="A300:J300"/>
    <mergeCell ref="I130:J130"/>
    <mergeCell ref="G310:H310"/>
    <mergeCell ref="I190:J190"/>
    <mergeCell ref="J346:J347"/>
    <mergeCell ref="C130:D130"/>
    <mergeCell ref="F233:H234"/>
    <mergeCell ref="A231:A232"/>
    <mergeCell ref="I132:J132"/>
    <mergeCell ref="I303:J303"/>
    <mergeCell ref="A370:B370"/>
    <mergeCell ref="C311:D311"/>
    <mergeCell ref="C3:C4"/>
    <mergeCell ref="E3:E4"/>
    <mergeCell ref="I19:J19"/>
    <mergeCell ref="F151:J151"/>
    <mergeCell ref="B7:B8"/>
    <mergeCell ref="A93:B93"/>
    <mergeCell ref="F62:H63"/>
    <mergeCell ref="F231:H232"/>
    <mergeCell ref="F301:H301"/>
    <mergeCell ref="E5:E6"/>
    <mergeCell ref="G67:G68"/>
    <mergeCell ref="I319:J319"/>
    <mergeCell ref="I256:J256"/>
    <mergeCell ref="G69:G70"/>
    <mergeCell ref="I346:I347"/>
    <mergeCell ref="B231:B232"/>
    <mergeCell ref="F7:G7"/>
    <mergeCell ref="A174:A175"/>
    <mergeCell ref="H297:H298"/>
    <mergeCell ref="A317:B317"/>
    <mergeCell ref="C75:D75"/>
    <mergeCell ref="E119:E120"/>
    <mergeCell ref="F373:J373"/>
    <mergeCell ref="C264:E264"/>
    <mergeCell ref="F250:H250"/>
    <mergeCell ref="A183:C184"/>
    <mergeCell ref="A354:C355"/>
    <mergeCell ref="C376:E376"/>
    <mergeCell ref="C314:E314"/>
    <mergeCell ref="E62:E63"/>
    <mergeCell ref="F16:H16"/>
    <mergeCell ref="F187:H187"/>
    <mergeCell ref="E233:E234"/>
    <mergeCell ref="C362:D362"/>
    <mergeCell ref="F304:H304"/>
    <mergeCell ref="G32:H32"/>
    <mergeCell ref="I85:J85"/>
    <mergeCell ref="A196:B196"/>
    <mergeCell ref="C117:C118"/>
    <mergeCell ref="F94:J94"/>
    <mergeCell ref="G93:H93"/>
    <mergeCell ref="G264:H264"/>
    <mergeCell ref="I93:J93"/>
    <mergeCell ref="I264:J264"/>
    <mergeCell ref="A69:C70"/>
    <mergeCell ref="I249:J249"/>
    <mergeCell ref="C378:E378"/>
    <mergeCell ref="C147:E147"/>
    <mergeCell ref="F306:H306"/>
    <mergeCell ref="C307:D307"/>
    <mergeCell ref="F20:H20"/>
    <mergeCell ref="A201:B201"/>
    <mergeCell ref="A25:B25"/>
    <mergeCell ref="I22:J22"/>
    <mergeCell ref="C318:E318"/>
    <mergeCell ref="B60:B61"/>
    <mergeCell ref="E288:E289"/>
    <mergeCell ref="G354:G355"/>
    <mergeCell ref="G258:H258"/>
    <mergeCell ref="F77:H77"/>
    <mergeCell ref="I258:J258"/>
    <mergeCell ref="C32:E32"/>
    <mergeCell ref="J289:J290"/>
    <mergeCell ref="A60:A61"/>
    <mergeCell ref="H67:J68"/>
    <mergeCell ref="C148:E148"/>
    <mergeCell ref="C246:D246"/>
    <mergeCell ref="F303:H303"/>
    <mergeCell ref="I91:J91"/>
    <mergeCell ref="F134:H134"/>
    <mergeCell ref="I4:I5"/>
    <mergeCell ref="F318:J318"/>
    <mergeCell ref="C310:E310"/>
    <mergeCell ref="B5:B6"/>
    <mergeCell ref="A318:B318"/>
    <mergeCell ref="F123:G123"/>
    <mergeCell ref="A320:B320"/>
    <mergeCell ref="C78:D78"/>
    <mergeCell ref="A314:B314"/>
    <mergeCell ref="A7:A8"/>
    <mergeCell ref="A88:B88"/>
    <mergeCell ref="I28:J28"/>
    <mergeCell ref="G30:H30"/>
    <mergeCell ref="F73:H73"/>
    <mergeCell ref="C29:E29"/>
    <mergeCell ref="F76:H76"/>
    <mergeCell ref="C31:E31"/>
    <mergeCell ref="G34:H34"/>
    <mergeCell ref="F202:J202"/>
    <mergeCell ref="E290:E291"/>
    <mergeCell ref="H10:J11"/>
    <mergeCell ref="H181:J182"/>
    <mergeCell ref="I32:J32"/>
    <mergeCell ref="I134:J134"/>
  </mergeCells>
  <phoneticPr fontId="2"/>
  <conditionalFormatting sqref="I39:I40">
    <cfRule type="cellIs" dxfId="23" priority="14" operator="lessThan">
      <formula>45658</formula>
    </cfRule>
  </conditionalFormatting>
  <conditionalFormatting sqref="D50:D55">
    <cfRule type="cellIs" dxfId="22" priority="13" operator="equal">
      <formula>$D49</formula>
    </cfRule>
  </conditionalFormatting>
  <conditionalFormatting sqref="I96:I97">
    <cfRule type="cellIs" dxfId="19" priority="12" operator="lessThan">
      <formula>45658</formula>
    </cfRule>
  </conditionalFormatting>
  <conditionalFormatting sqref="D107:D112">
    <cfRule type="cellIs" dxfId="18" priority="11" operator="equal">
      <formula>$D106</formula>
    </cfRule>
  </conditionalFormatting>
  <conditionalFormatting sqref="I153:I154">
    <cfRule type="cellIs" dxfId="17" priority="10" operator="lessThan">
      <formula>45658</formula>
    </cfRule>
  </conditionalFormatting>
  <conditionalFormatting sqref="D164:D169">
    <cfRule type="cellIs" dxfId="16" priority="9" operator="equal">
      <formula>$D163</formula>
    </cfRule>
  </conditionalFormatting>
  <conditionalFormatting sqref="I210:I211">
    <cfRule type="cellIs" dxfId="13" priority="8" operator="lessThan">
      <formula>45658</formula>
    </cfRule>
  </conditionalFormatting>
  <conditionalFormatting sqref="D221:D226">
    <cfRule type="cellIs" dxfId="12" priority="7" operator="equal">
      <formula>$D220</formula>
    </cfRule>
  </conditionalFormatting>
  <conditionalFormatting sqref="I267:I268">
    <cfRule type="cellIs" dxfId="9" priority="6" operator="lessThan">
      <formula>45658</formula>
    </cfRule>
  </conditionalFormatting>
  <conditionalFormatting sqref="D278:D283">
    <cfRule type="cellIs" dxfId="8" priority="5" operator="equal">
      <formula>$D277</formula>
    </cfRule>
  </conditionalFormatting>
  <conditionalFormatting sqref="I324:I325">
    <cfRule type="cellIs" dxfId="5" priority="4" operator="lessThan">
      <formula>45658</formula>
    </cfRule>
  </conditionalFormatting>
  <conditionalFormatting sqref="D335:D340">
    <cfRule type="cellIs" dxfId="4" priority="3" operator="equal">
      <formula>$D334</formula>
    </cfRule>
  </conditionalFormatting>
  <conditionalFormatting sqref="I381:I382">
    <cfRule type="cellIs" dxfId="1" priority="2" operator="lessThan">
      <formula>45658</formula>
    </cfRule>
  </conditionalFormatting>
  <conditionalFormatting sqref="D392:D397">
    <cfRule type="cellIs" dxfId="0" priority="1" operator="equal">
      <formula>$D391</formula>
    </cfRule>
  </conditionalFormatting>
  <pageMargins left="0" right="0" top="0" bottom="0" header="0.51181102362204722" footer="0.51181102362204722"/>
  <pageSetup paperSize="9" scale="75" orientation="portrait"/>
  <headerFooter>
    <oddFooter>&amp;R&amp;P/&amp;N</oddFooter>
  </headerFooter>
  <rowBreaks count="6" manualBreakCount="6">
    <brk id="57" max="16383" man="1"/>
    <brk id="114" max="16383" man="1"/>
    <brk id="171" max="16383" man="1"/>
    <brk id="228" max="16383" man="1"/>
    <brk id="285" max="16383" man="1"/>
    <brk id="342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teppei tomita</cp:lastModifiedBy>
  <cp:lastPrinted>2024-07-22T04:35:10Z</cp:lastPrinted>
  <dcterms:created xsi:type="dcterms:W3CDTF">2024-07-11T02:08:33Z</dcterms:created>
  <dcterms:modified xsi:type="dcterms:W3CDTF">2025-06-06T03:24:05Z</dcterms:modified>
</cp:coreProperties>
</file>