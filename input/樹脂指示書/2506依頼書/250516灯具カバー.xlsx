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F345A5A0-6C1F-4630-9752-CB631DDDB52E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3" i="1" l="1"/>
  <c r="I283" i="1"/>
  <c r="H283" i="1"/>
  <c r="E283" i="1"/>
  <c r="C283" i="1"/>
  <c r="D283" i="1" s="1"/>
  <c r="B283" i="1"/>
  <c r="J282" i="1"/>
  <c r="I282" i="1"/>
  <c r="H282" i="1"/>
  <c r="G282" i="1" s="1"/>
  <c r="E282" i="1"/>
  <c r="C282" i="1"/>
  <c r="D282" i="1" s="1"/>
  <c r="B282" i="1"/>
  <c r="J281" i="1"/>
  <c r="I281" i="1"/>
  <c r="H281" i="1"/>
  <c r="G281" i="1" s="1"/>
  <c r="E281" i="1"/>
  <c r="D281" i="1"/>
  <c r="C281" i="1"/>
  <c r="B281" i="1"/>
  <c r="A281" i="1"/>
  <c r="J280" i="1"/>
  <c r="I280" i="1"/>
  <c r="H280" i="1"/>
  <c r="E280" i="1"/>
  <c r="D280" i="1"/>
  <c r="C280" i="1"/>
  <c r="B280" i="1"/>
  <c r="A280" i="1"/>
  <c r="J279" i="1"/>
  <c r="I279" i="1"/>
  <c r="H279" i="1"/>
  <c r="G279" i="1"/>
  <c r="E279" i="1"/>
  <c r="C279" i="1"/>
  <c r="D279" i="1" s="1"/>
  <c r="B279" i="1"/>
  <c r="A279" i="1"/>
  <c r="H278" i="1"/>
  <c r="E278" i="1"/>
  <c r="D278" i="1"/>
  <c r="C278" i="1"/>
  <c r="B278" i="1"/>
  <c r="A278" i="1"/>
  <c r="H277" i="1"/>
  <c r="G277" i="1" s="1"/>
  <c r="E277" i="1"/>
  <c r="C277" i="1"/>
  <c r="D277" i="1" s="1"/>
  <c r="B277" i="1"/>
  <c r="A277" i="1"/>
  <c r="J276" i="1"/>
  <c r="I276" i="1"/>
  <c r="H276" i="1"/>
  <c r="B276" i="1"/>
  <c r="A276" i="1"/>
  <c r="J273" i="1"/>
  <c r="I273" i="1"/>
  <c r="H273" i="1"/>
  <c r="E273" i="1"/>
  <c r="D273" i="1"/>
  <c r="B273" i="1"/>
  <c r="H272" i="1"/>
  <c r="H271" i="1"/>
  <c r="E271" i="1"/>
  <c r="D271" i="1"/>
  <c r="B271" i="1"/>
  <c r="J270" i="1"/>
  <c r="I270" i="1"/>
  <c r="H270" i="1"/>
  <c r="E270" i="1"/>
  <c r="H269" i="1"/>
  <c r="D269" i="1"/>
  <c r="G280" i="1" s="1"/>
  <c r="B269" i="1"/>
  <c r="H268" i="1"/>
  <c r="J267" i="1"/>
  <c r="A283" i="1" s="1"/>
  <c r="I267" i="1"/>
  <c r="H267" i="1"/>
  <c r="H274" i="1" s="1"/>
  <c r="E267" i="1"/>
  <c r="A267" i="1"/>
  <c r="J226" i="1"/>
  <c r="I226" i="1"/>
  <c r="H226" i="1"/>
  <c r="E226" i="1"/>
  <c r="C226" i="1"/>
  <c r="D226" i="1" s="1"/>
  <c r="B226" i="1"/>
  <c r="J225" i="1"/>
  <c r="I225" i="1"/>
  <c r="H225" i="1"/>
  <c r="G225" i="1" s="1"/>
  <c r="E225" i="1"/>
  <c r="C225" i="1"/>
  <c r="D225" i="1" s="1"/>
  <c r="B225" i="1"/>
  <c r="J224" i="1"/>
  <c r="I224" i="1"/>
  <c r="H224" i="1"/>
  <c r="G224" i="1" s="1"/>
  <c r="E224" i="1"/>
  <c r="D224" i="1"/>
  <c r="C224" i="1"/>
  <c r="B224" i="1"/>
  <c r="A224" i="1"/>
  <c r="J223" i="1"/>
  <c r="I223" i="1"/>
  <c r="H223" i="1"/>
  <c r="E223" i="1"/>
  <c r="D223" i="1"/>
  <c r="C223" i="1"/>
  <c r="B223" i="1"/>
  <c r="A223" i="1"/>
  <c r="J222" i="1"/>
  <c r="I222" i="1"/>
  <c r="H222" i="1"/>
  <c r="E222" i="1"/>
  <c r="C222" i="1"/>
  <c r="D222" i="1" s="1"/>
  <c r="B222" i="1"/>
  <c r="A222" i="1"/>
  <c r="H221" i="1"/>
  <c r="E221" i="1"/>
  <c r="D221" i="1"/>
  <c r="C221" i="1"/>
  <c r="B221" i="1"/>
  <c r="A221" i="1"/>
  <c r="H220" i="1"/>
  <c r="G220" i="1" s="1"/>
  <c r="E220" i="1"/>
  <c r="D220" i="1"/>
  <c r="C220" i="1"/>
  <c r="B220" i="1"/>
  <c r="A220" i="1"/>
  <c r="J219" i="1"/>
  <c r="I219" i="1"/>
  <c r="H219" i="1"/>
  <c r="B219" i="1"/>
  <c r="A219" i="1"/>
  <c r="J216" i="1"/>
  <c r="I216" i="1"/>
  <c r="H216" i="1"/>
  <c r="E216" i="1"/>
  <c r="D216" i="1"/>
  <c r="B216" i="1"/>
  <c r="H215" i="1"/>
  <c r="H214" i="1"/>
  <c r="E214" i="1"/>
  <c r="D214" i="1"/>
  <c r="B214" i="1"/>
  <c r="J213" i="1"/>
  <c r="I213" i="1"/>
  <c r="H213" i="1"/>
  <c r="E213" i="1"/>
  <c r="H212" i="1"/>
  <c r="D212" i="1"/>
  <c r="G223" i="1" s="1"/>
  <c r="B212" i="1"/>
  <c r="H211" i="1"/>
  <c r="J210" i="1"/>
  <c r="A226" i="1" s="1"/>
  <c r="I210" i="1"/>
  <c r="H210" i="1"/>
  <c r="H217" i="1" s="1"/>
  <c r="E210" i="1"/>
  <c r="A210" i="1"/>
  <c r="J511" i="1"/>
  <c r="I511" i="1"/>
  <c r="H511" i="1"/>
  <c r="E511" i="1"/>
  <c r="C511" i="1"/>
  <c r="D511" i="1" s="1"/>
  <c r="B511" i="1"/>
  <c r="J510" i="1"/>
  <c r="I510" i="1"/>
  <c r="H510" i="1"/>
  <c r="E510" i="1"/>
  <c r="C510" i="1"/>
  <c r="D510" i="1" s="1"/>
  <c r="B510" i="1"/>
  <c r="J509" i="1"/>
  <c r="I509" i="1"/>
  <c r="H509" i="1"/>
  <c r="E509" i="1"/>
  <c r="D509" i="1"/>
  <c r="C509" i="1"/>
  <c r="B509" i="1"/>
  <c r="J508" i="1"/>
  <c r="I508" i="1"/>
  <c r="H508" i="1"/>
  <c r="E508" i="1"/>
  <c r="C508" i="1"/>
  <c r="D508" i="1" s="1"/>
  <c r="B508" i="1"/>
  <c r="J507" i="1"/>
  <c r="I507" i="1"/>
  <c r="H507" i="1"/>
  <c r="E507" i="1"/>
  <c r="C507" i="1"/>
  <c r="D507" i="1" s="1"/>
  <c r="B507" i="1"/>
  <c r="A507" i="1"/>
  <c r="H506" i="1"/>
  <c r="E506" i="1"/>
  <c r="C506" i="1"/>
  <c r="D506" i="1" s="1"/>
  <c r="B506" i="1"/>
  <c r="H505" i="1"/>
  <c r="E505" i="1"/>
  <c r="C505" i="1"/>
  <c r="D505" i="1" s="1"/>
  <c r="B505" i="1"/>
  <c r="J504" i="1"/>
  <c r="I504" i="1"/>
  <c r="H504" i="1"/>
  <c r="B504" i="1"/>
  <c r="J501" i="1"/>
  <c r="I501" i="1"/>
  <c r="H501" i="1"/>
  <c r="E501" i="1"/>
  <c r="D501" i="1"/>
  <c r="B501" i="1"/>
  <c r="H500" i="1"/>
  <c r="H499" i="1"/>
  <c r="E499" i="1"/>
  <c r="D499" i="1"/>
  <c r="B499" i="1"/>
  <c r="J498" i="1"/>
  <c r="I498" i="1"/>
  <c r="H498" i="1"/>
  <c r="E498" i="1"/>
  <c r="H497" i="1"/>
  <c r="D497" i="1"/>
  <c r="G508" i="1" s="1"/>
  <c r="B497" i="1"/>
  <c r="H496" i="1"/>
  <c r="J495" i="1"/>
  <c r="A511" i="1" s="1"/>
  <c r="H495" i="1"/>
  <c r="E495" i="1"/>
  <c r="A495" i="1"/>
  <c r="J55" i="1"/>
  <c r="I55" i="1"/>
  <c r="H55" i="1"/>
  <c r="E55" i="1"/>
  <c r="C55" i="1"/>
  <c r="D55" i="1" s="1"/>
  <c r="B55" i="1"/>
  <c r="J54" i="1"/>
  <c r="I54" i="1"/>
  <c r="H54" i="1"/>
  <c r="E54" i="1"/>
  <c r="C54" i="1"/>
  <c r="D54" i="1" s="1"/>
  <c r="B54" i="1"/>
  <c r="J53" i="1"/>
  <c r="I53" i="1"/>
  <c r="H53" i="1"/>
  <c r="E53" i="1"/>
  <c r="C53" i="1"/>
  <c r="D53" i="1" s="1"/>
  <c r="B53" i="1"/>
  <c r="J52" i="1"/>
  <c r="I52" i="1"/>
  <c r="H52" i="1"/>
  <c r="E52" i="1"/>
  <c r="C52" i="1"/>
  <c r="D52" i="1" s="1"/>
  <c r="B52" i="1"/>
  <c r="J51" i="1"/>
  <c r="I51" i="1"/>
  <c r="H51" i="1"/>
  <c r="E51" i="1"/>
  <c r="C51" i="1"/>
  <c r="D51" i="1" s="1"/>
  <c r="B51" i="1"/>
  <c r="H50" i="1"/>
  <c r="E50" i="1"/>
  <c r="C50" i="1"/>
  <c r="D50" i="1" s="1"/>
  <c r="B50" i="1"/>
  <c r="H49" i="1"/>
  <c r="E49" i="1"/>
  <c r="C49" i="1"/>
  <c r="D49" i="1" s="1"/>
  <c r="B49" i="1"/>
  <c r="I48" i="1"/>
  <c r="H48" i="1"/>
  <c r="B48" i="1"/>
  <c r="I45" i="1"/>
  <c r="H45" i="1"/>
  <c r="E45" i="1"/>
  <c r="D45" i="1"/>
  <c r="B45" i="1"/>
  <c r="H44" i="1"/>
  <c r="H43" i="1"/>
  <c r="E43" i="1"/>
  <c r="D43" i="1"/>
  <c r="B43" i="1"/>
  <c r="H42" i="1"/>
  <c r="E42" i="1"/>
  <c r="H41" i="1"/>
  <c r="D41" i="1"/>
  <c r="B41" i="1"/>
  <c r="H40" i="1"/>
  <c r="J39" i="1"/>
  <c r="A55" i="1" s="1"/>
  <c r="H39" i="1"/>
  <c r="A39" i="1"/>
  <c r="J112" i="1"/>
  <c r="I112" i="1"/>
  <c r="H112" i="1"/>
  <c r="E112" i="1"/>
  <c r="C112" i="1"/>
  <c r="D112" i="1" s="1"/>
  <c r="B112" i="1"/>
  <c r="J111" i="1"/>
  <c r="I111" i="1"/>
  <c r="H111" i="1"/>
  <c r="E111" i="1"/>
  <c r="C111" i="1"/>
  <c r="D111" i="1" s="1"/>
  <c r="B111" i="1"/>
  <c r="J110" i="1"/>
  <c r="I110" i="1"/>
  <c r="H110" i="1"/>
  <c r="E110" i="1"/>
  <c r="C110" i="1"/>
  <c r="D110" i="1" s="1"/>
  <c r="B110" i="1"/>
  <c r="J109" i="1"/>
  <c r="I109" i="1"/>
  <c r="H109" i="1"/>
  <c r="E109" i="1"/>
  <c r="C109" i="1"/>
  <c r="D109" i="1" s="1"/>
  <c r="B109" i="1"/>
  <c r="J108" i="1"/>
  <c r="I108" i="1"/>
  <c r="H108" i="1"/>
  <c r="E108" i="1"/>
  <c r="C108" i="1"/>
  <c r="D108" i="1" s="1"/>
  <c r="B108" i="1"/>
  <c r="H107" i="1"/>
  <c r="E107" i="1"/>
  <c r="C107" i="1"/>
  <c r="D107" i="1" s="1"/>
  <c r="B107" i="1"/>
  <c r="H106" i="1"/>
  <c r="E106" i="1"/>
  <c r="C106" i="1"/>
  <c r="D106" i="1" s="1"/>
  <c r="B106" i="1"/>
  <c r="I105" i="1"/>
  <c r="H105" i="1"/>
  <c r="B105" i="1"/>
  <c r="I102" i="1"/>
  <c r="H102" i="1"/>
  <c r="E102" i="1"/>
  <c r="D102" i="1"/>
  <c r="B102" i="1"/>
  <c r="H101" i="1"/>
  <c r="H100" i="1"/>
  <c r="E100" i="1"/>
  <c r="D100" i="1"/>
  <c r="B100" i="1"/>
  <c r="J99" i="1"/>
  <c r="I99" i="1"/>
  <c r="H99" i="1"/>
  <c r="E99" i="1"/>
  <c r="H98" i="1"/>
  <c r="D98" i="1"/>
  <c r="B98" i="1"/>
  <c r="H97" i="1"/>
  <c r="J96" i="1"/>
  <c r="A112" i="1" s="1"/>
  <c r="H96" i="1"/>
  <c r="A96" i="1"/>
  <c r="J169" i="1"/>
  <c r="I169" i="1"/>
  <c r="H169" i="1"/>
  <c r="E169" i="1"/>
  <c r="C169" i="1"/>
  <c r="D169" i="1" s="1"/>
  <c r="B169" i="1"/>
  <c r="J168" i="1"/>
  <c r="I168" i="1"/>
  <c r="H168" i="1"/>
  <c r="E168" i="1"/>
  <c r="C168" i="1"/>
  <c r="D168" i="1" s="1"/>
  <c r="B168" i="1"/>
  <c r="J167" i="1"/>
  <c r="I167" i="1"/>
  <c r="H167" i="1"/>
  <c r="E167" i="1"/>
  <c r="C167" i="1"/>
  <c r="D167" i="1" s="1"/>
  <c r="B167" i="1"/>
  <c r="J166" i="1"/>
  <c r="I166" i="1"/>
  <c r="H166" i="1"/>
  <c r="E166" i="1"/>
  <c r="C166" i="1"/>
  <c r="D166" i="1" s="1"/>
  <c r="B166" i="1"/>
  <c r="J165" i="1"/>
  <c r="I165" i="1"/>
  <c r="H165" i="1"/>
  <c r="E165" i="1"/>
  <c r="C165" i="1"/>
  <c r="D165" i="1" s="1"/>
  <c r="B165" i="1"/>
  <c r="H164" i="1"/>
  <c r="E164" i="1"/>
  <c r="C164" i="1"/>
  <c r="D164" i="1" s="1"/>
  <c r="B164" i="1"/>
  <c r="H163" i="1"/>
  <c r="E163" i="1"/>
  <c r="C163" i="1"/>
  <c r="D163" i="1" s="1"/>
  <c r="B163" i="1"/>
  <c r="I162" i="1"/>
  <c r="H162" i="1"/>
  <c r="B162" i="1"/>
  <c r="I159" i="1"/>
  <c r="H159" i="1"/>
  <c r="E159" i="1"/>
  <c r="D159" i="1"/>
  <c r="B159" i="1"/>
  <c r="H158" i="1"/>
  <c r="H157" i="1"/>
  <c r="E157" i="1"/>
  <c r="D157" i="1"/>
  <c r="B157" i="1"/>
  <c r="J156" i="1"/>
  <c r="I156" i="1"/>
  <c r="H156" i="1"/>
  <c r="E156" i="1"/>
  <c r="H155" i="1"/>
  <c r="D155" i="1"/>
  <c r="B155" i="1"/>
  <c r="H154" i="1"/>
  <c r="J153" i="1"/>
  <c r="A169" i="1" s="1"/>
  <c r="H153" i="1"/>
  <c r="A153" i="1"/>
  <c r="J340" i="1"/>
  <c r="I340" i="1"/>
  <c r="H340" i="1"/>
  <c r="E340" i="1"/>
  <c r="C340" i="1"/>
  <c r="D340" i="1" s="1"/>
  <c r="B340" i="1"/>
  <c r="J339" i="1"/>
  <c r="I339" i="1"/>
  <c r="H339" i="1"/>
  <c r="E339" i="1"/>
  <c r="C339" i="1"/>
  <c r="D339" i="1" s="1"/>
  <c r="B339" i="1"/>
  <c r="J338" i="1"/>
  <c r="I338" i="1"/>
  <c r="H338" i="1"/>
  <c r="E338" i="1"/>
  <c r="C338" i="1"/>
  <c r="D338" i="1" s="1"/>
  <c r="B338" i="1"/>
  <c r="J337" i="1"/>
  <c r="I337" i="1"/>
  <c r="H337" i="1"/>
  <c r="E337" i="1"/>
  <c r="C337" i="1"/>
  <c r="D337" i="1" s="1"/>
  <c r="B337" i="1"/>
  <c r="J336" i="1"/>
  <c r="I336" i="1"/>
  <c r="H336" i="1"/>
  <c r="E336" i="1"/>
  <c r="C336" i="1"/>
  <c r="D336" i="1" s="1"/>
  <c r="B336" i="1"/>
  <c r="H335" i="1"/>
  <c r="E335" i="1"/>
  <c r="C335" i="1"/>
  <c r="D335" i="1" s="1"/>
  <c r="B335" i="1"/>
  <c r="H334" i="1"/>
  <c r="E334" i="1"/>
  <c r="C334" i="1"/>
  <c r="D334" i="1" s="1"/>
  <c r="B334" i="1"/>
  <c r="I333" i="1"/>
  <c r="H333" i="1"/>
  <c r="B333" i="1"/>
  <c r="I330" i="1"/>
  <c r="H330" i="1"/>
  <c r="E330" i="1"/>
  <c r="D330" i="1"/>
  <c r="B330" i="1"/>
  <c r="H329" i="1"/>
  <c r="H328" i="1"/>
  <c r="E328" i="1"/>
  <c r="D328" i="1"/>
  <c r="B328" i="1"/>
  <c r="J327" i="1"/>
  <c r="I327" i="1"/>
  <c r="H327" i="1"/>
  <c r="E327" i="1"/>
  <c r="H326" i="1"/>
  <c r="D326" i="1"/>
  <c r="B326" i="1"/>
  <c r="H325" i="1"/>
  <c r="J324" i="1"/>
  <c r="A340" i="1" s="1"/>
  <c r="H324" i="1"/>
  <c r="A324" i="1"/>
  <c r="J397" i="1"/>
  <c r="I397" i="1"/>
  <c r="H397" i="1"/>
  <c r="E397" i="1"/>
  <c r="C397" i="1"/>
  <c r="D397" i="1" s="1"/>
  <c r="B397" i="1"/>
  <c r="J396" i="1"/>
  <c r="I396" i="1"/>
  <c r="H396" i="1"/>
  <c r="E396" i="1"/>
  <c r="C396" i="1"/>
  <c r="D396" i="1" s="1"/>
  <c r="B396" i="1"/>
  <c r="J395" i="1"/>
  <c r="I395" i="1"/>
  <c r="H395" i="1"/>
  <c r="E395" i="1"/>
  <c r="C395" i="1"/>
  <c r="D395" i="1" s="1"/>
  <c r="B395" i="1"/>
  <c r="J394" i="1"/>
  <c r="I394" i="1"/>
  <c r="H394" i="1"/>
  <c r="E394" i="1"/>
  <c r="C394" i="1"/>
  <c r="D394" i="1" s="1"/>
  <c r="B394" i="1"/>
  <c r="J393" i="1"/>
  <c r="I393" i="1"/>
  <c r="H393" i="1"/>
  <c r="E393" i="1"/>
  <c r="C393" i="1"/>
  <c r="D393" i="1" s="1"/>
  <c r="B393" i="1"/>
  <c r="H392" i="1"/>
  <c r="E392" i="1"/>
  <c r="C392" i="1"/>
  <c r="D392" i="1" s="1"/>
  <c r="B392" i="1"/>
  <c r="H391" i="1"/>
  <c r="E391" i="1"/>
  <c r="C391" i="1"/>
  <c r="D391" i="1" s="1"/>
  <c r="B391" i="1"/>
  <c r="I390" i="1"/>
  <c r="H390" i="1"/>
  <c r="B390" i="1"/>
  <c r="I387" i="1"/>
  <c r="H387" i="1"/>
  <c r="E387" i="1"/>
  <c r="D387" i="1"/>
  <c r="B387" i="1"/>
  <c r="H386" i="1"/>
  <c r="H385" i="1"/>
  <c r="E385" i="1"/>
  <c r="D385" i="1"/>
  <c r="B385" i="1"/>
  <c r="I384" i="1"/>
  <c r="H384" i="1"/>
  <c r="E384" i="1"/>
  <c r="H383" i="1"/>
  <c r="D383" i="1"/>
  <c r="B383" i="1"/>
  <c r="H382" i="1"/>
  <c r="J381" i="1"/>
  <c r="A397" i="1" s="1"/>
  <c r="H381" i="1"/>
  <c r="A381" i="1"/>
  <c r="J454" i="1"/>
  <c r="I454" i="1"/>
  <c r="H454" i="1"/>
  <c r="E454" i="1"/>
  <c r="C454" i="1"/>
  <c r="D454" i="1" s="1"/>
  <c r="B454" i="1"/>
  <c r="J453" i="1"/>
  <c r="I453" i="1"/>
  <c r="H453" i="1"/>
  <c r="E453" i="1"/>
  <c r="C453" i="1"/>
  <c r="D453" i="1" s="1"/>
  <c r="B453" i="1"/>
  <c r="J452" i="1"/>
  <c r="I452" i="1"/>
  <c r="H452" i="1"/>
  <c r="E452" i="1"/>
  <c r="C452" i="1"/>
  <c r="D452" i="1" s="1"/>
  <c r="B452" i="1"/>
  <c r="J451" i="1"/>
  <c r="I451" i="1"/>
  <c r="H451" i="1"/>
  <c r="E451" i="1"/>
  <c r="C451" i="1"/>
  <c r="D451" i="1" s="1"/>
  <c r="B451" i="1"/>
  <c r="J450" i="1"/>
  <c r="I450" i="1"/>
  <c r="H450" i="1"/>
  <c r="E450" i="1"/>
  <c r="C450" i="1"/>
  <c r="D450" i="1" s="1"/>
  <c r="B450" i="1"/>
  <c r="H449" i="1"/>
  <c r="E449" i="1"/>
  <c r="C449" i="1"/>
  <c r="D449" i="1" s="1"/>
  <c r="B449" i="1"/>
  <c r="H448" i="1"/>
  <c r="E448" i="1"/>
  <c r="C448" i="1"/>
  <c r="D448" i="1" s="1"/>
  <c r="B448" i="1"/>
  <c r="I447" i="1"/>
  <c r="H447" i="1"/>
  <c r="B447" i="1"/>
  <c r="I444" i="1"/>
  <c r="H444" i="1"/>
  <c r="E444" i="1"/>
  <c r="D444" i="1"/>
  <c r="B444" i="1"/>
  <c r="H443" i="1"/>
  <c r="H442" i="1"/>
  <c r="E442" i="1"/>
  <c r="D442" i="1"/>
  <c r="B442" i="1"/>
  <c r="J441" i="1"/>
  <c r="I441" i="1"/>
  <c r="H441" i="1"/>
  <c r="E441" i="1"/>
  <c r="H440" i="1"/>
  <c r="D440" i="1"/>
  <c r="B440" i="1"/>
  <c r="H439" i="1"/>
  <c r="J438" i="1"/>
  <c r="A454" i="1" s="1"/>
  <c r="H438" i="1"/>
  <c r="A438" i="1"/>
  <c r="G283" i="1" l="1"/>
  <c r="G276" i="1"/>
  <c r="G278" i="1"/>
  <c r="A282" i="1"/>
  <c r="G222" i="1"/>
  <c r="G226" i="1"/>
  <c r="G219" i="1"/>
  <c r="G221" i="1"/>
  <c r="A225" i="1"/>
  <c r="G397" i="1"/>
  <c r="H502" i="1"/>
  <c r="A506" i="1"/>
  <c r="A508" i="1"/>
  <c r="G507" i="1"/>
  <c r="G509" i="1"/>
  <c r="G511" i="1"/>
  <c r="A504" i="1"/>
  <c r="G505" i="1"/>
  <c r="I495" i="1"/>
  <c r="G510" i="1"/>
  <c r="G48" i="1"/>
  <c r="G504" i="1"/>
  <c r="G506" i="1"/>
  <c r="A505" i="1"/>
  <c r="A509" i="1"/>
  <c r="A510" i="1"/>
  <c r="G333" i="1"/>
  <c r="G105" i="1"/>
  <c r="G165" i="1"/>
  <c r="G454" i="1"/>
  <c r="G336" i="1"/>
  <c r="G51" i="1"/>
  <c r="G450" i="1"/>
  <c r="G55" i="1"/>
  <c r="G112" i="1"/>
  <c r="G448" i="1"/>
  <c r="G449" i="1"/>
  <c r="G394" i="1"/>
  <c r="G396" i="1"/>
  <c r="G338" i="1"/>
  <c r="G451" i="1"/>
  <c r="G169" i="1"/>
  <c r="G447" i="1"/>
  <c r="I381" i="1"/>
  <c r="G106" i="1"/>
  <c r="G107" i="1"/>
  <c r="G111" i="1"/>
  <c r="G54" i="1"/>
  <c r="G390" i="1"/>
  <c r="G452" i="1"/>
  <c r="G393" i="1"/>
  <c r="G334" i="1"/>
  <c r="G335" i="1"/>
  <c r="G337" i="1"/>
  <c r="G168" i="1"/>
  <c r="G108" i="1"/>
  <c r="H331" i="1"/>
  <c r="I324" i="1"/>
  <c r="H160" i="1"/>
  <c r="G166" i="1"/>
  <c r="I153" i="1"/>
  <c r="H103" i="1"/>
  <c r="G110" i="1"/>
  <c r="A109" i="1"/>
  <c r="G109" i="1"/>
  <c r="I96" i="1"/>
  <c r="E39" i="1"/>
  <c r="A50" i="1"/>
  <c r="A52" i="1"/>
  <c r="A163" i="1"/>
  <c r="H46" i="1"/>
  <c r="I39" i="1"/>
  <c r="H445" i="1"/>
  <c r="G453" i="1"/>
  <c r="G391" i="1"/>
  <c r="G395" i="1"/>
  <c r="A167" i="1"/>
  <c r="A49" i="1"/>
  <c r="I438" i="1"/>
  <c r="H388" i="1"/>
  <c r="G392" i="1"/>
  <c r="G340" i="1"/>
  <c r="G339" i="1"/>
  <c r="A164" i="1"/>
  <c r="A166" i="1"/>
  <c r="A107" i="1"/>
  <c r="A53" i="1"/>
  <c r="G50" i="1"/>
  <c r="G52" i="1"/>
  <c r="G49" i="1"/>
  <c r="G53" i="1"/>
  <c r="A54" i="1"/>
  <c r="A48" i="1"/>
  <c r="A51" i="1"/>
  <c r="A106" i="1"/>
  <c r="A110" i="1"/>
  <c r="A111" i="1"/>
  <c r="E96" i="1"/>
  <c r="A105" i="1"/>
  <c r="A108" i="1"/>
  <c r="G163" i="1"/>
  <c r="G167" i="1"/>
  <c r="A168" i="1"/>
  <c r="G162" i="1"/>
  <c r="G164" i="1"/>
  <c r="E153" i="1"/>
  <c r="A162" i="1"/>
  <c r="A165" i="1"/>
  <c r="A335" i="1"/>
  <c r="A337" i="1"/>
  <c r="A334" i="1"/>
  <c r="A338" i="1"/>
  <c r="A339" i="1"/>
  <c r="E324" i="1"/>
  <c r="A333" i="1"/>
  <c r="A336" i="1"/>
  <c r="A392" i="1"/>
  <c r="A394" i="1"/>
  <c r="A391" i="1"/>
  <c r="A395" i="1"/>
  <c r="A396" i="1"/>
  <c r="E381" i="1"/>
  <c r="A390" i="1"/>
  <c r="A393" i="1"/>
  <c r="A449" i="1"/>
  <c r="A451" i="1"/>
  <c r="A448" i="1"/>
  <c r="A452" i="1"/>
  <c r="A453" i="1"/>
  <c r="E438" i="1"/>
  <c r="A447" i="1"/>
  <c r="A450" i="1"/>
  <c r="J384" i="1" l="1"/>
  <c r="J42" i="1"/>
  <c r="I42" i="1"/>
  <c r="J45" i="1" l="1"/>
  <c r="J48" i="1"/>
  <c r="J159" i="1"/>
  <c r="J330" i="1"/>
  <c r="J444" i="1"/>
  <c r="J102" i="1"/>
  <c r="J387" i="1" l="1"/>
  <c r="J105" i="1"/>
  <c r="J162" i="1"/>
  <c r="J447" i="1"/>
  <c r="J333" i="1"/>
  <c r="J390" i="1" l="1"/>
</calcChain>
</file>

<file path=xl/sharedStrings.xml><?xml version="1.0" encoding="utf-8"?>
<sst xmlns="http://schemas.openxmlformats.org/spreadsheetml/2006/main" count="927" uniqueCount="161">
  <si>
    <t>検査梱包指示書</t>
  </si>
  <si>
    <t>品目番号</t>
  </si>
  <si>
    <t>J1ZAFJB00102218</t>
  </si>
  <si>
    <t>Ｌ寸</t>
  </si>
  <si>
    <t>名称</t>
  </si>
  <si>
    <t>463301-2200灯具ｶﾊﾞｰPC</t>
  </si>
  <si>
    <t>上長</t>
  </si>
  <si>
    <t>係員</t>
  </si>
  <si>
    <t>製造指図№</t>
  </si>
  <si>
    <t>000000000003336</t>
  </si>
  <si>
    <t>原料名</t>
  </si>
  <si>
    <t>J6VZ041</t>
  </si>
  <si>
    <t>発注明細№</t>
  </si>
  <si>
    <t>000000000754609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</si>
  <si>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</si>
  <si>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</si>
  <si>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</si>
  <si>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</si>
  <si>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</si>
  <si>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</si>
  <si>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</si>
  <si>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</si>
  <si>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</si>
  <si>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</si>
  <si>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</si>
  <si>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*J1ZAFJB00102218*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</si>
  <si>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</si>
  <si>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</si>
  <si>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</si>
  <si>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</si>
  <si>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</si>
  <si>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</si>
  <si>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</si>
  <si>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</si>
  <si>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</si>
  <si>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</si>
  <si>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</si>
  <si>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</si>
  <si>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</si>
  <si>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</si>
  <si>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</si>
  <si>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</si>
  <si>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</si>
  <si>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</si>
  <si>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</si>
  <si>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</si>
  <si>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</si>
  <si>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</si>
  <si>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</si>
  <si>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</si>
  <si>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</si>
  <si>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</si>
  <si>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</si>
  <si>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</si>
  <si>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J6DK0027</t>
  </si>
  <si>
    <t>H型ｼﾞｮｲﾅ-</t>
  </si>
  <si>
    <t>*J6DK0027*</t>
  </si>
  <si>
    <t>J1ZAFJB00205470</t>
  </si>
  <si>
    <t>463301-2140灯具ｶﾊﾞｰPC IN</t>
  </si>
  <si>
    <t>000000000003337</t>
  </si>
  <si>
    <t>000000000754610</t>
  </si>
  <si>
    <t>*J1ZAFJB00205470*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</si>
  <si>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</si>
  <si>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</si>
  <si>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</si>
  <si>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</si>
  <si>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</si>
  <si>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</si>
  <si>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</si>
  <si>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</si>
  <si>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</si>
  <si>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000000000003338</t>
  </si>
  <si>
    <t>000000000754611</t>
  </si>
  <si>
    <t>*J1ZAFJB00208400*</t>
  </si>
  <si>
    <t>J1ZAFJA00208400</t>
  </si>
  <si>
    <t>@463301-2090灯具ｶﾊﾞｰPCIN</t>
  </si>
  <si>
    <t>*J1ZAFJA00208400*</t>
  </si>
  <si>
    <t>J6DW0044</t>
  </si>
  <si>
    <t>灯具-2</t>
  </si>
  <si>
    <t>*J6DW0044*</t>
  </si>
  <si>
    <t>J1ZAFJB00209080</t>
  </si>
  <si>
    <t>463301-2130灯具ｶﾊﾞｰPC IN</t>
  </si>
  <si>
    <t>000000000003339</t>
  </si>
  <si>
    <t>000000000754612</t>
  </si>
  <si>
    <t>*J1ZAFJB00209080*</t>
  </si>
  <si>
    <t>J1ZAFJA00209080</t>
  </si>
  <si>
    <t>@463301-2130灯具ｶﾊﾞｰPCIN</t>
  </si>
  <si>
    <t>*J1ZAFJA00209080*</t>
  </si>
  <si>
    <t>J1ZAFJB00211835</t>
  </si>
  <si>
    <t>463301-2050灯具ｶﾊﾞｰPC IN</t>
  </si>
  <si>
    <t>000000000003340</t>
  </si>
  <si>
    <t>000000000754613</t>
  </si>
  <si>
    <t>*J1ZAFJB00211835*</t>
  </si>
  <si>
    <t>J1ZAFJA00211835</t>
  </si>
  <si>
    <t>@463301-2050灯具ｶﾊﾞｰPCIN</t>
  </si>
  <si>
    <t>*J1ZAFJA00211835*</t>
  </si>
  <si>
    <t>J1ZAFJB00215400</t>
  </si>
  <si>
    <t>463301-2080灯具ｶﾊﾞｰPC IN</t>
  </si>
  <si>
    <t>000000000003341</t>
  </si>
  <si>
    <t>000000000754614</t>
  </si>
  <si>
    <t>*J1ZAFJB00215400*</t>
  </si>
  <si>
    <t>J1ZAFJA00215400</t>
  </si>
  <si>
    <t>@463301-2080灯具ｶﾊﾞｰPCIN</t>
  </si>
  <si>
    <t>*J1ZAFJA00215400*</t>
  </si>
  <si>
    <t>J1ZAFJB00218150</t>
  </si>
  <si>
    <t>463301-2110灯具ｶﾊﾞｰPC IN</t>
  </si>
  <si>
    <t>000000000754615</t>
  </si>
  <si>
    <t>*J1ZAFJB00218150*</t>
  </si>
  <si>
    <t>J1ZAFJA00218150</t>
  </si>
  <si>
    <t>@463301-2110灯具ｶﾊﾞｰPCIN</t>
  </si>
  <si>
    <t>*J1ZAFJA00218150*</t>
  </si>
  <si>
    <t>J1ZAFJB00219660</t>
  </si>
  <si>
    <t>463301-2070灯具ｶﾊﾞｰPC IN</t>
  </si>
  <si>
    <t>000000000003343</t>
  </si>
  <si>
    <t>000000000754616</t>
  </si>
  <si>
    <t>*J1ZAFJB00219660*</t>
  </si>
  <si>
    <t>J1ZAFJA00219660</t>
  </si>
  <si>
    <t>@463301-2070灯具ｶﾊﾞｰPCIN</t>
  </si>
  <si>
    <t>*J1ZAFJA00219660*</t>
  </si>
  <si>
    <t>製品名</t>
    <rPh sb="0" eb="3">
      <t>セイヒンメイ</t>
    </rPh>
    <phoneticPr fontId="2"/>
  </si>
  <si>
    <t>梱包箱</t>
    <rPh sb="0" eb="3">
      <t>コンポウバコ</t>
    </rPh>
    <phoneticPr fontId="2"/>
  </si>
  <si>
    <t>A.不良内訳</t>
    <rPh sb="2" eb="4">
      <t>フリョウ</t>
    </rPh>
    <rPh sb="4" eb="6">
      <t>ウチワケ</t>
    </rPh>
    <phoneticPr fontId="2"/>
  </si>
  <si>
    <t>入庫日</t>
    <rPh sb="0" eb="2">
      <t>ニュウコ</t>
    </rPh>
    <rPh sb="2" eb="3">
      <t>ビ</t>
    </rPh>
    <phoneticPr fontId="2"/>
  </si>
  <si>
    <t>入庫数</t>
    <rPh sb="0" eb="3">
      <t>ニュウコスウ</t>
    </rPh>
    <phoneticPr fontId="2"/>
  </si>
  <si>
    <t>キズ</t>
    <phoneticPr fontId="2"/>
  </si>
  <si>
    <t>端材使用　　　　　　　　 　有 ・ 無</t>
    <rPh sb="0" eb="2">
      <t>ハザイ</t>
    </rPh>
    <rPh sb="2" eb="4">
      <t>シヨウ</t>
    </rPh>
    <rPh sb="14" eb="15">
      <t>アリ</t>
    </rPh>
    <rPh sb="18" eb="19">
      <t>ナシ</t>
    </rPh>
    <phoneticPr fontId="2"/>
  </si>
  <si>
    <t>凹み</t>
    <rPh sb="0" eb="1">
      <t>ヘコ</t>
    </rPh>
    <phoneticPr fontId="2"/>
  </si>
  <si>
    <t>温度換算</t>
    <rPh sb="0" eb="4">
      <t>オンドカンサン</t>
    </rPh>
    <phoneticPr fontId="2"/>
  </si>
  <si>
    <t>取数</t>
    <rPh sb="0" eb="1">
      <t>ト</t>
    </rPh>
    <rPh sb="1" eb="2">
      <t>スウ</t>
    </rPh>
    <phoneticPr fontId="2"/>
  </si>
  <si>
    <t>備考</t>
    <rPh sb="0" eb="2">
      <t>ビコウ</t>
    </rPh>
    <phoneticPr fontId="2"/>
  </si>
  <si>
    <t>異物</t>
    <rPh sb="0" eb="2">
      <t>イブツ</t>
    </rPh>
    <phoneticPr fontId="2"/>
  </si>
  <si>
    <t>切断者</t>
    <rPh sb="0" eb="2">
      <t>セツダン</t>
    </rPh>
    <rPh sb="2" eb="3">
      <t>シャ</t>
    </rPh>
    <phoneticPr fontId="2"/>
  </si>
  <si>
    <t>検査者</t>
    <rPh sb="0" eb="2">
      <t>ケンサ</t>
    </rPh>
    <rPh sb="2" eb="3">
      <t>シャ</t>
    </rPh>
    <phoneticPr fontId="2"/>
  </si>
  <si>
    <t>欠け</t>
    <rPh sb="0" eb="1">
      <t>カ</t>
    </rPh>
    <phoneticPr fontId="2"/>
  </si>
  <si>
    <t>L寸</t>
    <rPh sb="1" eb="2">
      <t>スン</t>
    </rPh>
    <phoneticPr fontId="2"/>
  </si>
  <si>
    <t>+公差</t>
    <phoneticPr fontId="2"/>
  </si>
  <si>
    <t>メヤニ</t>
    <phoneticPr fontId="2"/>
  </si>
  <si>
    <t>梱包方法</t>
    <rPh sb="0" eb="2">
      <t>コンポウ</t>
    </rPh>
    <rPh sb="2" eb="4">
      <t>ホウホウ</t>
    </rPh>
    <phoneticPr fontId="2"/>
  </si>
  <si>
    <t>ベコツキ</t>
    <phoneticPr fontId="2"/>
  </si>
  <si>
    <t>E.製品不良数</t>
    <rPh sb="2" eb="4">
      <t>セイヒン</t>
    </rPh>
    <rPh sb="4" eb="7">
      <t>フリョウスウ</t>
    </rPh>
    <phoneticPr fontId="2"/>
  </si>
  <si>
    <t>F,基材不良</t>
    <rPh sb="2" eb="4">
      <t>キザイ</t>
    </rPh>
    <rPh sb="4" eb="6">
      <t>フリョウ</t>
    </rPh>
    <phoneticPr fontId="2"/>
  </si>
  <si>
    <t>切断寸法</t>
    <rPh sb="0" eb="2">
      <t>セツダン</t>
    </rPh>
    <rPh sb="2" eb="4">
      <t>スンポウ</t>
    </rPh>
    <phoneticPr fontId="2"/>
  </si>
  <si>
    <t>-公差</t>
    <rPh sb="1" eb="3">
      <t>コウサ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</si>
  <si>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</si>
  <si>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</si>
  <si>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作業日</t>
    <rPh sb="0" eb="3">
      <t>サギョウビ</t>
    </rPh>
    <phoneticPr fontId="2"/>
  </si>
  <si>
    <t>基材Lot</t>
    <rPh sb="0" eb="2">
      <t>キザイ</t>
    </rPh>
    <phoneticPr fontId="2"/>
  </si>
  <si>
    <t>温度</t>
    <rPh sb="0" eb="2">
      <t>オンド</t>
    </rPh>
    <phoneticPr fontId="2"/>
  </si>
  <si>
    <t>換算寸法</t>
    <rPh sb="0" eb="2">
      <t>カンサン</t>
    </rPh>
    <rPh sb="2" eb="4">
      <t>スンポウ</t>
    </rPh>
    <phoneticPr fontId="2"/>
  </si>
  <si>
    <t>計測値</t>
    <rPh sb="0" eb="3">
      <t>ケイソクチ</t>
    </rPh>
    <phoneticPr fontId="2"/>
  </si>
  <si>
    <t>備考、箱番号等</t>
    <phoneticPr fontId="2"/>
  </si>
  <si>
    <t>B.加工数</t>
    <rPh sb="2" eb="5">
      <t>カコウスウ</t>
    </rPh>
    <phoneticPr fontId="2"/>
  </si>
  <si>
    <t>C.基材換算</t>
    <rPh sb="2" eb="4">
      <t>キザイ</t>
    </rPh>
    <rPh sb="4" eb="6">
      <t>カンサン</t>
    </rPh>
    <phoneticPr fontId="2"/>
  </si>
  <si>
    <t>D,端材使用</t>
    <rPh sb="2" eb="4">
      <t>ハザイ</t>
    </rPh>
    <rPh sb="4" eb="6">
      <t>シヨウ</t>
    </rPh>
    <phoneticPr fontId="2"/>
  </si>
  <si>
    <t>使用基材数</t>
    <rPh sb="0" eb="2">
      <t>シヨウ</t>
    </rPh>
    <rPh sb="2" eb="5">
      <t>キザイスウ</t>
    </rPh>
    <phoneticPr fontId="2"/>
  </si>
  <si>
    <t>※前回加工による端数品</t>
    <phoneticPr fontId="2"/>
  </si>
  <si>
    <t>加工Lot</t>
    <rPh sb="0" eb="2">
      <t>カコウ</t>
    </rPh>
    <phoneticPr fontId="2"/>
  </si>
  <si>
    <t>箱数</t>
    <rPh sb="0" eb="2">
      <t>ハコスウ</t>
    </rPh>
    <phoneticPr fontId="2"/>
  </si>
  <si>
    <t>端材使用　　　　　　　　 　有</t>
    <rPh sb="0" eb="2">
      <t>ハザイ</t>
    </rPh>
    <rPh sb="2" eb="4">
      <t>シヨウ</t>
    </rPh>
    <rPh sb="14" eb="15">
      <t>アリ</t>
    </rPh>
    <phoneticPr fontId="2"/>
  </si>
  <si>
    <t>000000000003342-1</t>
    <phoneticPr fontId="2"/>
  </si>
  <si>
    <t>000000000003342-2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</si>
</sst>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F800]dddd\,\ mmmm\ dd\,\ yyyy"/>
    <numFmt numFmtId="177" formatCode="#,##0.0_ "/>
    <numFmt numFmtId="178" formatCode="#,##0_ "/>
    <numFmt numFmtId="179" formatCode="#"/>
    <numFmt numFmtId="180" formatCode="m/d"/>
    <numFmt numFmtId="181" formatCode="&quot;L=&quot;0.0_ "/>
    <numFmt numFmtId="182" formatCode="0.00_ "/>
    <numFmt numFmtId="183" formatCode="yy\,mm\,dd"/>
    <numFmt numFmtId="184" formatCode="#&quot;箱&quot;"/>
  </numFmts>
  <fonts count="35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0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3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5" fillId="3" borderId="11" xfId="1" applyNumberFormat="1" applyFont="1" applyFill="1" applyBorder="1" applyAlignment="1">
      <alignment horizontal="left" vertical="center" shrinkToFit="1"/>
    </xf>
    <xf numFmtId="0" fontId="14" fillId="3" borderId="18" xfId="0" applyFont="1" applyFill="1" applyBorder="1">
      <alignment vertical="center"/>
    </xf>
    <xf numFmtId="49" fontId="16" fillId="4" borderId="3" xfId="1" applyNumberFormat="1" applyFont="1" applyFill="1" applyBorder="1" applyAlignment="1">
      <alignment horizontal="center" vertical="center" shrinkToFit="1"/>
    </xf>
    <xf numFmtId="49" fontId="16" fillId="4" borderId="2" xfId="1" applyNumberFormat="1" applyFont="1" applyFill="1" applyBorder="1" applyAlignment="1">
      <alignment horizontal="center" vertical="center" shrinkToFit="1"/>
    </xf>
    <xf numFmtId="49" fontId="16" fillId="0" borderId="2" xfId="1" applyNumberFormat="1" applyFont="1" applyBorder="1" applyAlignment="1">
      <alignment horizontal="center" vertical="center" shrinkToFit="1"/>
    </xf>
    <xf numFmtId="179" fontId="16" fillId="0" borderId="2" xfId="1" applyNumberFormat="1" applyFont="1" applyBorder="1" applyAlignment="1">
      <alignment horizontal="center" vertical="center" shrinkToFit="1"/>
    </xf>
    <xf numFmtId="49" fontId="21" fillId="0" borderId="0" xfId="1" applyNumberFormat="1" applyFont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49" fontId="27" fillId="4" borderId="2" xfId="1" applyNumberFormat="1" applyFont="1" applyFill="1" applyBorder="1" applyAlignment="1">
      <alignment horizontal="center" vertical="center" shrinkToFit="1"/>
    </xf>
    <xf numFmtId="49" fontId="4" fillId="0" borderId="3" xfId="1" applyNumberFormat="1" applyFont="1" applyBorder="1" applyAlignment="1">
      <alignment horizontal="center" vertical="center" shrinkToFit="1"/>
    </xf>
    <xf numFmtId="179" fontId="6" fillId="0" borderId="3" xfId="1" applyNumberFormat="1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49" fontId="20" fillId="0" borderId="22" xfId="1" applyNumberFormat="1" applyFont="1" applyBorder="1" applyAlignment="1">
      <alignment vertical="center" shrinkToFit="1"/>
    </xf>
    <xf numFmtId="49" fontId="20" fillId="0" borderId="22" xfId="1" applyNumberFormat="1" applyFont="1" applyBorder="1" applyAlignment="1">
      <alignment horizontal="center" vertical="center" shrinkToFit="1"/>
    </xf>
    <xf numFmtId="49" fontId="20" fillId="0" borderId="22" xfId="0" applyNumberFormat="1" applyFont="1" applyBorder="1" applyAlignment="1">
      <alignment horizontal="center" vertical="center" shrinkToFit="1"/>
    </xf>
    <xf numFmtId="0" fontId="29" fillId="0" borderId="22" xfId="0" applyFont="1" applyBorder="1">
      <alignment vertical="center"/>
    </xf>
    <xf numFmtId="49" fontId="20" fillId="0" borderId="23" xfId="0" applyNumberFormat="1" applyFont="1" applyBorder="1" applyAlignment="1">
      <alignment horizontal="center" vertical="center" shrinkToFit="1"/>
    </xf>
    <xf numFmtId="49" fontId="27" fillId="4" borderId="18" xfId="1" applyNumberFormat="1" applyFont="1" applyFill="1" applyBorder="1" applyAlignment="1">
      <alignment horizontal="center" vertical="center" shrinkToFit="1"/>
    </xf>
    <xf numFmtId="0" fontId="30" fillId="0" borderId="0" xfId="0" applyFont="1">
      <alignment vertical="center"/>
    </xf>
    <xf numFmtId="49" fontId="20" fillId="0" borderId="0" xfId="0" applyNumberFormat="1" applyFont="1" applyAlignment="1">
      <alignment vertical="top" shrinkToFit="1"/>
    </xf>
    <xf numFmtId="180" fontId="31" fillId="4" borderId="24" xfId="0" applyNumberFormat="1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2" fillId="4" borderId="25" xfId="0" applyFont="1" applyFill="1" applyBorder="1">
      <alignment vertical="center"/>
    </xf>
    <xf numFmtId="0" fontId="29" fillId="4" borderId="2" xfId="0" applyFont="1" applyFill="1" applyBorder="1">
      <alignment vertical="center"/>
    </xf>
    <xf numFmtId="0" fontId="16" fillId="4" borderId="2" xfId="0" applyFont="1" applyFill="1" applyBorder="1" applyAlignment="1">
      <alignment horizontal="center" vertical="top" shrinkToFit="1"/>
    </xf>
    <xf numFmtId="0" fontId="31" fillId="4" borderId="26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49" fontId="16" fillId="0" borderId="0" xfId="0" applyNumberFormat="1" applyFont="1" applyAlignment="1">
      <alignment vertical="top" shrinkToFit="1"/>
    </xf>
    <xf numFmtId="49" fontId="27" fillId="0" borderId="0" xfId="0" applyNumberFormat="1" applyFont="1" applyAlignment="1">
      <alignment vertical="top" shrinkToFit="1"/>
    </xf>
    <xf numFmtId="180" fontId="31" fillId="0" borderId="24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82" fontId="34" fillId="5" borderId="2" xfId="0" applyNumberFormat="1" applyFont="1" applyFill="1" applyBorder="1" applyAlignment="1">
      <alignment horizontal="center" vertical="center"/>
    </xf>
    <xf numFmtId="182" fontId="29" fillId="0" borderId="2" xfId="0" applyNumberFormat="1" applyFont="1" applyBorder="1" applyAlignment="1">
      <alignment horizontal="center" vertical="center"/>
    </xf>
    <xf numFmtId="0" fontId="31" fillId="0" borderId="2" xfId="0" applyFont="1" applyBorder="1">
      <alignment vertical="center"/>
    </xf>
    <xf numFmtId="0" fontId="16" fillId="0" borderId="2" xfId="0" applyFont="1" applyBorder="1" applyAlignment="1">
      <alignment horizontal="center" vertical="top" shrinkToFit="1"/>
    </xf>
    <xf numFmtId="0" fontId="31" fillId="5" borderId="26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183" fontId="31" fillId="0" borderId="21" xfId="0" applyNumberFormat="1" applyFont="1" applyBorder="1" applyAlignment="1">
      <alignment horizontal="center" vertical="center"/>
    </xf>
    <xf numFmtId="184" fontId="31" fillId="0" borderId="23" xfId="0" applyNumberFormat="1" applyFont="1" applyBorder="1" applyAlignment="1">
      <alignment horizontal="center" vertical="center"/>
    </xf>
    <xf numFmtId="183" fontId="31" fillId="0" borderId="24" xfId="0" applyNumberFormat="1" applyFont="1" applyBorder="1" applyAlignment="1">
      <alignment horizontal="center" vertical="center"/>
    </xf>
    <xf numFmtId="184" fontId="31" fillId="0" borderId="26" xfId="0" applyNumberFormat="1" applyFont="1" applyBorder="1" applyAlignment="1">
      <alignment horizontal="center" vertical="center"/>
    </xf>
    <xf numFmtId="180" fontId="31" fillId="0" borderId="28" xfId="0" applyNumberFormat="1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182" fontId="34" fillId="5" borderId="29" xfId="0" applyNumberFormat="1" applyFont="1" applyFill="1" applyBorder="1" applyAlignment="1">
      <alignment horizontal="center" vertical="center"/>
    </xf>
    <xf numFmtId="182" fontId="29" fillId="0" borderId="29" xfId="0" applyNumberFormat="1" applyFont="1" applyBorder="1" applyAlignment="1">
      <alignment horizontal="center" vertical="center"/>
    </xf>
    <xf numFmtId="0" fontId="31" fillId="0" borderId="29" xfId="0" applyFont="1" applyBorder="1">
      <alignment vertical="center"/>
    </xf>
    <xf numFmtId="0" fontId="16" fillId="0" borderId="29" xfId="0" applyFont="1" applyBorder="1" applyAlignment="1">
      <alignment horizontal="center" vertical="top" shrinkToFit="1"/>
    </xf>
    <xf numFmtId="0" fontId="31" fillId="5" borderId="30" xfId="0" applyFont="1" applyFill="1" applyBorder="1" applyAlignment="1">
      <alignment horizontal="center" vertical="center"/>
    </xf>
    <xf numFmtId="183" fontId="31" fillId="0" borderId="28" xfId="0" applyNumberFormat="1" applyFont="1" applyBorder="1" applyAlignment="1">
      <alignment horizontal="center" vertical="center"/>
    </xf>
    <xf numFmtId="184" fontId="31" fillId="0" borderId="30" xfId="0" applyNumberFormat="1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82" fontId="22" fillId="0" borderId="3" xfId="0" applyNumberFormat="1" applyFont="1" applyBorder="1" applyAlignment="1">
      <alignment horizontal="center" vertical="center"/>
    </xf>
    <xf numFmtId="182" fontId="22" fillId="0" borderId="5" xfId="0" applyNumberFormat="1" applyFont="1" applyBorder="1" applyAlignment="1">
      <alignment horizontal="center" vertical="center"/>
    </xf>
    <xf numFmtId="49" fontId="26" fillId="2" borderId="19" xfId="1" applyNumberFormat="1" applyFont="1" applyFill="1" applyBorder="1" applyAlignment="1">
      <alignment horizontal="center" vertical="center" shrinkToFit="1"/>
    </xf>
    <xf numFmtId="49" fontId="26" fillId="2" borderId="20" xfId="1" applyNumberFormat="1" applyFont="1" applyFill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79" fontId="28" fillId="0" borderId="2" xfId="0" applyNumberFormat="1" applyFont="1" applyBorder="1" applyAlignment="1">
      <alignment horizontal="left" vertical="center"/>
    </xf>
    <xf numFmtId="179" fontId="19" fillId="0" borderId="2" xfId="1" applyNumberFormat="1" applyFont="1" applyBorder="1" applyAlignment="1">
      <alignment horizontal="center" vertical="center" shrinkToFit="1"/>
    </xf>
    <xf numFmtId="49" fontId="4" fillId="0" borderId="3" xfId="1" applyNumberFormat="1" applyFont="1" applyBorder="1" applyAlignment="1">
      <alignment horizontal="left" vertical="center" shrinkToFit="1"/>
    </xf>
    <xf numFmtId="179" fontId="19" fillId="0" borderId="18" xfId="1" applyNumberFormat="1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49" fontId="14" fillId="2" borderId="19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3" fillId="0" borderId="15" xfId="1" applyFont="1" applyBorder="1" applyAlignment="1">
      <alignment horizontal="center" vertical="center" shrinkToFit="1"/>
    </xf>
    <xf numFmtId="0" fontId="23" fillId="0" borderId="12" xfId="1" applyFont="1" applyBorder="1" applyAlignment="1">
      <alignment horizontal="center" vertical="center" shrinkToFit="1"/>
    </xf>
    <xf numFmtId="0" fontId="14" fillId="3" borderId="2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shrinkToFit="1"/>
    </xf>
    <xf numFmtId="0" fontId="25" fillId="0" borderId="3" xfId="1" applyFont="1" applyBorder="1" applyAlignment="1">
      <alignment horizontal="center" vertical="center" shrinkToFit="1"/>
    </xf>
    <xf numFmtId="0" fontId="25" fillId="0" borderId="6" xfId="1" applyFont="1" applyBorder="1" applyAlignment="1">
      <alignment horizontal="center" vertical="center" shrinkToFit="1"/>
    </xf>
    <xf numFmtId="49" fontId="14" fillId="2" borderId="2" xfId="1" applyNumberFormat="1" applyFont="1" applyFill="1" applyBorder="1" applyAlignment="1">
      <alignment horizontal="center" vertical="center" shrinkToFit="1"/>
    </xf>
    <xf numFmtId="181" fontId="22" fillId="0" borderId="3" xfId="0" applyNumberFormat="1" applyFont="1" applyBorder="1" applyAlignment="1">
      <alignment horizontal="center" vertical="center"/>
    </xf>
    <xf numFmtId="181" fontId="22" fillId="0" borderId="6" xfId="0" applyNumberFormat="1" applyFont="1" applyBorder="1" applyAlignment="1">
      <alignment horizontal="center" vertical="center"/>
    </xf>
    <xf numFmtId="49" fontId="26" fillId="2" borderId="19" xfId="0" applyNumberFormat="1" applyFont="1" applyFill="1" applyBorder="1" applyAlignment="1">
      <alignment horizontal="center" vertical="center"/>
    </xf>
    <xf numFmtId="49" fontId="26" fillId="2" borderId="16" xfId="0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49" fontId="16" fillId="4" borderId="17" xfId="1" applyNumberFormat="1" applyFont="1" applyFill="1" applyBorder="1" applyAlignment="1">
      <alignment horizontal="center" vertical="center" shrinkToFit="1"/>
    </xf>
    <xf numFmtId="49" fontId="16" fillId="4" borderId="18" xfId="1" applyNumberFormat="1" applyFont="1" applyFill="1" applyBorder="1" applyAlignment="1">
      <alignment horizontal="center" vertical="center" shrinkToFit="1"/>
    </xf>
    <xf numFmtId="49" fontId="17" fillId="0" borderId="19" xfId="1" applyNumberFormat="1" applyFont="1" applyBorder="1" applyAlignment="1">
      <alignment horizontal="center" vertical="center" shrinkToFit="1"/>
    </xf>
    <xf numFmtId="49" fontId="17" fillId="0" borderId="14" xfId="1" applyNumberFormat="1" applyFont="1" applyBorder="1" applyAlignment="1">
      <alignment horizontal="center" vertical="center" shrinkToFit="1"/>
    </xf>
    <xf numFmtId="49" fontId="17" fillId="0" borderId="16" xfId="1" applyNumberFormat="1" applyFont="1" applyBorder="1" applyAlignment="1">
      <alignment horizontal="center" vertical="center" shrinkToFit="1"/>
    </xf>
    <xf numFmtId="49" fontId="17" fillId="0" borderId="10" xfId="1" applyNumberFormat="1" applyFont="1" applyBorder="1" applyAlignment="1">
      <alignment horizontal="center" vertical="center" shrinkToFit="1"/>
    </xf>
    <xf numFmtId="179" fontId="18" fillId="0" borderId="11" xfId="0" applyNumberFormat="1" applyFont="1" applyBorder="1" applyAlignment="1">
      <alignment horizontal="left" vertical="center" shrinkToFit="1"/>
    </xf>
    <xf numFmtId="179" fontId="18" fillId="0" borderId="18" xfId="0" applyNumberFormat="1" applyFont="1" applyBorder="1" applyAlignment="1">
      <alignment horizontal="left" vertical="center" shrinkToFit="1"/>
    </xf>
    <xf numFmtId="180" fontId="19" fillId="0" borderId="3" xfId="1" applyNumberFormat="1" applyFont="1" applyBorder="1" applyAlignment="1">
      <alignment horizontal="center" vertical="center" shrinkToFit="1"/>
    </xf>
    <xf numFmtId="180" fontId="19" fillId="0" borderId="6" xfId="1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left" vertical="center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2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6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3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9" fontId="26" fillId="0" borderId="11" xfId="0" applyNumberFormat="1" applyFont="1" applyBorder="1" applyAlignment="1">
      <alignment horizontal="left" vertical="center" shrinkToFit="1"/>
    </xf>
    <xf numFmtId="179" fontId="26" fillId="0" borderId="18" xfId="0" applyNumberFormat="1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28"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color theme="0" tint="-4.9989318521683403E-2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NVBF2505.xlsm" TargetMode="External"/><Relationship Id="rId1" Type="http://schemas.openxmlformats.org/officeDocument/2006/relationships/externalLinkPath" Target="/Users/&#40658;&#37096;&#24037;&#26989;&#65293;&#65328;&#65315;/Desktop/NVBF2505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NVBF2506.xlsm" TargetMode="External"/><Relationship Id="rId1" Type="http://schemas.openxmlformats.org/officeDocument/2006/relationships/externalLinkPath" Target="/Users/&#40658;&#37096;&#24037;&#26989;&#65293;&#65328;&#65315;/Desktop/NVBF25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  <sheetName val="NVBF2505"/>
    </sheetNames>
    <sheetDataSet>
      <sheetData sheetId="0"/>
      <sheetData sheetId="1"/>
      <sheetData sheetId="2">
        <row r="1">
          <cell r="B1"/>
          <cell r="C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</row>
        <row r="2">
          <cell r="B2" t="str">
            <v>No</v>
          </cell>
          <cell r="C2" t="str">
            <v>品名</v>
          </cell>
          <cell r="P2" t="str">
            <v>温度２</v>
          </cell>
          <cell r="Q2" t="str">
            <v>温度３</v>
          </cell>
          <cell r="R2" t="str">
            <v>温度４</v>
          </cell>
          <cell r="S2" t="str">
            <v>温度５</v>
          </cell>
          <cell r="T2" t="str">
            <v>温度６</v>
          </cell>
          <cell r="U2" t="str">
            <v>温度７</v>
          </cell>
          <cell r="V2" t="str">
            <v>温度８</v>
          </cell>
          <cell r="W2" t="str">
            <v>寸法２</v>
          </cell>
          <cell r="X2" t="str">
            <v>寸法３</v>
          </cell>
          <cell r="Y2" t="str">
            <v>寸法４</v>
          </cell>
          <cell r="Z2" t="str">
            <v>寸法５</v>
          </cell>
          <cell r="AA2" t="str">
            <v>寸法６</v>
          </cell>
          <cell r="AB2" t="str">
            <v>寸法７</v>
          </cell>
          <cell r="AC2" t="str">
            <v>寸法８</v>
          </cell>
          <cell r="AD2" t="str">
            <v>加工数</v>
          </cell>
          <cell r="AE2" t="str">
            <v>基材
不良</v>
          </cell>
          <cell r="AF2" t="str">
            <v>製品
不良</v>
          </cell>
          <cell r="AG2" t="str">
            <v>基材
使用</v>
          </cell>
          <cell r="AH2" t="str">
            <v>ｷｽﾞ</v>
          </cell>
          <cell r="AI2" t="str">
            <v>凹み</v>
          </cell>
          <cell r="AJ2" t="str">
            <v>異物</v>
          </cell>
          <cell r="AK2" t="str">
            <v>ﾒﾔﾆ</v>
          </cell>
          <cell r="AL2" t="str">
            <v>欠け</v>
          </cell>
          <cell r="AM2" t="str">
            <v>ベコツキ</v>
          </cell>
          <cell r="AN2" t="str">
            <v>その他</v>
          </cell>
          <cell r="AO2" t="str">
            <v>端材</v>
          </cell>
          <cell r="AQ2" t="str">
            <v>加工日内訳</v>
          </cell>
          <cell r="AR2"/>
          <cell r="AS2"/>
          <cell r="AT2"/>
          <cell r="AU2"/>
          <cell r="AV2"/>
          <cell r="AW2"/>
          <cell r="AX2"/>
          <cell r="AY2"/>
          <cell r="AZ2"/>
          <cell r="BB2" t="str">
            <v>加工日1</v>
          </cell>
          <cell r="BC2" t="str">
            <v>加工日2</v>
          </cell>
          <cell r="BD2" t="str">
            <v>加工日3</v>
          </cell>
          <cell r="BE2" t="str">
            <v>加工日4</v>
          </cell>
          <cell r="BF2" t="str">
            <v>加工日5</v>
          </cell>
          <cell r="BG2" t="str">
            <v>加工日6</v>
          </cell>
          <cell r="BH2" t="str">
            <v>加工日7</v>
          </cell>
          <cell r="BI2" t="str">
            <v>加工日8</v>
          </cell>
          <cell r="BJ2" t="str">
            <v>Lot1</v>
          </cell>
          <cell r="BK2" t="str">
            <v>Lot2</v>
          </cell>
          <cell r="BL2" t="str">
            <v>Lot3</v>
          </cell>
          <cell r="BM2" t="str">
            <v>Lot4</v>
          </cell>
          <cell r="BN2" t="str">
            <v>Lot5</v>
          </cell>
          <cell r="BO2" t="str">
            <v>Lot6</v>
          </cell>
          <cell r="BP2" t="str">
            <v>Lot7</v>
          </cell>
          <cell r="BQ2" t="str">
            <v>Lot8</v>
          </cell>
          <cell r="BR2" t="str">
            <v>使1</v>
          </cell>
          <cell r="BS2" t="str">
            <v>使2</v>
          </cell>
          <cell r="BT2" t="str">
            <v>使3</v>
          </cell>
          <cell r="BU2" t="str">
            <v>使4</v>
          </cell>
          <cell r="BV2" t="str">
            <v>使5</v>
          </cell>
          <cell r="BW2" t="str">
            <v>使6</v>
          </cell>
          <cell r="BX2" t="str">
            <v>使7</v>
          </cell>
          <cell r="BY2" t="str">
            <v>使8</v>
          </cell>
          <cell r="CA2" t="str">
            <v>切断者</v>
          </cell>
          <cell r="CB2" t="str">
            <v>検査者</v>
          </cell>
        </row>
        <row r="3">
          <cell r="B3" t="str">
            <v>00746496</v>
          </cell>
          <cell r="C3" t="str">
            <v>8FL281304 4810　L=297</v>
          </cell>
          <cell r="P3">
            <v>20</v>
          </cell>
          <cell r="Q3">
            <v>20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>
            <v>296.97000000000003</v>
          </cell>
          <cell r="X3">
            <v>297</v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>
            <v>300</v>
          </cell>
          <cell r="AE3">
            <v>1</v>
          </cell>
          <cell r="AF3">
            <v>3</v>
          </cell>
          <cell r="AG3">
            <v>42</v>
          </cell>
          <cell r="AH3">
            <v>3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54</v>
          </cell>
          <cell r="AQ3" t="str">
            <v/>
          </cell>
          <cell r="AR3" t="str">
            <v/>
          </cell>
          <cell r="AS3">
            <v>45779</v>
          </cell>
          <cell r="AT3">
            <v>2</v>
          </cell>
          <cell r="AU3">
            <v>45784</v>
          </cell>
          <cell r="AV3">
            <v>1</v>
          </cell>
          <cell r="AW3" t="str">
            <v/>
          </cell>
          <cell r="AX3" t="str">
            <v/>
          </cell>
          <cell r="AY3" t="str">
            <v/>
          </cell>
          <cell r="AZ3" t="str">
            <v/>
          </cell>
          <cell r="BB3" t="str">
            <v/>
          </cell>
          <cell r="BC3">
            <v>45779</v>
          </cell>
          <cell r="BD3">
            <v>45779</v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>25D08-09</v>
          </cell>
          <cell r="BL3" t="str">
            <v>25D08-09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 t="str">
            <v/>
          </cell>
          <cell r="BS3">
            <v>42</v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CA3" t="str">
            <v>富田・水野</v>
          </cell>
          <cell r="CB3" t="str">
            <v>高森・上野</v>
          </cell>
          <cell r="CD3" t="str">
            <v>000000000002564</v>
          </cell>
        </row>
        <row r="4">
          <cell r="B4"/>
          <cell r="C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CA4"/>
          <cell r="CB4"/>
        </row>
        <row r="5">
          <cell r="B5"/>
          <cell r="C5">
            <v>300</v>
          </cell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CA5"/>
          <cell r="CB5"/>
        </row>
        <row r="6">
          <cell r="B6"/>
          <cell r="C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B6"/>
          <cell r="BC6"/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P6"/>
          <cell r="BQ6"/>
          <cell r="BR6"/>
          <cell r="BS6"/>
          <cell r="BT6"/>
          <cell r="BU6"/>
          <cell r="BV6"/>
          <cell r="BW6"/>
          <cell r="BX6"/>
          <cell r="BY6"/>
          <cell r="CA6"/>
          <cell r="CB6"/>
        </row>
        <row r="7">
          <cell r="B7"/>
          <cell r="C7">
            <v>45784</v>
          </cell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  <cell r="BW7"/>
          <cell r="BX7"/>
          <cell r="BY7"/>
          <cell r="CA7"/>
          <cell r="CB7"/>
        </row>
        <row r="8">
          <cell r="B8"/>
          <cell r="C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B8"/>
          <cell r="BC8"/>
          <cell r="BD8"/>
          <cell r="BE8"/>
          <cell r="BF8"/>
          <cell r="BG8"/>
          <cell r="BH8"/>
          <cell r="BI8"/>
          <cell r="BJ8"/>
          <cell r="BK8"/>
          <cell r="BL8"/>
          <cell r="BM8"/>
          <cell r="BN8"/>
          <cell r="BO8"/>
          <cell r="BP8"/>
          <cell r="BQ8"/>
          <cell r="BR8"/>
          <cell r="BS8"/>
          <cell r="BT8"/>
          <cell r="BU8"/>
          <cell r="BV8"/>
          <cell r="BW8"/>
          <cell r="BX8"/>
          <cell r="BY8"/>
          <cell r="CA8"/>
          <cell r="CB8"/>
        </row>
        <row r="9">
          <cell r="B9"/>
          <cell r="C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B9"/>
          <cell r="BC9"/>
          <cell r="BD9"/>
          <cell r="BE9"/>
          <cell r="BF9"/>
          <cell r="BG9"/>
          <cell r="BH9"/>
          <cell r="BI9"/>
          <cell r="BJ9"/>
          <cell r="BK9"/>
          <cell r="BL9"/>
          <cell r="BM9"/>
          <cell r="BN9"/>
          <cell r="BO9"/>
          <cell r="BP9"/>
          <cell r="BQ9"/>
          <cell r="BR9"/>
          <cell r="BS9"/>
          <cell r="BT9"/>
          <cell r="BU9"/>
          <cell r="BV9"/>
          <cell r="BW9"/>
          <cell r="BX9"/>
          <cell r="BY9"/>
          <cell r="CA9"/>
          <cell r="CB9"/>
        </row>
        <row r="10">
          <cell r="B10"/>
          <cell r="C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CA10"/>
          <cell r="CB10"/>
        </row>
        <row r="11">
          <cell r="B11" t="str">
            <v>00746497</v>
          </cell>
          <cell r="C11" t="str">
            <v>8FL281304 4810　L=297</v>
          </cell>
          <cell r="P11">
            <v>20</v>
          </cell>
          <cell r="Q11">
            <v>20</v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>
            <v>297.10000000000002</v>
          </cell>
          <cell r="X11">
            <v>297.06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>
            <v>200</v>
          </cell>
          <cell r="AE11">
            <v>1</v>
          </cell>
          <cell r="AF11">
            <v>3</v>
          </cell>
          <cell r="AG11">
            <v>34</v>
          </cell>
          <cell r="AH11">
            <v>3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45784</v>
          </cell>
          <cell r="AV11">
            <v>2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B11" t="str">
            <v/>
          </cell>
          <cell r="BC11">
            <v>45779</v>
          </cell>
          <cell r="BD11">
            <v>45779</v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>25D08-09</v>
          </cell>
          <cell r="BL11" t="str">
            <v>25D08-09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34</v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CA11" t="str">
            <v>富田・水野</v>
          </cell>
          <cell r="CB11" t="str">
            <v>高森・上野</v>
          </cell>
          <cell r="CD11" t="str">
            <v>000000000002565</v>
          </cell>
        </row>
        <row r="12">
          <cell r="B12"/>
          <cell r="C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CA12"/>
          <cell r="CB12"/>
        </row>
        <row r="13">
          <cell r="B13"/>
          <cell r="C13">
            <v>200</v>
          </cell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CA13"/>
          <cell r="CB13"/>
        </row>
        <row r="14">
          <cell r="B14"/>
          <cell r="C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CA14"/>
          <cell r="CB14"/>
        </row>
        <row r="15">
          <cell r="B15"/>
          <cell r="C15">
            <v>45784</v>
          </cell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CA15"/>
          <cell r="CB15"/>
        </row>
        <row r="16">
          <cell r="B16"/>
          <cell r="C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CA16"/>
          <cell r="CB16"/>
        </row>
        <row r="17">
          <cell r="B17"/>
          <cell r="C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CA17"/>
          <cell r="CB17"/>
        </row>
        <row r="18">
          <cell r="B18"/>
          <cell r="C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CA18"/>
          <cell r="CB18"/>
        </row>
        <row r="19">
          <cell r="B19" t="str">
            <v>00746498</v>
          </cell>
          <cell r="C19" t="str">
            <v>8FL281304 4810　L=297</v>
          </cell>
          <cell r="P19">
            <v>20</v>
          </cell>
          <cell r="Q19">
            <v>20</v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>
            <v>296.99</v>
          </cell>
          <cell r="X19">
            <v>297.02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>
            <v>200</v>
          </cell>
          <cell r="AE19">
            <v>1</v>
          </cell>
          <cell r="AF19">
            <v>1</v>
          </cell>
          <cell r="AG19">
            <v>34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45784</v>
          </cell>
          <cell r="AV19">
            <v>2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B19" t="str">
            <v/>
          </cell>
          <cell r="BC19">
            <v>45779</v>
          </cell>
          <cell r="BD19">
            <v>45779</v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>25D08-09</v>
          </cell>
          <cell r="BL19" t="str">
            <v>25D08-09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34</v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CA19" t="str">
            <v>富田・水野</v>
          </cell>
          <cell r="CB19" t="str">
            <v>高森・上野</v>
          </cell>
          <cell r="CD19" t="str">
            <v>000000000002566</v>
          </cell>
        </row>
        <row r="20">
          <cell r="B20"/>
          <cell r="C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CA20"/>
          <cell r="CB20"/>
        </row>
        <row r="21">
          <cell r="B21"/>
          <cell r="C21">
            <v>200</v>
          </cell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CA21"/>
          <cell r="CB21"/>
        </row>
        <row r="22">
          <cell r="B22"/>
          <cell r="C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CA22"/>
          <cell r="CB22"/>
        </row>
        <row r="23">
          <cell r="B23"/>
          <cell r="C23">
            <v>45784</v>
          </cell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CA23"/>
          <cell r="CB23"/>
        </row>
        <row r="24">
          <cell r="B24"/>
          <cell r="C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CA24"/>
          <cell r="CB24"/>
        </row>
        <row r="25">
          <cell r="B25"/>
          <cell r="C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CA25"/>
          <cell r="CB25"/>
        </row>
        <row r="26">
          <cell r="B26"/>
          <cell r="C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CA26"/>
          <cell r="CB26"/>
        </row>
        <row r="27">
          <cell r="B27" t="str">
            <v>00746499</v>
          </cell>
          <cell r="C27" t="str">
            <v>8FL281304 4910　L=592</v>
          </cell>
          <cell r="P27">
            <v>22</v>
          </cell>
          <cell r="Q27">
            <v>24</v>
          </cell>
          <cell r="R27">
            <v>24</v>
          </cell>
          <cell r="S27">
            <v>24</v>
          </cell>
          <cell r="T27" t="str">
            <v/>
          </cell>
          <cell r="U27" t="str">
            <v/>
          </cell>
          <cell r="V27" t="str">
            <v/>
          </cell>
          <cell r="W27">
            <v>591.61</v>
          </cell>
          <cell r="X27">
            <v>591.67999999999995</v>
          </cell>
          <cell r="Y27">
            <v>591.78</v>
          </cell>
          <cell r="Z27">
            <v>591.66999999999996</v>
          </cell>
          <cell r="AA27" t="str">
            <v/>
          </cell>
          <cell r="AB27" t="str">
            <v/>
          </cell>
          <cell r="AC27" t="str">
            <v/>
          </cell>
          <cell r="AD27">
            <v>500</v>
          </cell>
          <cell r="AE27">
            <v>2</v>
          </cell>
          <cell r="AF27">
            <v>4</v>
          </cell>
          <cell r="AG27">
            <v>167</v>
          </cell>
          <cell r="AH27">
            <v>1</v>
          </cell>
          <cell r="AI27">
            <v>0</v>
          </cell>
          <cell r="AJ27">
            <v>1</v>
          </cell>
          <cell r="AK27">
            <v>0</v>
          </cell>
          <cell r="AL27">
            <v>0</v>
          </cell>
          <cell r="AM27">
            <v>0</v>
          </cell>
          <cell r="AN27">
            <v>2</v>
          </cell>
          <cell r="AO27">
            <v>3</v>
          </cell>
          <cell r="AQ27">
            <v>45778</v>
          </cell>
          <cell r="AR27">
            <v>3</v>
          </cell>
          <cell r="AS27">
            <v>45779</v>
          </cell>
          <cell r="AT27">
            <v>2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B27">
            <v>45765</v>
          </cell>
          <cell r="BC27">
            <v>45778</v>
          </cell>
          <cell r="BD27">
            <v>45778</v>
          </cell>
          <cell r="BE27">
            <v>45778</v>
          </cell>
          <cell r="BF27">
            <v>45778</v>
          </cell>
          <cell r="BG27" t="str">
            <v/>
          </cell>
          <cell r="BH27" t="str">
            <v/>
          </cell>
          <cell r="BI27" t="str">
            <v/>
          </cell>
          <cell r="BJ27" t="str">
            <v>25D05-06</v>
          </cell>
          <cell r="BK27" t="str">
            <v>25D08-09</v>
          </cell>
          <cell r="BL27" t="str">
            <v>25D08-09</v>
          </cell>
          <cell r="BM27" t="str">
            <v>25D08-09</v>
          </cell>
          <cell r="BN27" t="str">
            <v>25D08-09</v>
          </cell>
          <cell r="BO27" t="str">
            <v/>
          </cell>
          <cell r="BP27" t="str">
            <v/>
          </cell>
          <cell r="BQ27" t="str">
            <v/>
          </cell>
          <cell r="BR27">
            <v>3</v>
          </cell>
          <cell r="BS27">
            <v>166</v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CA27" t="str">
            <v>富田・水野</v>
          </cell>
          <cell r="CB27" t="str">
            <v>高森・上野</v>
          </cell>
          <cell r="CD27" t="str">
            <v>000000000002567</v>
          </cell>
        </row>
        <row r="28">
          <cell r="B28"/>
          <cell r="C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CA28"/>
          <cell r="CB28"/>
        </row>
        <row r="29">
          <cell r="B29"/>
          <cell r="C29">
            <v>500</v>
          </cell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CA29"/>
          <cell r="CB29"/>
        </row>
        <row r="30">
          <cell r="B30"/>
          <cell r="C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CA30"/>
          <cell r="CB30"/>
        </row>
        <row r="31">
          <cell r="B31"/>
          <cell r="C31">
            <v>45779</v>
          </cell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CA31"/>
          <cell r="CB31"/>
        </row>
        <row r="32">
          <cell r="B32"/>
          <cell r="C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CA32"/>
          <cell r="CB32"/>
        </row>
        <row r="33">
          <cell r="B33"/>
          <cell r="C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CA33"/>
          <cell r="CB33"/>
        </row>
        <row r="34">
          <cell r="B34"/>
          <cell r="C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CA34"/>
          <cell r="CB34"/>
        </row>
        <row r="35">
          <cell r="B35" t="str">
            <v>00746500</v>
          </cell>
          <cell r="C35" t="str">
            <v>8FL281304 4910　L=592</v>
          </cell>
          <cell r="P35">
            <v>24</v>
          </cell>
          <cell r="Q35">
            <v>24</v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>
            <v>591.78</v>
          </cell>
          <cell r="X35">
            <v>591.66999999999996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300</v>
          </cell>
          <cell r="AE35">
            <v>1</v>
          </cell>
          <cell r="AF35">
            <v>2</v>
          </cell>
          <cell r="AG35">
            <v>101</v>
          </cell>
          <cell r="AH35">
            <v>0</v>
          </cell>
          <cell r="AI35">
            <v>0</v>
          </cell>
          <cell r="AJ35">
            <v>2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Q35">
            <v>0</v>
          </cell>
          <cell r="AR35">
            <v>0</v>
          </cell>
          <cell r="AS35">
            <v>45779</v>
          </cell>
          <cell r="AT35">
            <v>3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B35" t="str">
            <v/>
          </cell>
          <cell r="BC35">
            <v>45778</v>
          </cell>
          <cell r="BD35">
            <v>45778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>25D08-09</v>
          </cell>
          <cell r="BL35" t="str">
            <v>25D08-09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>
            <v>101</v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CA35" t="str">
            <v>富田・水野</v>
          </cell>
          <cell r="CB35" t="str">
            <v>高森・上野</v>
          </cell>
          <cell r="CD35" t="str">
            <v>000000000002568</v>
          </cell>
        </row>
        <row r="36">
          <cell r="B36"/>
          <cell r="C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CA36"/>
          <cell r="CB36"/>
        </row>
        <row r="37">
          <cell r="B37"/>
          <cell r="C37">
            <v>300</v>
          </cell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CA37"/>
          <cell r="CB37"/>
        </row>
        <row r="38">
          <cell r="B38"/>
          <cell r="C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CA38"/>
          <cell r="CB38"/>
        </row>
        <row r="39">
          <cell r="B39"/>
          <cell r="C39">
            <v>45779</v>
          </cell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CA39"/>
          <cell r="CB39"/>
        </row>
        <row r="40">
          <cell r="B40"/>
          <cell r="C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CA40"/>
          <cell r="CB40"/>
        </row>
        <row r="41">
          <cell r="B41"/>
          <cell r="C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Q41"/>
          <cell r="AR41"/>
          <cell r="AS41"/>
          <cell r="AT41"/>
          <cell r="AU41"/>
          <cell r="AV41"/>
          <cell r="AW41"/>
          <cell r="AX41"/>
          <cell r="AY41"/>
          <cell r="AZ41"/>
          <cell r="BB41"/>
          <cell r="BC41"/>
          <cell r="BD41"/>
          <cell r="BE41"/>
          <cell r="BF41"/>
          <cell r="BG41"/>
          <cell r="BH41"/>
          <cell r="BI41"/>
          <cell r="BJ41"/>
          <cell r="BK41"/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CA41"/>
          <cell r="CB41"/>
        </row>
        <row r="42">
          <cell r="B42"/>
          <cell r="C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CA42"/>
          <cell r="CB42"/>
        </row>
        <row r="43">
          <cell r="B43" t="str">
            <v>00746501</v>
          </cell>
          <cell r="C43" t="str">
            <v>8FL281304 4910　L=592</v>
          </cell>
          <cell r="P43">
            <v>22</v>
          </cell>
          <cell r="Q43">
            <v>22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>
            <v>591.57000000000005</v>
          </cell>
          <cell r="X43">
            <v>591.51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>
            <v>300</v>
          </cell>
          <cell r="AE43">
            <v>1</v>
          </cell>
          <cell r="AF43">
            <v>1</v>
          </cell>
          <cell r="AG43">
            <v>100</v>
          </cell>
          <cell r="AH43">
            <v>1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</v>
          </cell>
          <cell r="AQ43">
            <v>0</v>
          </cell>
          <cell r="AR43">
            <v>0</v>
          </cell>
          <cell r="AS43">
            <v>45779</v>
          </cell>
          <cell r="AT43">
            <v>3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B43" t="str">
            <v/>
          </cell>
          <cell r="BC43">
            <v>45778</v>
          </cell>
          <cell r="BD43">
            <v>45778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>25D08-09</v>
          </cell>
          <cell r="BL43" t="str">
            <v>25D08-09</v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>
            <v>100</v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CA43" t="str">
            <v>富田・水野</v>
          </cell>
          <cell r="CB43" t="str">
            <v>高森・上野</v>
          </cell>
          <cell r="CD43" t="str">
            <v>000000000002569</v>
          </cell>
        </row>
        <row r="44">
          <cell r="B44"/>
          <cell r="C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CA44"/>
          <cell r="CB44"/>
        </row>
        <row r="45">
          <cell r="B45"/>
          <cell r="C45">
            <v>300</v>
          </cell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CA45"/>
          <cell r="CB45"/>
        </row>
        <row r="46">
          <cell r="B46"/>
          <cell r="C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CA46"/>
          <cell r="CB46"/>
        </row>
        <row r="47">
          <cell r="B47"/>
          <cell r="C47">
            <v>45779</v>
          </cell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CA47"/>
          <cell r="CB47"/>
        </row>
        <row r="48">
          <cell r="B48"/>
          <cell r="C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CA48"/>
          <cell r="CB48"/>
        </row>
        <row r="49">
          <cell r="B49"/>
          <cell r="C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CA49"/>
          <cell r="CB49"/>
        </row>
        <row r="50">
          <cell r="B50"/>
          <cell r="C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CA50"/>
          <cell r="CB50"/>
        </row>
        <row r="51">
          <cell r="B51" t="str">
            <v>00746502</v>
          </cell>
          <cell r="C51" t="str">
            <v>8FL281304 5010　L=888</v>
          </cell>
          <cell r="P51">
            <v>20</v>
          </cell>
          <cell r="Q51">
            <v>20</v>
          </cell>
          <cell r="R51">
            <v>22</v>
          </cell>
          <cell r="S51">
            <v>20</v>
          </cell>
          <cell r="T51">
            <v>22</v>
          </cell>
          <cell r="U51">
            <v>22</v>
          </cell>
          <cell r="V51" t="str">
            <v/>
          </cell>
          <cell r="W51">
            <v>888.21</v>
          </cell>
          <cell r="X51">
            <v>888.06</v>
          </cell>
          <cell r="Y51">
            <v>888.08</v>
          </cell>
          <cell r="Z51">
            <v>887.98</v>
          </cell>
          <cell r="AA51">
            <v>888.17</v>
          </cell>
          <cell r="AB51">
            <v>888.2</v>
          </cell>
          <cell r="AC51" t="str">
            <v/>
          </cell>
          <cell r="AD51">
            <v>1500</v>
          </cell>
          <cell r="AE51">
            <v>5</v>
          </cell>
          <cell r="AF51">
            <v>9</v>
          </cell>
          <cell r="AG51">
            <v>755</v>
          </cell>
          <cell r="AH51">
            <v>7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2</v>
          </cell>
          <cell r="AO51">
            <v>0</v>
          </cell>
          <cell r="AQ51">
            <v>45772</v>
          </cell>
          <cell r="AR51">
            <v>15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B51">
            <v>45764</v>
          </cell>
          <cell r="BC51">
            <v>45771</v>
          </cell>
          <cell r="BD51">
            <v>45771</v>
          </cell>
          <cell r="BE51">
            <v>45772</v>
          </cell>
          <cell r="BF51">
            <v>45772</v>
          </cell>
          <cell r="BG51">
            <v>45772</v>
          </cell>
          <cell r="BH51">
            <v>45772</v>
          </cell>
          <cell r="BI51" t="str">
            <v/>
          </cell>
          <cell r="BJ51" t="str">
            <v>25D05-06</v>
          </cell>
          <cell r="BK51" t="str">
            <v>25D05-06</v>
          </cell>
          <cell r="BL51" t="str">
            <v>25D05-07</v>
          </cell>
          <cell r="BM51" t="str">
            <v>25D05-07</v>
          </cell>
          <cell r="BN51" t="str">
            <v>25D05-07</v>
          </cell>
          <cell r="BO51" t="str">
            <v>25D05-07</v>
          </cell>
          <cell r="BP51" t="str">
            <v>25D05-07</v>
          </cell>
          <cell r="BQ51" t="str">
            <v/>
          </cell>
          <cell r="BR51">
            <v>1</v>
          </cell>
          <cell r="BS51">
            <v>131</v>
          </cell>
          <cell r="BT51">
            <v>623</v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CA51" t="str">
            <v>富田・水野</v>
          </cell>
          <cell r="CB51" t="str">
            <v>高森・上野</v>
          </cell>
          <cell r="CD51" t="str">
            <v>000000000002570</v>
          </cell>
        </row>
        <row r="52">
          <cell r="B52"/>
          <cell r="C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CA52"/>
          <cell r="CB52"/>
        </row>
        <row r="53">
          <cell r="B53"/>
          <cell r="C53">
            <v>1500</v>
          </cell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CA53"/>
          <cell r="CB53"/>
        </row>
        <row r="54">
          <cell r="B54"/>
          <cell r="C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CA54"/>
          <cell r="CB54"/>
        </row>
        <row r="55">
          <cell r="B55"/>
          <cell r="C55">
            <v>45772</v>
          </cell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CA55"/>
          <cell r="CB55"/>
        </row>
        <row r="56">
          <cell r="B56"/>
          <cell r="C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CA56"/>
          <cell r="CB56"/>
        </row>
        <row r="57">
          <cell r="B57"/>
          <cell r="C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CA57"/>
          <cell r="CB57"/>
        </row>
        <row r="58">
          <cell r="B58"/>
          <cell r="C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CA58"/>
          <cell r="CB58"/>
        </row>
        <row r="59">
          <cell r="B59" t="str">
            <v>00746503</v>
          </cell>
          <cell r="C59" t="str">
            <v>8FL281304 5010　L=888</v>
          </cell>
          <cell r="P59">
            <v>22</v>
          </cell>
          <cell r="Q59">
            <v>20</v>
          </cell>
          <cell r="R59">
            <v>20</v>
          </cell>
          <cell r="S59">
            <v>20</v>
          </cell>
          <cell r="T59">
            <v>22</v>
          </cell>
          <cell r="U59" t="str">
            <v/>
          </cell>
          <cell r="V59" t="str">
            <v/>
          </cell>
          <cell r="W59">
            <v>888.18</v>
          </cell>
          <cell r="X59">
            <v>888.16</v>
          </cell>
          <cell r="Y59">
            <v>888.15</v>
          </cell>
          <cell r="Z59">
            <v>888.19</v>
          </cell>
          <cell r="AA59">
            <v>888.2</v>
          </cell>
          <cell r="AB59" t="str">
            <v/>
          </cell>
          <cell r="AC59" t="str">
            <v/>
          </cell>
          <cell r="AD59">
            <v>1000</v>
          </cell>
          <cell r="AE59">
            <v>5</v>
          </cell>
          <cell r="AF59">
            <v>10</v>
          </cell>
          <cell r="AG59">
            <v>505</v>
          </cell>
          <cell r="AH59">
            <v>9</v>
          </cell>
          <cell r="AI59">
            <v>0</v>
          </cell>
          <cell r="AJ59">
            <v>1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Q59">
            <v>0</v>
          </cell>
          <cell r="AR59">
            <v>0</v>
          </cell>
          <cell r="AS59">
            <v>45777</v>
          </cell>
          <cell r="AT59">
            <v>10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B59" t="str">
            <v/>
          </cell>
          <cell r="BC59">
            <v>45772</v>
          </cell>
          <cell r="BD59">
            <v>45772</v>
          </cell>
          <cell r="BE59">
            <v>45777</v>
          </cell>
          <cell r="BF59">
            <v>45777</v>
          </cell>
          <cell r="BG59">
            <v>45777</v>
          </cell>
          <cell r="BH59" t="str">
            <v/>
          </cell>
          <cell r="BI59" t="str">
            <v/>
          </cell>
          <cell r="BJ59" t="str">
            <v/>
          </cell>
          <cell r="BK59" t="str">
            <v>25D05-07</v>
          </cell>
          <cell r="BL59" t="str">
            <v>25D07-08</v>
          </cell>
          <cell r="BM59" t="str">
            <v>25D07-08</v>
          </cell>
          <cell r="BN59" t="str">
            <v>25D07-08</v>
          </cell>
          <cell r="BO59" t="str">
            <v>25D07-08</v>
          </cell>
          <cell r="BP59" t="str">
            <v/>
          </cell>
          <cell r="BQ59" t="str">
            <v/>
          </cell>
          <cell r="BR59" t="str">
            <v/>
          </cell>
          <cell r="BS59">
            <v>177</v>
          </cell>
          <cell r="BT59">
            <v>328</v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CA59" t="str">
            <v>富田・水野</v>
          </cell>
          <cell r="CB59" t="str">
            <v>高森・上野</v>
          </cell>
          <cell r="CD59" t="str">
            <v>000000000002571</v>
          </cell>
        </row>
        <row r="60">
          <cell r="B60"/>
          <cell r="C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CA60"/>
          <cell r="CB60"/>
        </row>
        <row r="61">
          <cell r="B61"/>
          <cell r="C61">
            <v>1000</v>
          </cell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CA61"/>
          <cell r="CB61"/>
        </row>
        <row r="62">
          <cell r="B62"/>
          <cell r="C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CA62"/>
          <cell r="CB62"/>
        </row>
        <row r="63">
          <cell r="B63"/>
          <cell r="C63">
            <v>45777</v>
          </cell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CA63"/>
          <cell r="CB63"/>
        </row>
        <row r="64">
          <cell r="B64"/>
          <cell r="C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CA64"/>
          <cell r="CB64"/>
        </row>
        <row r="65">
          <cell r="B65"/>
          <cell r="C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CA65"/>
          <cell r="CB65"/>
        </row>
        <row r="66">
          <cell r="B66"/>
          <cell r="C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CA66"/>
          <cell r="CB66"/>
        </row>
        <row r="67">
          <cell r="B67" t="str">
            <v>00746504</v>
          </cell>
          <cell r="C67" t="str">
            <v>8FL281304 5010　L=888</v>
          </cell>
          <cell r="P67">
            <v>22</v>
          </cell>
          <cell r="Q67">
            <v>22</v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>
            <v>888.17</v>
          </cell>
          <cell r="X67">
            <v>888.17</v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>
            <v>300</v>
          </cell>
          <cell r="AE67">
            <v>0</v>
          </cell>
          <cell r="AF67">
            <v>0</v>
          </cell>
          <cell r="AG67">
            <v>150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Q67">
            <v>0</v>
          </cell>
          <cell r="AR67">
            <v>0</v>
          </cell>
          <cell r="AS67">
            <v>45777</v>
          </cell>
          <cell r="AT67">
            <v>1</v>
          </cell>
          <cell r="AU67">
            <v>45778</v>
          </cell>
          <cell r="AV67">
            <v>2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B67" t="str">
            <v/>
          </cell>
          <cell r="BC67">
            <v>45777</v>
          </cell>
          <cell r="BD67">
            <v>45777</v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 t="str">
            <v/>
          </cell>
          <cell r="BK67" t="str">
            <v>25D07-08</v>
          </cell>
          <cell r="BL67" t="str">
            <v>25D07-08</v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>
            <v>150</v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CA67" t="str">
            <v>富田・水野</v>
          </cell>
          <cell r="CB67" t="str">
            <v>高森・上野</v>
          </cell>
          <cell r="CD67" t="str">
            <v>000000000002572</v>
          </cell>
        </row>
        <row r="68">
          <cell r="B68"/>
          <cell r="C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CA68"/>
          <cell r="CB68"/>
        </row>
        <row r="69">
          <cell r="B69"/>
          <cell r="C69">
            <v>300</v>
          </cell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CA69"/>
          <cell r="CB69"/>
        </row>
        <row r="70">
          <cell r="B70"/>
          <cell r="C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CA70"/>
          <cell r="CB70"/>
        </row>
        <row r="71">
          <cell r="B71"/>
          <cell r="C71">
            <v>45778</v>
          </cell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CA71"/>
          <cell r="CB71"/>
        </row>
        <row r="72">
          <cell r="B72"/>
          <cell r="C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CA72"/>
          <cell r="CB72"/>
        </row>
        <row r="73">
          <cell r="B73"/>
          <cell r="C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CA73"/>
          <cell r="CB73"/>
        </row>
        <row r="74">
          <cell r="B74"/>
          <cell r="C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CA74"/>
          <cell r="CB74"/>
        </row>
        <row r="75">
          <cell r="B75" t="str">
            <v>00746505</v>
          </cell>
          <cell r="C75" t="str">
            <v>8FL281304 5010　L=888</v>
          </cell>
          <cell r="P75">
            <v>22</v>
          </cell>
          <cell r="Q75">
            <v>22</v>
          </cell>
          <cell r="R75">
            <v>20</v>
          </cell>
          <cell r="S75">
            <v>20</v>
          </cell>
          <cell r="T75" t="str">
            <v/>
          </cell>
          <cell r="U75" t="str">
            <v/>
          </cell>
          <cell r="V75" t="str">
            <v/>
          </cell>
          <cell r="W75">
            <v>888.19</v>
          </cell>
          <cell r="X75">
            <v>888.19</v>
          </cell>
          <cell r="Y75">
            <v>888.11</v>
          </cell>
          <cell r="Z75">
            <v>888.02</v>
          </cell>
          <cell r="AA75" t="str">
            <v/>
          </cell>
          <cell r="AB75" t="str">
            <v/>
          </cell>
          <cell r="AC75" t="str">
            <v/>
          </cell>
          <cell r="AD75">
            <v>1000</v>
          </cell>
          <cell r="AE75">
            <v>3</v>
          </cell>
          <cell r="AF75">
            <v>6</v>
          </cell>
          <cell r="AG75">
            <v>503</v>
          </cell>
          <cell r="AH75">
            <v>5</v>
          </cell>
          <cell r="AI75">
            <v>0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45778</v>
          </cell>
          <cell r="AV75">
            <v>10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B75" t="str">
            <v/>
          </cell>
          <cell r="BC75">
            <v>45777</v>
          </cell>
          <cell r="BD75">
            <v>45777</v>
          </cell>
          <cell r="BE75">
            <v>45778</v>
          </cell>
          <cell r="BF75">
            <v>45778</v>
          </cell>
          <cell r="BG75" t="str">
            <v/>
          </cell>
          <cell r="BH75" t="str">
            <v/>
          </cell>
          <cell r="BI75" t="str">
            <v/>
          </cell>
          <cell r="BJ75" t="str">
            <v/>
          </cell>
          <cell r="BK75" t="str">
            <v>25D07-08</v>
          </cell>
          <cell r="BL75" t="str">
            <v>25D08-09</v>
          </cell>
          <cell r="BM75" t="str">
            <v>25D08-09</v>
          </cell>
          <cell r="BN75" t="str">
            <v>25D08-09</v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>
            <v>322</v>
          </cell>
          <cell r="BT75">
            <v>181</v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CA75" t="str">
            <v>富田・水野</v>
          </cell>
          <cell r="CB75" t="str">
            <v>高森・上野</v>
          </cell>
          <cell r="CD75" t="str">
            <v>000000000002573</v>
          </cell>
        </row>
        <row r="76">
          <cell r="B76"/>
          <cell r="C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CA76"/>
          <cell r="CB76"/>
        </row>
        <row r="77">
          <cell r="B77"/>
          <cell r="C77">
            <v>1000</v>
          </cell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CA77"/>
          <cell r="CB77"/>
        </row>
        <row r="78">
          <cell r="B78"/>
          <cell r="C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CA78"/>
          <cell r="CB78"/>
        </row>
        <row r="79">
          <cell r="B79"/>
          <cell r="C79">
            <v>45778</v>
          </cell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CA79"/>
          <cell r="CB79"/>
        </row>
        <row r="80">
          <cell r="B80"/>
          <cell r="C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CA80"/>
          <cell r="CB80"/>
        </row>
        <row r="81">
          <cell r="B81"/>
          <cell r="C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CA81"/>
          <cell r="CB81"/>
        </row>
        <row r="82">
          <cell r="B82"/>
          <cell r="C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CA82"/>
          <cell r="CB82"/>
        </row>
        <row r="83">
          <cell r="B83" t="str">
            <v>00749885</v>
          </cell>
          <cell r="C83" t="str">
            <v>MDP-689B L4　L=2574</v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>
            <v>2574.5</v>
          </cell>
          <cell r="X83">
            <v>2574.3000000000002</v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>
            <v>200</v>
          </cell>
          <cell r="AE83">
            <v>3</v>
          </cell>
          <cell r="AF83">
            <v>3</v>
          </cell>
          <cell r="AG83">
            <v>203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3</v>
          </cell>
          <cell r="AO83">
            <v>0</v>
          </cell>
          <cell r="AQ83">
            <v>45789</v>
          </cell>
          <cell r="AR83">
            <v>2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B83" t="str">
            <v/>
          </cell>
          <cell r="BC83">
            <v>45789</v>
          </cell>
          <cell r="BD83">
            <v>45789</v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 t="str">
            <v/>
          </cell>
          <cell r="BK83" t="str">
            <v>25C26B</v>
          </cell>
          <cell r="BL83" t="str">
            <v>24K06B</v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>
            <v>200</v>
          </cell>
          <cell r="BT83">
            <v>3</v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CA83" t="str">
            <v>富田・水野</v>
          </cell>
          <cell r="CB83" t="str">
            <v>高森・上野</v>
          </cell>
          <cell r="CD83" t="str">
            <v>000000000002880</v>
          </cell>
        </row>
        <row r="84">
          <cell r="B84"/>
          <cell r="C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CA84"/>
          <cell r="CB84"/>
        </row>
        <row r="85">
          <cell r="B85"/>
          <cell r="C85">
            <v>200</v>
          </cell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CA85"/>
          <cell r="CB85"/>
        </row>
        <row r="86">
          <cell r="B86"/>
          <cell r="C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CA86"/>
          <cell r="CB86"/>
        </row>
        <row r="87">
          <cell r="B87"/>
          <cell r="C87">
            <v>45789</v>
          </cell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CA87"/>
          <cell r="CB87"/>
        </row>
        <row r="88">
          <cell r="B88"/>
          <cell r="C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CA88"/>
          <cell r="CB88"/>
        </row>
        <row r="89">
          <cell r="B89"/>
          <cell r="C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CA89"/>
          <cell r="CB89"/>
        </row>
        <row r="90">
          <cell r="B90"/>
          <cell r="C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CA90"/>
          <cell r="CB90"/>
        </row>
        <row r="91">
          <cell r="B91" t="str">
            <v>00751047</v>
          </cell>
          <cell r="C91" t="str">
            <v>MDP-688A L4　L=2570</v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>
            <v>2570.5</v>
          </cell>
          <cell r="X91">
            <v>2570.5</v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>
            <v>100</v>
          </cell>
          <cell r="AE91">
            <v>0</v>
          </cell>
          <cell r="AF91">
            <v>0</v>
          </cell>
          <cell r="AG91">
            <v>100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45786</v>
          </cell>
          <cell r="AR91">
            <v>2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B91" t="str">
            <v/>
          </cell>
          <cell r="BC91">
            <v>45786</v>
          </cell>
          <cell r="BD91">
            <v>45786</v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 t="str">
            <v/>
          </cell>
          <cell r="BK91" t="str">
            <v>25C31B</v>
          </cell>
          <cell r="BL91" t="str">
            <v>24J29</v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>
            <v>50</v>
          </cell>
          <cell r="BT91">
            <v>50</v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CA91" t="str">
            <v>富田・水野</v>
          </cell>
          <cell r="CB91" t="str">
            <v>高森・上野</v>
          </cell>
          <cell r="CD91" t="str">
            <v>000000000002987</v>
          </cell>
        </row>
        <row r="92">
          <cell r="B92"/>
          <cell r="C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CA92"/>
          <cell r="CB92"/>
        </row>
        <row r="93">
          <cell r="B93"/>
          <cell r="C93">
            <v>100</v>
          </cell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CA93"/>
          <cell r="CB93"/>
        </row>
        <row r="94">
          <cell r="B94"/>
          <cell r="C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CA94"/>
          <cell r="CB94"/>
        </row>
        <row r="95">
          <cell r="B95"/>
          <cell r="C95">
            <v>45786</v>
          </cell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CA95"/>
          <cell r="CB95"/>
        </row>
        <row r="96">
          <cell r="B96"/>
          <cell r="C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CA96"/>
          <cell r="CB96"/>
        </row>
        <row r="97">
          <cell r="B97"/>
          <cell r="C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CA97"/>
          <cell r="CB97"/>
        </row>
        <row r="98">
          <cell r="B98"/>
          <cell r="C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CA98"/>
          <cell r="CB98"/>
        </row>
        <row r="99">
          <cell r="B99" t="str">
            <v>00753905</v>
          </cell>
          <cell r="C99" t="str">
            <v>PK-59827 L=700</v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>
            <v>25</v>
          </cell>
          <cell r="AE99">
            <v>0</v>
          </cell>
          <cell r="AF99">
            <v>0</v>
          </cell>
          <cell r="AG99">
            <v>12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Q99">
            <v>45757</v>
          </cell>
          <cell r="AR99">
            <v>1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B99">
            <v>45757</v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 t="str">
            <v>25C26B</v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>
            <v>12</v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CA99" t="str">
            <v>富田・水野</v>
          </cell>
          <cell r="CB99" t="str">
            <v>上野</v>
          </cell>
          <cell r="CD99" t="str">
            <v>000000000003227</v>
          </cell>
        </row>
        <row r="100">
          <cell r="B100"/>
          <cell r="C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CA100"/>
          <cell r="CB100"/>
        </row>
        <row r="101">
          <cell r="B101"/>
          <cell r="C101">
            <v>25</v>
          </cell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CA101"/>
          <cell r="CB101"/>
        </row>
        <row r="102">
          <cell r="B102"/>
          <cell r="C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CA102"/>
          <cell r="CB102"/>
        </row>
        <row r="103">
          <cell r="B103"/>
          <cell r="C103">
            <v>45757</v>
          </cell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CA103"/>
          <cell r="CB103"/>
        </row>
        <row r="104">
          <cell r="B104"/>
          <cell r="C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CA104"/>
          <cell r="CB104"/>
        </row>
        <row r="105">
          <cell r="B105"/>
          <cell r="C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CA105"/>
          <cell r="CB105"/>
        </row>
        <row r="106">
          <cell r="B106"/>
          <cell r="C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CA106"/>
          <cell r="CB106"/>
        </row>
        <row r="107">
          <cell r="B107" t="str">
            <v>00751581</v>
          </cell>
          <cell r="C107" t="str">
            <v>8FL281304 6110　L=1478</v>
          </cell>
          <cell r="P107">
            <v>20</v>
          </cell>
          <cell r="Q107">
            <v>26</v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>
            <v>1478.23</v>
          </cell>
          <cell r="X107">
            <v>1478.31</v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>
            <v>400</v>
          </cell>
          <cell r="AE107">
            <v>7</v>
          </cell>
          <cell r="AF107">
            <v>7</v>
          </cell>
          <cell r="AG107">
            <v>407</v>
          </cell>
          <cell r="AH107">
            <v>7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Q107">
            <v>45791</v>
          </cell>
          <cell r="AR107">
            <v>4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B107">
            <v>45756</v>
          </cell>
          <cell r="BC107">
            <v>45790</v>
          </cell>
          <cell r="BD107">
            <v>45790</v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 t="str">
            <v>25D02-02</v>
          </cell>
          <cell r="BK107" t="str">
            <v>25D08-09</v>
          </cell>
          <cell r="BL107" t="str">
            <v>25E08-01</v>
          </cell>
          <cell r="BM107" t="str">
            <v/>
          </cell>
          <cell r="BN107" t="str">
            <v/>
          </cell>
          <cell r="BO107" t="str">
            <v/>
          </cell>
          <cell r="BP107" t="str">
            <v/>
          </cell>
          <cell r="BQ107" t="str">
            <v/>
          </cell>
          <cell r="BR107">
            <v>8</v>
          </cell>
          <cell r="BS107">
            <v>132</v>
          </cell>
          <cell r="BT107">
            <v>267</v>
          </cell>
          <cell r="BU107" t="str">
            <v/>
          </cell>
          <cell r="BV107" t="str">
            <v/>
          </cell>
          <cell r="BW107" t="str">
            <v/>
          </cell>
          <cell r="BX107" t="str">
            <v/>
          </cell>
          <cell r="BY107" t="str">
            <v/>
          </cell>
          <cell r="CA107" t="str">
            <v>水野</v>
          </cell>
          <cell r="CB107" t="str">
            <v>高森</v>
          </cell>
          <cell r="CD107" t="str">
            <v>000000000003039</v>
          </cell>
        </row>
        <row r="108">
          <cell r="B108"/>
          <cell r="C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CA108"/>
          <cell r="CB108"/>
        </row>
        <row r="109">
          <cell r="B109"/>
          <cell r="C109">
            <v>400</v>
          </cell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CA109"/>
          <cell r="CB109"/>
        </row>
        <row r="110">
          <cell r="B110"/>
          <cell r="C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CA110"/>
          <cell r="CB110"/>
        </row>
        <row r="111">
          <cell r="B111"/>
          <cell r="C111">
            <v>45791</v>
          </cell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CA111"/>
          <cell r="CB111"/>
        </row>
        <row r="112">
          <cell r="B112"/>
          <cell r="C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CA112"/>
          <cell r="CB112"/>
        </row>
        <row r="113">
          <cell r="B113"/>
          <cell r="C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CA113"/>
          <cell r="CB113"/>
        </row>
        <row r="114">
          <cell r="B114"/>
          <cell r="C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CA114"/>
          <cell r="CB114"/>
        </row>
        <row r="115">
          <cell r="B115" t="str">
            <v>00751580</v>
          </cell>
          <cell r="C115" t="str">
            <v>8FL281304 6110　L=1478</v>
          </cell>
          <cell r="P115">
            <v>26</v>
          </cell>
          <cell r="Q115">
            <v>26</v>
          </cell>
          <cell r="R115">
            <v>20</v>
          </cell>
          <cell r="S115">
            <v>26</v>
          </cell>
          <cell r="T115" t="str">
            <v/>
          </cell>
          <cell r="U115" t="str">
            <v/>
          </cell>
          <cell r="V115" t="str">
            <v/>
          </cell>
          <cell r="W115">
            <v>1478.21</v>
          </cell>
          <cell r="X115">
            <v>1478.19</v>
          </cell>
          <cell r="Y115">
            <v>1478.05</v>
          </cell>
          <cell r="Z115">
            <v>1478.31</v>
          </cell>
          <cell r="AA115" t="str">
            <v/>
          </cell>
          <cell r="AB115" t="str">
            <v/>
          </cell>
          <cell r="AC115" t="str">
            <v/>
          </cell>
          <cell r="AD115">
            <v>400</v>
          </cell>
          <cell r="AE115">
            <v>6</v>
          </cell>
          <cell r="AF115">
            <v>6</v>
          </cell>
          <cell r="AG115">
            <v>406</v>
          </cell>
          <cell r="AH115">
            <v>4</v>
          </cell>
          <cell r="AI115">
            <v>0</v>
          </cell>
          <cell r="AJ115">
            <v>2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Q115">
            <v>45791</v>
          </cell>
          <cell r="AR115">
            <v>4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B115" t="str">
            <v/>
          </cell>
          <cell r="BC115">
            <v>45790</v>
          </cell>
          <cell r="BD115">
            <v>45790</v>
          </cell>
          <cell r="BE115">
            <v>45791</v>
          </cell>
          <cell r="BF115">
            <v>45791</v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>25E08-01</v>
          </cell>
          <cell r="BL115" t="str">
            <v>25E08-01</v>
          </cell>
          <cell r="BM115" t="str">
            <v>25E08-01</v>
          </cell>
          <cell r="BN115" t="str">
            <v>25E08-01</v>
          </cell>
          <cell r="BO115" t="str">
            <v/>
          </cell>
          <cell r="BP115" t="str">
            <v/>
          </cell>
          <cell r="BQ115" t="str">
            <v/>
          </cell>
          <cell r="BR115" t="str">
            <v/>
          </cell>
          <cell r="BS115">
            <v>406</v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CA115" t="str">
            <v>富田・水野</v>
          </cell>
          <cell r="CB115" t="str">
            <v>高森・上野</v>
          </cell>
          <cell r="CD115" t="str">
            <v>000000000003038</v>
          </cell>
        </row>
        <row r="116">
          <cell r="B116"/>
          <cell r="C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CA116"/>
          <cell r="CB116"/>
        </row>
        <row r="117">
          <cell r="B117"/>
          <cell r="C117">
            <v>400</v>
          </cell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CA117"/>
          <cell r="CB117"/>
        </row>
        <row r="118">
          <cell r="B118"/>
          <cell r="C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CA118"/>
          <cell r="CB118"/>
        </row>
        <row r="119">
          <cell r="B119"/>
          <cell r="C119">
            <v>45791</v>
          </cell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CA119"/>
          <cell r="CB119"/>
        </row>
        <row r="120">
          <cell r="B120"/>
          <cell r="C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CA120"/>
          <cell r="CB120"/>
        </row>
        <row r="121">
          <cell r="B121"/>
          <cell r="C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CA121"/>
          <cell r="CB121"/>
        </row>
        <row r="122">
          <cell r="B122"/>
          <cell r="C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CA122"/>
          <cell r="CB122"/>
        </row>
        <row r="123">
          <cell r="B123" t="str">
            <v>00751579</v>
          </cell>
          <cell r="C123" t="str">
            <v>8FL281304 6110　L=1478</v>
          </cell>
          <cell r="P123">
            <v>26</v>
          </cell>
          <cell r="Q123">
            <v>26</v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>
            <v>1478.38</v>
          </cell>
          <cell r="X123">
            <v>1478.43</v>
          </cell>
          <cell r="Y123" t="str">
            <v/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>
            <v>200</v>
          </cell>
          <cell r="AE123">
            <v>0</v>
          </cell>
          <cell r="AF123">
            <v>0</v>
          </cell>
          <cell r="AG123">
            <v>200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Q123">
            <v>45791</v>
          </cell>
          <cell r="AR123">
            <v>1</v>
          </cell>
          <cell r="AS123">
            <v>45792</v>
          </cell>
          <cell r="AT123">
            <v>1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B123" t="str">
            <v/>
          </cell>
          <cell r="BC123">
            <v>45791</v>
          </cell>
          <cell r="BD123">
            <v>45791</v>
          </cell>
          <cell r="BE123" t="str">
            <v/>
          </cell>
          <cell r="BF123" t="str">
            <v/>
          </cell>
          <cell r="BG123" t="str">
            <v/>
          </cell>
          <cell r="BH123" t="str">
            <v/>
          </cell>
          <cell r="BI123" t="str">
            <v/>
          </cell>
          <cell r="BJ123" t="str">
            <v/>
          </cell>
          <cell r="BK123" t="str">
            <v>25E08-01</v>
          </cell>
          <cell r="BL123" t="str">
            <v>25E09-02</v>
          </cell>
          <cell r="BM123" t="str">
            <v/>
          </cell>
          <cell r="BN123" t="str">
            <v/>
          </cell>
          <cell r="BO123" t="str">
            <v/>
          </cell>
          <cell r="BP123" t="str">
            <v/>
          </cell>
          <cell r="BQ123" t="str">
            <v/>
          </cell>
          <cell r="BR123" t="str">
            <v/>
          </cell>
          <cell r="BS123">
            <v>127</v>
          </cell>
          <cell r="BT123">
            <v>73</v>
          </cell>
          <cell r="BU123" t="str">
            <v/>
          </cell>
          <cell r="BV123" t="str">
            <v/>
          </cell>
          <cell r="BW123" t="str">
            <v/>
          </cell>
          <cell r="BX123" t="str">
            <v/>
          </cell>
          <cell r="BY123" t="str">
            <v/>
          </cell>
          <cell r="CA123" t="str">
            <v>富田・水野</v>
          </cell>
          <cell r="CB123" t="str">
            <v>高森・上野</v>
          </cell>
          <cell r="CD123" t="str">
            <v>000000000003037</v>
          </cell>
        </row>
        <row r="124">
          <cell r="B124"/>
          <cell r="C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CA124"/>
          <cell r="CB124"/>
        </row>
        <row r="125">
          <cell r="B125"/>
          <cell r="C125">
            <v>200</v>
          </cell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CA125"/>
          <cell r="CB125"/>
        </row>
        <row r="126">
          <cell r="B126"/>
          <cell r="C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CA126"/>
          <cell r="CB126"/>
        </row>
        <row r="127">
          <cell r="B127"/>
          <cell r="C127">
            <v>45792</v>
          </cell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CA127"/>
          <cell r="CB127"/>
        </row>
        <row r="128">
          <cell r="B128"/>
          <cell r="C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CA128"/>
          <cell r="CB128"/>
        </row>
        <row r="129">
          <cell r="B129"/>
          <cell r="C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CA129"/>
          <cell r="CB129"/>
        </row>
        <row r="130">
          <cell r="B130"/>
          <cell r="C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CA130"/>
          <cell r="CB130"/>
        </row>
        <row r="131">
          <cell r="B131" t="str">
            <v>00751582</v>
          </cell>
          <cell r="C131" t="str">
            <v>8FL281304 6110　L=1478</v>
          </cell>
          <cell r="P131">
            <v>26</v>
          </cell>
          <cell r="Q131">
            <v>26</v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>
            <v>1478.54</v>
          </cell>
          <cell r="X131">
            <v>1478.4</v>
          </cell>
          <cell r="Y131" t="str">
            <v/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  <cell r="AD131">
            <v>100</v>
          </cell>
          <cell r="AE131">
            <v>0</v>
          </cell>
          <cell r="AF131">
            <v>0</v>
          </cell>
          <cell r="AG131">
            <v>100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Q131">
            <v>0</v>
          </cell>
          <cell r="AR131">
            <v>0</v>
          </cell>
          <cell r="AS131">
            <v>45792</v>
          </cell>
          <cell r="AT131">
            <v>1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B131" t="str">
            <v/>
          </cell>
          <cell r="BC131">
            <v>45791</v>
          </cell>
          <cell r="BD131">
            <v>45791</v>
          </cell>
          <cell r="BE131" t="str">
            <v/>
          </cell>
          <cell r="BF131" t="str">
            <v/>
          </cell>
          <cell r="BG131" t="str">
            <v/>
          </cell>
          <cell r="BH131" t="str">
            <v/>
          </cell>
          <cell r="BI131" t="str">
            <v/>
          </cell>
          <cell r="BJ131" t="str">
            <v/>
          </cell>
          <cell r="BK131" t="str">
            <v>25E09-02</v>
          </cell>
          <cell r="BL131" t="str">
            <v>25E09-02</v>
          </cell>
          <cell r="BM131" t="str">
            <v/>
          </cell>
          <cell r="BN131" t="str">
            <v/>
          </cell>
          <cell r="BO131" t="str">
            <v/>
          </cell>
          <cell r="BP131" t="str">
            <v/>
          </cell>
          <cell r="BQ131" t="str">
            <v/>
          </cell>
          <cell r="BR131" t="str">
            <v/>
          </cell>
          <cell r="BS131" t="str">
            <v/>
          </cell>
          <cell r="BT131">
            <v>100</v>
          </cell>
          <cell r="BU131" t="str">
            <v/>
          </cell>
          <cell r="BV131" t="str">
            <v/>
          </cell>
          <cell r="BW131" t="str">
            <v/>
          </cell>
          <cell r="BX131" t="str">
            <v/>
          </cell>
          <cell r="BY131" t="str">
            <v/>
          </cell>
          <cell r="CA131" t="str">
            <v>富田・水野</v>
          </cell>
          <cell r="CB131" t="str">
            <v>高森・上野</v>
          </cell>
          <cell r="CD131" t="str">
            <v>000000000003040</v>
          </cell>
        </row>
        <row r="132">
          <cell r="B132"/>
          <cell r="C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CA132"/>
          <cell r="CB132"/>
        </row>
        <row r="133">
          <cell r="B133"/>
          <cell r="C133">
            <v>100</v>
          </cell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CA133"/>
          <cell r="CB133"/>
        </row>
        <row r="134">
          <cell r="B134"/>
          <cell r="C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CA134"/>
          <cell r="CB134"/>
        </row>
        <row r="135">
          <cell r="B135"/>
          <cell r="C135">
            <v>45792</v>
          </cell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CA135"/>
          <cell r="CB135"/>
        </row>
        <row r="136">
          <cell r="B136"/>
          <cell r="C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CA136"/>
          <cell r="CB136"/>
        </row>
        <row r="137">
          <cell r="B137"/>
          <cell r="C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CA137"/>
          <cell r="CB137"/>
        </row>
        <row r="138">
          <cell r="B138"/>
          <cell r="C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CA138"/>
          <cell r="CB138"/>
        </row>
        <row r="139">
          <cell r="B139" t="str">
            <v>00751574</v>
          </cell>
          <cell r="C139" t="str">
            <v>8FL281304 4810　L=297</v>
          </cell>
          <cell r="P139">
            <v>26</v>
          </cell>
          <cell r="Q139">
            <v>26</v>
          </cell>
          <cell r="R139">
            <v>20</v>
          </cell>
          <cell r="S139">
            <v>24</v>
          </cell>
          <cell r="T139" t="str">
            <v/>
          </cell>
          <cell r="U139" t="str">
            <v/>
          </cell>
          <cell r="V139" t="str">
            <v/>
          </cell>
          <cell r="W139">
            <v>297.14</v>
          </cell>
          <cell r="X139">
            <v>297.27999999999997</v>
          </cell>
          <cell r="Y139">
            <v>297.39</v>
          </cell>
          <cell r="Z139">
            <v>297.16000000000003</v>
          </cell>
          <cell r="AA139" t="str">
            <v/>
          </cell>
          <cell r="AB139" t="str">
            <v/>
          </cell>
          <cell r="AC139" t="str">
            <v/>
          </cell>
          <cell r="AD139">
            <v>500</v>
          </cell>
          <cell r="AE139">
            <v>1</v>
          </cell>
          <cell r="AF139">
            <v>6</v>
          </cell>
          <cell r="AG139">
            <v>76</v>
          </cell>
          <cell r="AH139">
            <v>3</v>
          </cell>
          <cell r="AI139">
            <v>0</v>
          </cell>
          <cell r="AJ139">
            <v>3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52</v>
          </cell>
          <cell r="AQ139">
            <v>0</v>
          </cell>
          <cell r="AR139">
            <v>0</v>
          </cell>
          <cell r="AS139">
            <v>45792</v>
          </cell>
          <cell r="AT139">
            <v>5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B139">
            <v>45784</v>
          </cell>
          <cell r="BC139">
            <v>45791</v>
          </cell>
          <cell r="BD139">
            <v>45791</v>
          </cell>
          <cell r="BE139">
            <v>45792</v>
          </cell>
          <cell r="BF139">
            <v>45792</v>
          </cell>
          <cell r="BG139" t="str">
            <v/>
          </cell>
          <cell r="BH139" t="str">
            <v/>
          </cell>
          <cell r="BI139" t="str">
            <v/>
          </cell>
          <cell r="BJ139" t="str">
            <v>25D08-09</v>
          </cell>
          <cell r="BK139" t="str">
            <v>25E09-02</v>
          </cell>
          <cell r="BL139" t="str">
            <v>25E09-02</v>
          </cell>
          <cell r="BM139" t="str">
            <v>25E09-02</v>
          </cell>
          <cell r="BN139" t="str">
            <v>25E09-02</v>
          </cell>
          <cell r="BO139" t="str">
            <v/>
          </cell>
          <cell r="BP139" t="str">
            <v/>
          </cell>
          <cell r="BQ139" t="str">
            <v/>
          </cell>
          <cell r="BR139">
            <v>3</v>
          </cell>
          <cell r="BS139">
            <v>73</v>
          </cell>
          <cell r="BT139" t="str">
            <v/>
          </cell>
          <cell r="BU139" t="str">
            <v/>
          </cell>
          <cell r="BV139" t="str">
            <v/>
          </cell>
          <cell r="BW139" t="str">
            <v/>
          </cell>
          <cell r="BX139" t="str">
            <v/>
          </cell>
          <cell r="BY139" t="str">
            <v/>
          </cell>
          <cell r="CA139" t="str">
            <v>富田・水野</v>
          </cell>
          <cell r="CB139" t="str">
            <v>高森・上野</v>
          </cell>
          <cell r="CD139" t="str">
            <v>000000000003032</v>
          </cell>
        </row>
        <row r="140">
          <cell r="B140"/>
          <cell r="C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CA140"/>
          <cell r="CB140"/>
        </row>
        <row r="141">
          <cell r="B141"/>
          <cell r="C141">
            <v>500</v>
          </cell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CA141"/>
          <cell r="CB141"/>
        </row>
        <row r="142">
          <cell r="B142"/>
          <cell r="C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CA142"/>
          <cell r="CB142"/>
        </row>
        <row r="143">
          <cell r="B143"/>
          <cell r="C143">
            <v>45792</v>
          </cell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CA143"/>
          <cell r="CB143"/>
        </row>
        <row r="144">
          <cell r="B144"/>
          <cell r="C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CA144"/>
          <cell r="CB144"/>
        </row>
        <row r="145">
          <cell r="B145"/>
          <cell r="C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CA145"/>
          <cell r="CB145"/>
        </row>
        <row r="146">
          <cell r="B146"/>
          <cell r="C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CA146"/>
          <cell r="CB146"/>
        </row>
        <row r="147">
          <cell r="B147" t="str">
            <v>00751578</v>
          </cell>
          <cell r="C147" t="str">
            <v>8FL281304 5010　L=888</v>
          </cell>
          <cell r="P147">
            <v>24</v>
          </cell>
          <cell r="Q147">
            <v>28</v>
          </cell>
          <cell r="R147">
            <v>26</v>
          </cell>
          <cell r="S147">
            <v>22</v>
          </cell>
          <cell r="T147">
            <v>26</v>
          </cell>
          <cell r="U147">
            <v>26</v>
          </cell>
          <cell r="V147">
            <v>26</v>
          </cell>
          <cell r="W147">
            <v>888.29</v>
          </cell>
          <cell r="X147">
            <v>888.42</v>
          </cell>
          <cell r="Y147">
            <v>888.43</v>
          </cell>
          <cell r="Z147">
            <v>888.46</v>
          </cell>
          <cell r="AA147">
            <v>888.5</v>
          </cell>
          <cell r="AB147">
            <v>888.57</v>
          </cell>
          <cell r="AC147">
            <v>888.55</v>
          </cell>
          <cell r="AD147">
            <v>2900</v>
          </cell>
          <cell r="AE147">
            <v>12</v>
          </cell>
          <cell r="AF147">
            <v>24</v>
          </cell>
          <cell r="AG147">
            <v>1462</v>
          </cell>
          <cell r="AH147">
            <v>18</v>
          </cell>
          <cell r="AI147">
            <v>1</v>
          </cell>
          <cell r="AJ147">
            <v>2</v>
          </cell>
          <cell r="AK147">
            <v>0</v>
          </cell>
          <cell r="AL147">
            <v>0</v>
          </cell>
          <cell r="AM147">
            <v>0</v>
          </cell>
          <cell r="AN147">
            <v>3</v>
          </cell>
          <cell r="AO147">
            <v>0</v>
          </cell>
          <cell r="AQ147">
            <v>45792</v>
          </cell>
          <cell r="AR147">
            <v>7</v>
          </cell>
          <cell r="AS147">
            <v>45793</v>
          </cell>
          <cell r="AT147">
            <v>15</v>
          </cell>
          <cell r="AU147">
            <v>45796</v>
          </cell>
          <cell r="AV147">
            <v>7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B147">
            <v>45778</v>
          </cell>
          <cell r="BC147">
            <v>45792</v>
          </cell>
          <cell r="BD147">
            <v>45792</v>
          </cell>
          <cell r="BE147">
            <v>45793</v>
          </cell>
          <cell r="BF147">
            <v>45793</v>
          </cell>
          <cell r="BG147">
            <v>45793</v>
          </cell>
          <cell r="BH147">
            <v>45793</v>
          </cell>
          <cell r="BI147">
            <v>45793</v>
          </cell>
          <cell r="BJ147" t="str">
            <v>25D08-09</v>
          </cell>
          <cell r="BK147" t="str">
            <v>25E09-02</v>
          </cell>
          <cell r="BL147" t="str">
            <v>25E09-02</v>
          </cell>
          <cell r="BM147" t="str">
            <v>25E10-03</v>
          </cell>
          <cell r="BN147" t="str">
            <v>25E10-03</v>
          </cell>
          <cell r="BO147" t="str">
            <v>25E10-03</v>
          </cell>
          <cell r="BP147" t="str">
            <v>25E13-05</v>
          </cell>
          <cell r="BQ147" t="str">
            <v>25E13-05</v>
          </cell>
          <cell r="BR147">
            <v>4</v>
          </cell>
          <cell r="BS147">
            <v>536</v>
          </cell>
          <cell r="BT147" t="str">
            <v/>
          </cell>
          <cell r="BU147">
            <v>800</v>
          </cell>
          <cell r="BV147" t="str">
            <v/>
          </cell>
          <cell r="BW147" t="str">
            <v/>
          </cell>
          <cell r="BX147">
            <v>122</v>
          </cell>
          <cell r="BY147" t="str">
            <v/>
          </cell>
          <cell r="CA147" t="str">
            <v>水野</v>
          </cell>
          <cell r="CB147" t="str">
            <v>高森・上野</v>
          </cell>
          <cell r="CD147" t="str">
            <v>000000000003036</v>
          </cell>
        </row>
        <row r="148">
          <cell r="B148"/>
          <cell r="C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CA148"/>
          <cell r="CB148"/>
        </row>
        <row r="149">
          <cell r="B149"/>
          <cell r="C149">
            <v>2900</v>
          </cell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CA149"/>
          <cell r="CB149"/>
        </row>
        <row r="150">
          <cell r="B150"/>
          <cell r="C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CA150"/>
          <cell r="CB150"/>
        </row>
        <row r="151">
          <cell r="B151"/>
          <cell r="C151">
            <v>45796</v>
          </cell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CA151"/>
          <cell r="CB151"/>
        </row>
        <row r="152">
          <cell r="B152"/>
          <cell r="C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CA152"/>
          <cell r="CB152"/>
        </row>
        <row r="153">
          <cell r="B153"/>
          <cell r="C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CA153"/>
          <cell r="CB153"/>
        </row>
        <row r="154">
          <cell r="B154"/>
          <cell r="C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CA154"/>
          <cell r="CB154"/>
        </row>
        <row r="155">
          <cell r="B155" t="str">
            <v>00751577</v>
          </cell>
          <cell r="C155" t="str">
            <v>8FL281304 5010　L=888</v>
          </cell>
          <cell r="P155">
            <v>24</v>
          </cell>
          <cell r="Q155">
            <v>26</v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>
            <v>888.52</v>
          </cell>
          <cell r="X155">
            <v>888.51</v>
          </cell>
          <cell r="Y155" t="str">
            <v/>
          </cell>
          <cell r="Z155" t="str">
            <v/>
          </cell>
          <cell r="AA155" t="str">
            <v/>
          </cell>
          <cell r="AB155" t="str">
            <v/>
          </cell>
          <cell r="AC155" t="str">
            <v/>
          </cell>
          <cell r="AD155">
            <v>300</v>
          </cell>
          <cell r="AE155">
            <v>2</v>
          </cell>
          <cell r="AF155">
            <v>4</v>
          </cell>
          <cell r="AG155">
            <v>152</v>
          </cell>
          <cell r="AH155">
            <v>4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45796</v>
          </cell>
          <cell r="AV155">
            <v>3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B155" t="str">
            <v/>
          </cell>
          <cell r="BC155">
            <v>45796</v>
          </cell>
          <cell r="BD155">
            <v>45796</v>
          </cell>
          <cell r="BE155" t="str">
            <v/>
          </cell>
          <cell r="BF155" t="str">
            <v/>
          </cell>
          <cell r="BG155" t="str">
            <v/>
          </cell>
          <cell r="BH155" t="str">
            <v/>
          </cell>
          <cell r="BI155" t="str">
            <v/>
          </cell>
          <cell r="BJ155" t="str">
            <v/>
          </cell>
          <cell r="BK155" t="str">
            <v>25E13-05</v>
          </cell>
          <cell r="BL155" t="str">
            <v>25E13-05</v>
          </cell>
          <cell r="BM155" t="str">
            <v/>
          </cell>
          <cell r="BN155" t="str">
            <v/>
          </cell>
          <cell r="BO155" t="str">
            <v/>
          </cell>
          <cell r="BP155" t="str">
            <v/>
          </cell>
          <cell r="BQ155" t="str">
            <v/>
          </cell>
          <cell r="BR155" t="str">
            <v/>
          </cell>
          <cell r="BS155">
            <v>152</v>
          </cell>
          <cell r="BT155" t="str">
            <v/>
          </cell>
          <cell r="BU155" t="str">
            <v/>
          </cell>
          <cell r="BV155" t="str">
            <v/>
          </cell>
          <cell r="BW155" t="str">
            <v/>
          </cell>
          <cell r="BX155" t="str">
            <v/>
          </cell>
          <cell r="BY155" t="str">
            <v/>
          </cell>
          <cell r="CA155" t="str">
            <v>水野</v>
          </cell>
          <cell r="CB155" t="str">
            <v>高森・上野</v>
          </cell>
          <cell r="CD155" t="str">
            <v>000000000003035</v>
          </cell>
        </row>
        <row r="156">
          <cell r="B156"/>
          <cell r="C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CA156"/>
          <cell r="CB156"/>
        </row>
        <row r="157">
          <cell r="B157"/>
          <cell r="C157">
            <v>300</v>
          </cell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CA157"/>
          <cell r="CB157"/>
        </row>
        <row r="158">
          <cell r="B158"/>
          <cell r="C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CA158"/>
          <cell r="CB158"/>
        </row>
        <row r="159">
          <cell r="B159"/>
          <cell r="C159">
            <v>45796</v>
          </cell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CA159"/>
          <cell r="CB159"/>
        </row>
        <row r="160">
          <cell r="B160"/>
          <cell r="C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CA160"/>
          <cell r="CB160"/>
        </row>
        <row r="161">
          <cell r="B161"/>
          <cell r="C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CA161"/>
          <cell r="CB161"/>
        </row>
        <row r="162">
          <cell r="B162"/>
          <cell r="C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CA162"/>
          <cell r="CB162"/>
        </row>
        <row r="163">
          <cell r="B163" t="str">
            <v>00751576</v>
          </cell>
          <cell r="C163" t="str">
            <v>8FL281304 5010　L=888</v>
          </cell>
          <cell r="P163">
            <v>26</v>
          </cell>
          <cell r="Q163">
            <v>24</v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>
            <v>888.45</v>
          </cell>
          <cell r="X163">
            <v>888.51</v>
          </cell>
          <cell r="Y163" t="str">
            <v/>
          </cell>
          <cell r="Z163" t="str">
            <v/>
          </cell>
          <cell r="AA163" t="str">
            <v/>
          </cell>
          <cell r="AB163" t="str">
            <v/>
          </cell>
          <cell r="AC163" t="str">
            <v/>
          </cell>
          <cell r="AD163">
            <v>600</v>
          </cell>
          <cell r="AE163">
            <v>1</v>
          </cell>
          <cell r="AF163">
            <v>2</v>
          </cell>
          <cell r="AG163">
            <v>301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2</v>
          </cell>
          <cell r="AO163">
            <v>0</v>
          </cell>
          <cell r="AQ163">
            <v>45796</v>
          </cell>
          <cell r="AR163">
            <v>6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B163" t="str">
            <v/>
          </cell>
          <cell r="BC163">
            <v>45796</v>
          </cell>
          <cell r="BD163">
            <v>45796</v>
          </cell>
          <cell r="BE163" t="str">
            <v/>
          </cell>
          <cell r="BF163" t="str">
            <v/>
          </cell>
          <cell r="BG163" t="str">
            <v/>
          </cell>
          <cell r="BH163" t="str">
            <v/>
          </cell>
          <cell r="BI163" t="str">
            <v/>
          </cell>
          <cell r="BJ163" t="str">
            <v/>
          </cell>
          <cell r="BK163" t="str">
            <v>25E13-05</v>
          </cell>
          <cell r="BL163" t="str">
            <v>25E10-04</v>
          </cell>
          <cell r="BM163" t="str">
            <v/>
          </cell>
          <cell r="BN163" t="str">
            <v/>
          </cell>
          <cell r="BO163" t="str">
            <v/>
          </cell>
          <cell r="BP163" t="str">
            <v/>
          </cell>
          <cell r="BQ163" t="str">
            <v/>
          </cell>
          <cell r="BR163" t="str">
            <v/>
          </cell>
          <cell r="BS163">
            <v>206</v>
          </cell>
          <cell r="BT163">
            <v>95</v>
          </cell>
          <cell r="BU163" t="str">
            <v/>
          </cell>
          <cell r="BV163" t="str">
            <v/>
          </cell>
          <cell r="BW163" t="str">
            <v/>
          </cell>
          <cell r="BX163" t="str">
            <v/>
          </cell>
          <cell r="BY163" t="str">
            <v/>
          </cell>
          <cell r="CA163" t="str">
            <v>水野</v>
          </cell>
          <cell r="CB163" t="str">
            <v>高森・上野</v>
          </cell>
          <cell r="CD163" t="str">
            <v>000000000003034</v>
          </cell>
        </row>
        <row r="164">
          <cell r="B164"/>
          <cell r="C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CA164"/>
          <cell r="CB164"/>
        </row>
        <row r="165">
          <cell r="B165"/>
          <cell r="C165">
            <v>600</v>
          </cell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CA165"/>
          <cell r="CB165"/>
        </row>
        <row r="166">
          <cell r="B166"/>
          <cell r="C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CA166"/>
          <cell r="CB166"/>
        </row>
        <row r="167">
          <cell r="B167"/>
          <cell r="C167">
            <v>45796</v>
          </cell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CA167"/>
          <cell r="CB167"/>
        </row>
        <row r="168">
          <cell r="B168"/>
          <cell r="C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CA168"/>
          <cell r="CB168"/>
        </row>
        <row r="169">
          <cell r="B169"/>
          <cell r="C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CA169"/>
          <cell r="CB169"/>
        </row>
        <row r="170">
          <cell r="B170"/>
          <cell r="C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CA170"/>
          <cell r="CB170"/>
        </row>
        <row r="171">
          <cell r="B171" t="str">
            <v>00751575</v>
          </cell>
          <cell r="C171" t="str">
            <v>8FL281304 5010　L=888</v>
          </cell>
          <cell r="P171">
            <v>22</v>
          </cell>
          <cell r="Q171">
            <v>28</v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>
            <v>888.43</v>
          </cell>
          <cell r="X171">
            <v>888.42</v>
          </cell>
          <cell r="Y171" t="str">
            <v/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  <cell r="AD171">
            <v>1300</v>
          </cell>
          <cell r="AE171">
            <v>6</v>
          </cell>
          <cell r="AF171">
            <v>12</v>
          </cell>
          <cell r="AG171">
            <v>656</v>
          </cell>
          <cell r="AH171">
            <v>5</v>
          </cell>
          <cell r="AI171">
            <v>0</v>
          </cell>
          <cell r="AJ171">
            <v>2</v>
          </cell>
          <cell r="AK171">
            <v>0</v>
          </cell>
          <cell r="AL171">
            <v>0</v>
          </cell>
          <cell r="AM171">
            <v>0</v>
          </cell>
          <cell r="AN171">
            <v>5</v>
          </cell>
          <cell r="AO171">
            <v>0</v>
          </cell>
          <cell r="AQ171">
            <v>45796</v>
          </cell>
          <cell r="AR171">
            <v>1</v>
          </cell>
          <cell r="AS171">
            <v>45797</v>
          </cell>
          <cell r="AT171">
            <v>9</v>
          </cell>
          <cell r="AU171">
            <v>45798</v>
          </cell>
          <cell r="AV171">
            <v>3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B171" t="str">
            <v/>
          </cell>
          <cell r="BC171">
            <v>45797</v>
          </cell>
          <cell r="BD171">
            <v>45797</v>
          </cell>
          <cell r="BE171" t="str">
            <v/>
          </cell>
          <cell r="BF171" t="str">
            <v/>
          </cell>
          <cell r="BG171" t="str">
            <v/>
          </cell>
          <cell r="BH171" t="str">
            <v/>
          </cell>
          <cell r="BI171" t="str">
            <v/>
          </cell>
          <cell r="BJ171" t="str">
            <v/>
          </cell>
          <cell r="BK171" t="str">
            <v>25E10-04</v>
          </cell>
          <cell r="BL171" t="str">
            <v>25E14-06</v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>
            <v>225</v>
          </cell>
          <cell r="BT171">
            <v>431</v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CA171" t="str">
            <v>水野</v>
          </cell>
          <cell r="CB171" t="str">
            <v>高森・上野</v>
          </cell>
          <cell r="CD171" t="str">
            <v>000000000003033</v>
          </cell>
        </row>
        <row r="172">
          <cell r="B172"/>
          <cell r="C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CA172"/>
          <cell r="CB172"/>
        </row>
        <row r="173">
          <cell r="B173"/>
          <cell r="C173">
            <v>1300</v>
          </cell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CA173"/>
          <cell r="CB173"/>
        </row>
        <row r="174">
          <cell r="B174"/>
          <cell r="C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CA174"/>
          <cell r="CB174"/>
        </row>
        <row r="175">
          <cell r="B175"/>
          <cell r="C175">
            <v>45798</v>
          </cell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CA175"/>
          <cell r="CB175"/>
        </row>
        <row r="176">
          <cell r="B176"/>
          <cell r="C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CA176"/>
          <cell r="CB176"/>
        </row>
        <row r="177">
          <cell r="B177"/>
          <cell r="C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CA177"/>
          <cell r="CB177"/>
        </row>
        <row r="178">
          <cell r="B178"/>
          <cell r="C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CA178"/>
          <cell r="CB178"/>
        </row>
        <row r="179">
          <cell r="B179" t="str">
            <v>00754611</v>
          </cell>
          <cell r="C179" t="str">
            <v>灯具カバーPC IN 2090　L=840</v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  <cell r="AA179" t="str">
            <v/>
          </cell>
          <cell r="AB179" t="str">
            <v/>
          </cell>
          <cell r="AC179" t="str">
            <v/>
          </cell>
          <cell r="AD179">
            <v>176</v>
          </cell>
          <cell r="AE179">
            <v>21</v>
          </cell>
          <cell r="AF179">
            <v>21</v>
          </cell>
          <cell r="AG179">
            <v>197</v>
          </cell>
          <cell r="AH179">
            <v>19</v>
          </cell>
          <cell r="AI179">
            <v>2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Q179">
            <v>45798</v>
          </cell>
          <cell r="AR179">
            <v>11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B179">
            <v>45733</v>
          </cell>
          <cell r="BC179">
            <v>45798</v>
          </cell>
          <cell r="BD179" t="str">
            <v/>
          </cell>
          <cell r="BE179" t="str">
            <v/>
          </cell>
          <cell r="BF179" t="str">
            <v/>
          </cell>
          <cell r="BG179" t="str">
            <v/>
          </cell>
          <cell r="BH179" t="str">
            <v/>
          </cell>
          <cell r="BI179" t="str">
            <v/>
          </cell>
          <cell r="BJ179" t="str">
            <v>25L12-01</v>
          </cell>
          <cell r="BK179" t="str">
            <v>25E15-01</v>
          </cell>
          <cell r="BL179" t="str">
            <v/>
          </cell>
          <cell r="BM179" t="str">
            <v/>
          </cell>
          <cell r="BN179" t="str">
            <v/>
          </cell>
          <cell r="BO179" t="str">
            <v/>
          </cell>
          <cell r="BP179" t="str">
            <v/>
          </cell>
          <cell r="BQ179" t="str">
            <v/>
          </cell>
          <cell r="BR179">
            <v>11</v>
          </cell>
          <cell r="BS179">
            <v>186</v>
          </cell>
          <cell r="BT179" t="str">
            <v/>
          </cell>
          <cell r="BU179" t="str">
            <v/>
          </cell>
          <cell r="BV179" t="str">
            <v/>
          </cell>
          <cell r="BW179" t="str">
            <v/>
          </cell>
          <cell r="BX179" t="str">
            <v/>
          </cell>
          <cell r="BY179" t="str">
            <v/>
          </cell>
          <cell r="CA179">
            <v>0</v>
          </cell>
          <cell r="CB179" t="str">
            <v>高森</v>
          </cell>
          <cell r="CD179" t="str">
            <v>000000000003338</v>
          </cell>
        </row>
        <row r="180">
          <cell r="B180"/>
          <cell r="C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CA180"/>
          <cell r="CB180"/>
        </row>
        <row r="181">
          <cell r="B181"/>
          <cell r="C181">
            <v>176</v>
          </cell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CA181"/>
          <cell r="CB181"/>
        </row>
        <row r="182">
          <cell r="B182"/>
          <cell r="C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CA182"/>
          <cell r="CB182"/>
        </row>
        <row r="183">
          <cell r="B183"/>
          <cell r="C183">
            <v>45798</v>
          </cell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CA183"/>
          <cell r="CB183"/>
        </row>
        <row r="184">
          <cell r="B184"/>
          <cell r="C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CA184"/>
          <cell r="CB184"/>
        </row>
        <row r="185">
          <cell r="B185"/>
          <cell r="C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CA185"/>
          <cell r="CB185"/>
        </row>
        <row r="186">
          <cell r="B186"/>
          <cell r="C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CA186"/>
          <cell r="CB186"/>
        </row>
        <row r="187">
          <cell r="B187" t="str">
            <v>00754610</v>
          </cell>
          <cell r="C187" t="str">
            <v>灯具カバーPC IN 2140　L=547</v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>
            <v>64</v>
          </cell>
          <cell r="AE187">
            <v>25</v>
          </cell>
          <cell r="AF187">
            <v>25</v>
          </cell>
          <cell r="AG187">
            <v>89</v>
          </cell>
          <cell r="AH187">
            <v>2</v>
          </cell>
          <cell r="AI187">
            <v>23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Q187">
            <v>0</v>
          </cell>
          <cell r="AR187">
            <v>0</v>
          </cell>
          <cell r="AS187">
            <v>45799</v>
          </cell>
          <cell r="AT187">
            <v>4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B187">
            <v>45649</v>
          </cell>
          <cell r="BC187">
            <v>45798</v>
          </cell>
          <cell r="BD187" t="str">
            <v/>
          </cell>
          <cell r="BE187" t="str">
            <v/>
          </cell>
          <cell r="BF187" t="str">
            <v/>
          </cell>
          <cell r="BG187" t="str">
            <v/>
          </cell>
          <cell r="BH187" t="str">
            <v/>
          </cell>
          <cell r="BI187" t="str">
            <v/>
          </cell>
          <cell r="BJ187" t="str">
            <v>24L16-01</v>
          </cell>
          <cell r="BK187" t="str">
            <v>25E16-01</v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>
            <v>7</v>
          </cell>
          <cell r="BS187">
            <v>82</v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CA187">
            <v>0</v>
          </cell>
          <cell r="CB187" t="str">
            <v>高森</v>
          </cell>
          <cell r="CD187" t="str">
            <v>000000000003337</v>
          </cell>
        </row>
        <row r="188">
          <cell r="B188"/>
          <cell r="C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CA188"/>
          <cell r="CB188"/>
        </row>
        <row r="189">
          <cell r="B189"/>
          <cell r="C189">
            <v>64</v>
          </cell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CA189"/>
          <cell r="CB189"/>
        </row>
        <row r="190">
          <cell r="B190"/>
          <cell r="C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CA190"/>
          <cell r="CB190"/>
        </row>
        <row r="191">
          <cell r="B191"/>
          <cell r="C191">
            <v>45799</v>
          </cell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CA191"/>
          <cell r="CB191"/>
        </row>
        <row r="192">
          <cell r="B192"/>
          <cell r="C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CA192"/>
          <cell r="CB192"/>
        </row>
        <row r="193">
          <cell r="B193"/>
          <cell r="C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CA193"/>
          <cell r="CB193"/>
        </row>
        <row r="194">
          <cell r="B194"/>
          <cell r="C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CA194"/>
          <cell r="CB194"/>
        </row>
        <row r="195">
          <cell r="B195" t="str">
            <v>00754609</v>
          </cell>
          <cell r="C195" t="str">
            <v>灯具カバーPC 2200  L=221.8</v>
          </cell>
          <cell r="P195">
            <v>26</v>
          </cell>
          <cell r="Q195">
            <v>26</v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>
            <v>221.85</v>
          </cell>
          <cell r="X195">
            <v>221.83</v>
          </cell>
          <cell r="Y195" t="str">
            <v/>
          </cell>
          <cell r="Z195" t="str">
            <v/>
          </cell>
          <cell r="AA195" t="str">
            <v/>
          </cell>
          <cell r="AB195" t="str">
            <v/>
          </cell>
          <cell r="AC195" t="str">
            <v/>
          </cell>
          <cell r="AD195">
            <v>20</v>
          </cell>
          <cell r="AE195">
            <v>2</v>
          </cell>
          <cell r="AF195">
            <v>4</v>
          </cell>
          <cell r="AG195">
            <v>12</v>
          </cell>
          <cell r="AH195">
            <v>0</v>
          </cell>
          <cell r="AI195">
            <v>4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Q195">
            <v>45798</v>
          </cell>
          <cell r="AR195">
            <v>10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B195" t="str">
            <v/>
          </cell>
          <cell r="BC195">
            <v>45798</v>
          </cell>
          <cell r="BD195">
            <v>45798</v>
          </cell>
          <cell r="BE195" t="str">
            <v/>
          </cell>
          <cell r="BF195" t="str">
            <v/>
          </cell>
          <cell r="BG195" t="str">
            <v/>
          </cell>
          <cell r="BH195" t="str">
            <v/>
          </cell>
          <cell r="BI195" t="str">
            <v/>
          </cell>
          <cell r="BJ195" t="str">
            <v/>
          </cell>
          <cell r="BK195" t="str">
            <v>25E16-01</v>
          </cell>
          <cell r="BL195" t="str">
            <v>25E16-01</v>
          </cell>
          <cell r="BM195" t="str">
            <v/>
          </cell>
          <cell r="BN195" t="str">
            <v/>
          </cell>
          <cell r="BO195" t="str">
            <v/>
          </cell>
          <cell r="BP195" t="str">
            <v/>
          </cell>
          <cell r="BQ195" t="str">
            <v/>
          </cell>
          <cell r="BR195" t="str">
            <v/>
          </cell>
          <cell r="BS195">
            <v>12</v>
          </cell>
          <cell r="BT195" t="str">
            <v/>
          </cell>
          <cell r="BU195" t="str">
            <v/>
          </cell>
          <cell r="BV195" t="str">
            <v/>
          </cell>
          <cell r="BW195" t="str">
            <v/>
          </cell>
          <cell r="BX195" t="str">
            <v/>
          </cell>
          <cell r="BY195" t="str">
            <v/>
          </cell>
          <cell r="CA195" t="str">
            <v>水野</v>
          </cell>
          <cell r="CB195" t="str">
            <v>高森</v>
          </cell>
          <cell r="CD195" t="str">
            <v>000000000003336</v>
          </cell>
        </row>
        <row r="196">
          <cell r="B196"/>
          <cell r="C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CA196"/>
          <cell r="CB196"/>
        </row>
        <row r="197">
          <cell r="B197"/>
          <cell r="C197">
            <v>20</v>
          </cell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CA197"/>
          <cell r="CB197"/>
        </row>
        <row r="198">
          <cell r="B198"/>
          <cell r="C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CA198"/>
          <cell r="CB198"/>
        </row>
        <row r="199">
          <cell r="B199"/>
          <cell r="C199">
            <v>45798</v>
          </cell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CA199"/>
          <cell r="CB199"/>
        </row>
        <row r="200">
          <cell r="B200"/>
          <cell r="C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CA200"/>
          <cell r="CB200"/>
        </row>
        <row r="201">
          <cell r="B201"/>
          <cell r="C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CA201"/>
          <cell r="CB201"/>
        </row>
        <row r="202">
          <cell r="B202"/>
          <cell r="C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CA202"/>
          <cell r="CB202"/>
        </row>
        <row r="203">
          <cell r="B203" t="str">
            <v>00754615</v>
          </cell>
          <cell r="C203" t="str">
            <v>灯具カバーPC IN 2110　L=1815</v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>
            <v>64</v>
          </cell>
          <cell r="AE203">
            <v>63</v>
          </cell>
          <cell r="AF203">
            <v>63</v>
          </cell>
          <cell r="AG203">
            <v>127</v>
          </cell>
          <cell r="AH203">
            <v>18</v>
          </cell>
          <cell r="AI203">
            <v>44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1</v>
          </cell>
          <cell r="AO203">
            <v>0</v>
          </cell>
          <cell r="AQ203">
            <v>0</v>
          </cell>
          <cell r="AR203">
            <v>0</v>
          </cell>
          <cell r="AS203">
            <v>45799</v>
          </cell>
          <cell r="AT203">
            <v>4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B203">
            <v>45771</v>
          </cell>
          <cell r="BC203">
            <v>45799</v>
          </cell>
          <cell r="BD203" t="str">
            <v/>
          </cell>
          <cell r="BE203" t="str">
            <v/>
          </cell>
          <cell r="BF203" t="str">
            <v/>
          </cell>
          <cell r="BG203" t="str">
            <v/>
          </cell>
          <cell r="BH203" t="str">
            <v/>
          </cell>
          <cell r="BI203" t="str">
            <v/>
          </cell>
          <cell r="BJ203" t="str">
            <v>25D11-01</v>
          </cell>
          <cell r="BK203" t="str">
            <v>25E16-01</v>
          </cell>
          <cell r="BL203" t="str">
            <v/>
          </cell>
          <cell r="BM203" t="str">
            <v/>
          </cell>
          <cell r="BN203" t="str">
            <v/>
          </cell>
          <cell r="BO203" t="str">
            <v/>
          </cell>
          <cell r="BP203" t="str">
            <v/>
          </cell>
          <cell r="BQ203" t="str">
            <v/>
          </cell>
          <cell r="BR203">
            <v>1</v>
          </cell>
          <cell r="BS203">
            <v>126</v>
          </cell>
          <cell r="BT203" t="str">
            <v/>
          </cell>
          <cell r="BU203" t="str">
            <v/>
          </cell>
          <cell r="BV203" t="str">
            <v/>
          </cell>
          <cell r="BW203" t="str">
            <v/>
          </cell>
          <cell r="BX203" t="str">
            <v/>
          </cell>
          <cell r="BY203" t="str">
            <v/>
          </cell>
          <cell r="CA203">
            <v>0</v>
          </cell>
          <cell r="CB203">
            <v>0</v>
          </cell>
          <cell r="CD203" t="str">
            <v>000000000003342-1</v>
          </cell>
        </row>
        <row r="204">
          <cell r="B204"/>
          <cell r="C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CA204"/>
          <cell r="CB204"/>
        </row>
        <row r="205">
          <cell r="B205"/>
          <cell r="C205">
            <v>64</v>
          </cell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CA205"/>
          <cell r="CB205"/>
        </row>
        <row r="206">
          <cell r="B206"/>
          <cell r="C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CA206"/>
          <cell r="CB206"/>
        </row>
        <row r="207">
          <cell r="B207"/>
          <cell r="C207">
            <v>45799</v>
          </cell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CA207"/>
          <cell r="CB207"/>
        </row>
        <row r="208">
          <cell r="B208"/>
          <cell r="C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CA208"/>
          <cell r="CB208"/>
        </row>
        <row r="209">
          <cell r="B209"/>
          <cell r="C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CA209"/>
          <cell r="CB209"/>
        </row>
        <row r="210">
          <cell r="B210"/>
          <cell r="C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CA210"/>
          <cell r="CB210"/>
        </row>
        <row r="211">
          <cell r="B211" t="str">
            <v>00749886</v>
          </cell>
          <cell r="C211" t="str">
            <v>PK-59827 L=700</v>
          </cell>
          <cell r="P211">
            <v>21</v>
          </cell>
          <cell r="Q211">
            <v>21</v>
          </cell>
          <cell r="R211">
            <v>21</v>
          </cell>
          <cell r="S211">
            <v>21</v>
          </cell>
          <cell r="T211">
            <v>21</v>
          </cell>
          <cell r="U211">
            <v>21</v>
          </cell>
          <cell r="V211">
            <v>21</v>
          </cell>
          <cell r="W211">
            <v>699.12</v>
          </cell>
          <cell r="X211">
            <v>699.14</v>
          </cell>
          <cell r="Y211">
            <v>699.85</v>
          </cell>
          <cell r="Z211">
            <v>700.19</v>
          </cell>
          <cell r="AA211">
            <v>699.85</v>
          </cell>
          <cell r="AB211">
            <v>699.83</v>
          </cell>
          <cell r="AC211">
            <v>699.89</v>
          </cell>
          <cell r="AD211">
            <v>1020</v>
          </cell>
          <cell r="AE211">
            <v>47</v>
          </cell>
          <cell r="AF211">
            <v>93</v>
          </cell>
          <cell r="AG211">
            <v>557</v>
          </cell>
          <cell r="AH211">
            <v>45</v>
          </cell>
          <cell r="AI211">
            <v>4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43</v>
          </cell>
          <cell r="AO211">
            <v>0</v>
          </cell>
          <cell r="AQ211">
            <v>45800</v>
          </cell>
          <cell r="AR211">
            <v>15</v>
          </cell>
          <cell r="AS211">
            <v>45803</v>
          </cell>
          <cell r="AT211">
            <v>12</v>
          </cell>
          <cell r="AU211">
            <v>45804</v>
          </cell>
          <cell r="AV211">
            <v>3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B211" t="str">
            <v/>
          </cell>
          <cell r="BC211">
            <v>45799</v>
          </cell>
          <cell r="BD211">
            <v>45799</v>
          </cell>
          <cell r="BE211">
            <v>45800</v>
          </cell>
          <cell r="BF211">
            <v>45800</v>
          </cell>
          <cell r="BG211">
            <v>45800</v>
          </cell>
          <cell r="BH211">
            <v>45800</v>
          </cell>
          <cell r="BI211">
            <v>45800</v>
          </cell>
          <cell r="BJ211" t="str">
            <v/>
          </cell>
          <cell r="BK211" t="str">
            <v>25E1902</v>
          </cell>
          <cell r="BL211" t="str">
            <v>25E1902</v>
          </cell>
          <cell r="BM211" t="str">
            <v>25E1902</v>
          </cell>
          <cell r="BN211" t="str">
            <v>25E1902</v>
          </cell>
          <cell r="BO211" t="str">
            <v>25E1601</v>
          </cell>
          <cell r="BP211" t="str">
            <v>25E1601</v>
          </cell>
          <cell r="BQ211" t="str">
            <v>25E1601</v>
          </cell>
          <cell r="BR211" t="str">
            <v/>
          </cell>
          <cell r="BS211">
            <v>208</v>
          </cell>
          <cell r="BT211" t="str">
            <v/>
          </cell>
          <cell r="BU211" t="str">
            <v/>
          </cell>
          <cell r="BV211" t="str">
            <v/>
          </cell>
          <cell r="BW211">
            <v>350</v>
          </cell>
          <cell r="BX211" t="str">
            <v/>
          </cell>
          <cell r="BY211" t="str">
            <v/>
          </cell>
          <cell r="CA211" t="str">
            <v>水野</v>
          </cell>
          <cell r="CB211" t="str">
            <v>高森・上野</v>
          </cell>
          <cell r="CD211" t="str">
            <v>000000000002882</v>
          </cell>
        </row>
        <row r="212">
          <cell r="B212"/>
          <cell r="C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CA212"/>
          <cell r="CB212"/>
        </row>
        <row r="213">
          <cell r="B213"/>
          <cell r="C213">
            <v>1020</v>
          </cell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CA213"/>
          <cell r="CB213"/>
        </row>
        <row r="214">
          <cell r="B214"/>
          <cell r="C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CA214"/>
          <cell r="CB214"/>
        </row>
        <row r="215">
          <cell r="B215"/>
          <cell r="C215">
            <v>45804</v>
          </cell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CA215"/>
          <cell r="CB215"/>
        </row>
        <row r="216">
          <cell r="B216"/>
          <cell r="C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CA216"/>
          <cell r="CB216"/>
        </row>
        <row r="217">
          <cell r="B217"/>
          <cell r="C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CA217"/>
          <cell r="CB217"/>
        </row>
        <row r="218">
          <cell r="B218"/>
          <cell r="C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CA218"/>
          <cell r="CB218"/>
        </row>
        <row r="219">
          <cell r="B219" t="str">
            <v>00755781</v>
          </cell>
          <cell r="C219" t="str">
            <v>PK-59827 L=700</v>
          </cell>
          <cell r="P219">
            <v>19</v>
          </cell>
          <cell r="Q219">
            <v>19</v>
          </cell>
          <cell r="R219">
            <v>21</v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>
            <v>699.9</v>
          </cell>
          <cell r="X219">
            <v>699.83</v>
          </cell>
          <cell r="Y219">
            <v>699.88</v>
          </cell>
          <cell r="Z219" t="str">
            <v/>
          </cell>
          <cell r="AA219" t="str">
            <v/>
          </cell>
          <cell r="AB219" t="str">
            <v/>
          </cell>
          <cell r="AC219" t="str">
            <v/>
          </cell>
          <cell r="AD219">
            <v>68</v>
          </cell>
          <cell r="AE219">
            <v>6</v>
          </cell>
          <cell r="AF219">
            <v>11</v>
          </cell>
          <cell r="AG219">
            <v>40</v>
          </cell>
          <cell r="AH219">
            <v>5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6</v>
          </cell>
          <cell r="AO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45804</v>
          </cell>
          <cell r="AV219">
            <v>2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B219" t="str">
            <v/>
          </cell>
          <cell r="BC219">
            <v>45803</v>
          </cell>
          <cell r="BD219">
            <v>45803</v>
          </cell>
          <cell r="BE219">
            <v>45803</v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>25E1601</v>
          </cell>
          <cell r="BL219" t="str">
            <v>25E1601</v>
          </cell>
          <cell r="BM219" t="str">
            <v>25E1601</v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>
            <v>40</v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 t="str">
            <v/>
          </cell>
          <cell r="BY219" t="str">
            <v/>
          </cell>
          <cell r="CA219" t="str">
            <v>水野</v>
          </cell>
          <cell r="CB219" t="str">
            <v>高森・上野</v>
          </cell>
          <cell r="CD219" t="str">
            <v>000000000003449</v>
          </cell>
        </row>
        <row r="220">
          <cell r="B220"/>
          <cell r="C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CA220"/>
          <cell r="CB220"/>
        </row>
        <row r="221">
          <cell r="B221"/>
          <cell r="C221">
            <v>68</v>
          </cell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CA221"/>
          <cell r="CB221"/>
        </row>
        <row r="222">
          <cell r="B222"/>
          <cell r="C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CA222"/>
          <cell r="CB222"/>
        </row>
        <row r="223">
          <cell r="B223"/>
          <cell r="C223">
            <v>45804</v>
          </cell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CA223"/>
          <cell r="CB223"/>
        </row>
        <row r="224">
          <cell r="B224"/>
          <cell r="C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CA224"/>
          <cell r="CB224"/>
        </row>
        <row r="225">
          <cell r="B225"/>
          <cell r="C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CA225"/>
          <cell r="CB225"/>
        </row>
        <row r="226">
          <cell r="B226"/>
          <cell r="C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CA226"/>
          <cell r="CB226"/>
        </row>
        <row r="227">
          <cell r="B227" t="str">
            <v>00754615</v>
          </cell>
          <cell r="C227" t="str">
            <v>灯具カバーPC IN 2110　L=1815</v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  <cell r="AA227" t="str">
            <v/>
          </cell>
          <cell r="AB227" t="str">
            <v/>
          </cell>
          <cell r="AC227" t="str">
            <v/>
          </cell>
          <cell r="AD227">
            <v>208</v>
          </cell>
          <cell r="AE227">
            <v>65</v>
          </cell>
          <cell r="AF227">
            <v>65</v>
          </cell>
          <cell r="AG227">
            <v>273</v>
          </cell>
          <cell r="AH227">
            <v>18</v>
          </cell>
          <cell r="AI227">
            <v>47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Q227">
            <v>45804</v>
          </cell>
          <cell r="AR227">
            <v>7</v>
          </cell>
          <cell r="AS227">
            <v>45805</v>
          </cell>
          <cell r="AT227">
            <v>6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B227" t="str">
            <v/>
          </cell>
          <cell r="BC227">
            <v>45804</v>
          </cell>
          <cell r="BD227">
            <v>45804</v>
          </cell>
          <cell r="BE227" t="str">
            <v/>
          </cell>
          <cell r="BF227" t="str">
            <v/>
          </cell>
          <cell r="BG227" t="str">
            <v/>
          </cell>
          <cell r="BH227" t="str">
            <v/>
          </cell>
          <cell r="BI227" t="str">
            <v/>
          </cell>
          <cell r="BJ227" t="str">
            <v/>
          </cell>
          <cell r="BK227" t="str">
            <v>25E16-01</v>
          </cell>
          <cell r="BL227" t="str">
            <v>25E16-02</v>
          </cell>
          <cell r="BM227" t="str">
            <v/>
          </cell>
          <cell r="BN227" t="str">
            <v/>
          </cell>
          <cell r="BO227" t="str">
            <v/>
          </cell>
          <cell r="BP227" t="str">
            <v/>
          </cell>
          <cell r="BQ227" t="str">
            <v/>
          </cell>
          <cell r="BR227" t="str">
            <v/>
          </cell>
          <cell r="BS227">
            <v>74</v>
          </cell>
          <cell r="BT227">
            <v>199</v>
          </cell>
          <cell r="BU227" t="str">
            <v/>
          </cell>
          <cell r="BV227" t="str">
            <v/>
          </cell>
          <cell r="BW227" t="str">
            <v/>
          </cell>
          <cell r="BX227" t="str">
            <v/>
          </cell>
          <cell r="BY227" t="str">
            <v/>
          </cell>
          <cell r="CA227" t="str">
            <v>-</v>
          </cell>
          <cell r="CB227" t="str">
            <v>高森・水野</v>
          </cell>
          <cell r="CD227" t="str">
            <v>000000000003342-2</v>
          </cell>
        </row>
        <row r="228">
          <cell r="B228"/>
          <cell r="C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CA228"/>
          <cell r="CB228"/>
        </row>
        <row r="229">
          <cell r="B229"/>
          <cell r="C229">
            <v>208</v>
          </cell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CA229"/>
          <cell r="CB229"/>
        </row>
        <row r="230">
          <cell r="B230"/>
          <cell r="C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CA230"/>
          <cell r="CB230"/>
        </row>
        <row r="231">
          <cell r="B231"/>
          <cell r="C231">
            <v>45805</v>
          </cell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CA231"/>
          <cell r="CB231"/>
        </row>
        <row r="232">
          <cell r="B232"/>
          <cell r="C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CA232"/>
          <cell r="CB232"/>
        </row>
        <row r="233">
          <cell r="B233"/>
          <cell r="C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CA233"/>
          <cell r="CB233"/>
        </row>
        <row r="234">
          <cell r="B234"/>
          <cell r="C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CA234"/>
          <cell r="CB234"/>
        </row>
        <row r="235">
          <cell r="B235" t="str">
            <v>00754614</v>
          </cell>
          <cell r="C235" t="str">
            <v>灯具カバーPC IN 2080　L=1540</v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  <cell r="AA235" t="str">
            <v/>
          </cell>
          <cell r="AB235" t="str">
            <v/>
          </cell>
          <cell r="AC235" t="str">
            <v/>
          </cell>
          <cell r="AD235">
            <v>96</v>
          </cell>
          <cell r="AE235">
            <v>15</v>
          </cell>
          <cell r="AF235">
            <v>15</v>
          </cell>
          <cell r="AG235">
            <v>111</v>
          </cell>
          <cell r="AH235">
            <v>11</v>
          </cell>
          <cell r="AI235">
            <v>3</v>
          </cell>
          <cell r="AJ235">
            <v>1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Q235">
            <v>0</v>
          </cell>
          <cell r="AR235">
            <v>0</v>
          </cell>
          <cell r="AS235">
            <v>45805</v>
          </cell>
          <cell r="AT235">
            <v>6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B235">
            <v>45769</v>
          </cell>
          <cell r="BC235">
            <v>45805</v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>25D10-01</v>
          </cell>
          <cell r="BK235" t="str">
            <v>25E21-01</v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>
            <v>11</v>
          </cell>
          <cell r="BS235">
            <v>100</v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CA235" t="str">
            <v>-</v>
          </cell>
          <cell r="CB235" t="str">
            <v>高森・水野</v>
          </cell>
          <cell r="CD235" t="str">
            <v>000000000003341</v>
          </cell>
        </row>
        <row r="236">
          <cell r="B236"/>
          <cell r="C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CA236"/>
          <cell r="CB236"/>
        </row>
        <row r="237">
          <cell r="B237"/>
          <cell r="C237">
            <v>96</v>
          </cell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CA237"/>
          <cell r="CB237"/>
        </row>
        <row r="238">
          <cell r="B238"/>
          <cell r="C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CA238"/>
          <cell r="CB238"/>
        </row>
        <row r="239">
          <cell r="B239"/>
          <cell r="C239">
            <v>45805</v>
          </cell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CA239"/>
          <cell r="CB239"/>
        </row>
        <row r="240">
          <cell r="B240"/>
          <cell r="C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CA240"/>
          <cell r="CB240"/>
        </row>
        <row r="241">
          <cell r="B241"/>
          <cell r="C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CA241"/>
          <cell r="CB241"/>
        </row>
        <row r="242">
          <cell r="B242"/>
          <cell r="C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CA242"/>
          <cell r="CB242"/>
        </row>
        <row r="243">
          <cell r="B243" t="str">
            <v>00754616</v>
          </cell>
          <cell r="C243" t="str">
            <v>灯具カバーPC IN 2070　L=1966</v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  <cell r="AA243" t="str">
            <v/>
          </cell>
          <cell r="AB243" t="str">
            <v/>
          </cell>
          <cell r="AC243" t="str">
            <v/>
          </cell>
          <cell r="AD243">
            <v>160</v>
          </cell>
          <cell r="AE243">
            <v>29</v>
          </cell>
          <cell r="AF243">
            <v>29</v>
          </cell>
          <cell r="AG243">
            <v>189</v>
          </cell>
          <cell r="AH243">
            <v>3</v>
          </cell>
          <cell r="AI243">
            <v>24</v>
          </cell>
          <cell r="AJ243">
            <v>2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Q243">
            <v>45805</v>
          </cell>
          <cell r="AR243">
            <v>2</v>
          </cell>
          <cell r="AS243">
            <v>45806</v>
          </cell>
          <cell r="AT243">
            <v>8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B243" t="str">
            <v/>
          </cell>
          <cell r="BC243">
            <v>45805</v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>25E20-01</v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>
            <v>189</v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CA243">
            <v>0</v>
          </cell>
          <cell r="CB243" t="str">
            <v>高森</v>
          </cell>
          <cell r="CD243" t="str">
            <v>000000000003343</v>
          </cell>
        </row>
        <row r="244">
          <cell r="B244"/>
          <cell r="C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CA244"/>
          <cell r="CB244"/>
        </row>
        <row r="245">
          <cell r="B245"/>
          <cell r="C245">
            <v>160</v>
          </cell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CA245"/>
          <cell r="CB245"/>
        </row>
        <row r="246">
          <cell r="B246"/>
          <cell r="C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CA246"/>
          <cell r="CB246"/>
        </row>
        <row r="247">
          <cell r="B247"/>
          <cell r="C247">
            <v>45806</v>
          </cell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CA247"/>
          <cell r="CB247"/>
        </row>
        <row r="248">
          <cell r="B248"/>
          <cell r="C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CA248"/>
          <cell r="CB248"/>
        </row>
        <row r="249">
          <cell r="B249"/>
          <cell r="C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CA249"/>
          <cell r="CB249"/>
        </row>
        <row r="250">
          <cell r="B250"/>
          <cell r="C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CA250"/>
          <cell r="CB250"/>
        </row>
        <row r="251">
          <cell r="B251" t="str">
            <v>00754612</v>
          </cell>
          <cell r="C251" t="str">
            <v>灯具カバーPC IN 2130　L=908</v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  <cell r="AA251" t="str">
            <v/>
          </cell>
          <cell r="AB251" t="str">
            <v/>
          </cell>
          <cell r="AC251" t="str">
            <v/>
          </cell>
          <cell r="AD251">
            <v>32</v>
          </cell>
          <cell r="AE251">
            <v>0</v>
          </cell>
          <cell r="AF251">
            <v>0</v>
          </cell>
          <cell r="AG251">
            <v>32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B251" t="str">
            <v/>
          </cell>
          <cell r="BC251" t="str">
            <v/>
          </cell>
          <cell r="BD251" t="str">
            <v/>
          </cell>
          <cell r="BE251" t="str">
            <v/>
          </cell>
          <cell r="BF251" t="str">
            <v/>
          </cell>
          <cell r="BG251" t="str">
            <v/>
          </cell>
          <cell r="BH251" t="str">
            <v/>
          </cell>
          <cell r="BI251" t="str">
            <v/>
          </cell>
          <cell r="BJ251" t="str">
            <v/>
          </cell>
          <cell r="BK251" t="str">
            <v/>
          </cell>
          <cell r="BL251" t="str">
            <v/>
          </cell>
          <cell r="BM251" t="str">
            <v/>
          </cell>
          <cell r="BN251" t="str">
            <v/>
          </cell>
          <cell r="BO251" t="str">
            <v/>
          </cell>
          <cell r="BP251" t="str">
            <v/>
          </cell>
          <cell r="BQ251" t="str">
            <v/>
          </cell>
          <cell r="BR251" t="str">
            <v/>
          </cell>
          <cell r="BS251" t="str">
            <v/>
          </cell>
          <cell r="BT251" t="str">
            <v/>
          </cell>
          <cell r="BU251" t="str">
            <v/>
          </cell>
          <cell r="BV251" t="str">
            <v/>
          </cell>
          <cell r="BW251" t="str">
            <v/>
          </cell>
          <cell r="BX251" t="str">
            <v/>
          </cell>
          <cell r="BY251" t="str">
            <v/>
          </cell>
          <cell r="CA251">
            <v>0</v>
          </cell>
          <cell r="CB251">
            <v>0</v>
          </cell>
          <cell r="CD251" t="str">
            <v>000000000003339</v>
          </cell>
        </row>
        <row r="252">
          <cell r="B252"/>
          <cell r="C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CA252"/>
          <cell r="CB252"/>
        </row>
        <row r="253">
          <cell r="B253"/>
          <cell r="C253">
            <v>32</v>
          </cell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CA253"/>
          <cell r="CB253"/>
        </row>
        <row r="254">
          <cell r="B254"/>
          <cell r="C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CA254"/>
          <cell r="CB254"/>
        </row>
        <row r="255">
          <cell r="B255"/>
          <cell r="C255">
            <v>0</v>
          </cell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CA255"/>
          <cell r="CB255"/>
        </row>
        <row r="256">
          <cell r="B256"/>
          <cell r="C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CA256"/>
          <cell r="CB256"/>
        </row>
        <row r="257">
          <cell r="B257"/>
          <cell r="C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CA257"/>
          <cell r="CB257"/>
        </row>
        <row r="258">
          <cell r="B258"/>
          <cell r="C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CA258"/>
          <cell r="CB258"/>
        </row>
        <row r="259">
          <cell r="B259" t="str">
            <v>00754613</v>
          </cell>
          <cell r="C259" t="str">
            <v>灯具カバーPC IN 2050　L=1183.5</v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  <cell r="AA259" t="str">
            <v/>
          </cell>
          <cell r="AB259" t="str">
            <v/>
          </cell>
          <cell r="AC259" t="str">
            <v/>
          </cell>
          <cell r="AD259"/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CA259">
            <v>0</v>
          </cell>
          <cell r="CB259">
            <v>0</v>
          </cell>
          <cell r="CD259" t="str">
            <v>000000000003340</v>
          </cell>
        </row>
        <row r="260">
          <cell r="B260"/>
          <cell r="C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CA260"/>
          <cell r="CB260"/>
        </row>
        <row r="261">
          <cell r="B261"/>
          <cell r="C261">
            <v>0</v>
          </cell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CA261"/>
          <cell r="CB261"/>
        </row>
        <row r="262">
          <cell r="B262"/>
          <cell r="C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CA262"/>
          <cell r="CB262"/>
        </row>
        <row r="263">
          <cell r="B263"/>
          <cell r="C263">
            <v>0</v>
          </cell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CA263"/>
          <cell r="CB263"/>
        </row>
        <row r="264">
          <cell r="B264"/>
          <cell r="C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CA264"/>
          <cell r="CB264"/>
        </row>
        <row r="265">
          <cell r="B265"/>
          <cell r="C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CA265"/>
          <cell r="CB265"/>
        </row>
        <row r="266">
          <cell r="B266"/>
          <cell r="C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CA266"/>
          <cell r="CB266"/>
        </row>
        <row r="267">
          <cell r="B267" t="str">
            <v>00758074</v>
          </cell>
          <cell r="C267" t="str">
            <v>特注　灯具カバーPC　L=503</v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  <cell r="AA267" t="str">
            <v/>
          </cell>
          <cell r="AB267" t="str">
            <v/>
          </cell>
          <cell r="AC267" t="str">
            <v/>
          </cell>
          <cell r="AD267">
            <v>10</v>
          </cell>
          <cell r="AE267" t="str">
            <v/>
          </cell>
          <cell r="AF267">
            <v>0</v>
          </cell>
          <cell r="AG267" t="str">
            <v/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B267" t="str">
            <v/>
          </cell>
          <cell r="BC267" t="str">
            <v/>
          </cell>
          <cell r="BD267" t="str">
            <v/>
          </cell>
          <cell r="BE267" t="str">
            <v/>
          </cell>
          <cell r="BF267" t="str">
            <v/>
          </cell>
          <cell r="BG267" t="str">
            <v/>
          </cell>
          <cell r="BH267" t="str">
            <v/>
          </cell>
          <cell r="BI267" t="str">
            <v/>
          </cell>
          <cell r="BJ267" t="str">
            <v/>
          </cell>
          <cell r="BK267" t="str">
            <v/>
          </cell>
          <cell r="BL267" t="str">
            <v/>
          </cell>
          <cell r="BM267" t="str">
            <v/>
          </cell>
          <cell r="BN267" t="str">
            <v/>
          </cell>
          <cell r="BO267" t="str">
            <v/>
          </cell>
          <cell r="BP267" t="str">
            <v/>
          </cell>
          <cell r="BQ267" t="str">
            <v/>
          </cell>
          <cell r="BR267" t="str">
            <v/>
          </cell>
          <cell r="BS267" t="str">
            <v/>
          </cell>
          <cell r="BT267" t="str">
            <v/>
          </cell>
          <cell r="BU267" t="str">
            <v/>
          </cell>
          <cell r="BV267" t="str">
            <v/>
          </cell>
          <cell r="BW267" t="str">
            <v/>
          </cell>
          <cell r="BX267" t="str">
            <v/>
          </cell>
          <cell r="BY267" t="str">
            <v/>
          </cell>
          <cell r="CA267">
            <v>0</v>
          </cell>
          <cell r="CB267">
            <v>0</v>
          </cell>
          <cell r="CD267" t="str">
            <v>Z002</v>
          </cell>
        </row>
        <row r="268">
          <cell r="B268"/>
          <cell r="C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CA268"/>
          <cell r="CB268"/>
        </row>
        <row r="269">
          <cell r="B269"/>
          <cell r="C269">
            <v>10</v>
          </cell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CA269"/>
          <cell r="CB269"/>
        </row>
        <row r="270">
          <cell r="B270"/>
          <cell r="C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CA270"/>
          <cell r="CB270"/>
        </row>
        <row r="271">
          <cell r="B271"/>
          <cell r="C271">
            <v>0</v>
          </cell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CA271"/>
          <cell r="CB271"/>
        </row>
        <row r="272">
          <cell r="B272"/>
          <cell r="C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CA272"/>
          <cell r="CB272"/>
        </row>
        <row r="273">
          <cell r="B273"/>
          <cell r="C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CA273"/>
          <cell r="CB273"/>
        </row>
        <row r="274">
          <cell r="B274"/>
          <cell r="C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CA274"/>
          <cell r="CB274"/>
        </row>
        <row r="275">
          <cell r="B275" t="str">
            <v>00758073</v>
          </cell>
          <cell r="C275" t="str">
            <v>特注　灯具カバーPC　L=669</v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  <cell r="AA275" t="str">
            <v/>
          </cell>
          <cell r="AB275" t="str">
            <v/>
          </cell>
          <cell r="AC275" t="str">
            <v/>
          </cell>
          <cell r="AD275">
            <v>10</v>
          </cell>
          <cell r="AE275" t="str">
            <v/>
          </cell>
          <cell r="AF275">
            <v>0</v>
          </cell>
          <cell r="AG275" t="str">
            <v/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B275" t="str">
            <v/>
          </cell>
          <cell r="BC275" t="str">
            <v/>
          </cell>
          <cell r="BD275" t="str">
            <v/>
          </cell>
          <cell r="BE275" t="str">
            <v/>
          </cell>
          <cell r="BF275" t="str">
            <v/>
          </cell>
          <cell r="BG275" t="str">
            <v/>
          </cell>
          <cell r="BH275" t="str">
            <v/>
          </cell>
          <cell r="BI275" t="str">
            <v/>
          </cell>
          <cell r="BJ275" t="str">
            <v/>
          </cell>
          <cell r="BK275" t="str">
            <v/>
          </cell>
          <cell r="BL275" t="str">
            <v/>
          </cell>
          <cell r="BM275" t="str">
            <v/>
          </cell>
          <cell r="BN275" t="str">
            <v/>
          </cell>
          <cell r="BO275" t="str">
            <v/>
          </cell>
          <cell r="BP275" t="str">
            <v/>
          </cell>
          <cell r="BQ275" t="str">
            <v/>
          </cell>
          <cell r="BR275" t="str">
            <v/>
          </cell>
          <cell r="BS275" t="str">
            <v/>
          </cell>
          <cell r="BT275" t="str">
            <v/>
          </cell>
          <cell r="BU275" t="str">
            <v/>
          </cell>
          <cell r="BV275" t="str">
            <v/>
          </cell>
          <cell r="BW275" t="str">
            <v/>
          </cell>
          <cell r="BX275" t="str">
            <v/>
          </cell>
          <cell r="BY275" t="str">
            <v/>
          </cell>
          <cell r="CA275">
            <v>0</v>
          </cell>
          <cell r="CB275">
            <v>0</v>
          </cell>
          <cell r="CD275" t="str">
            <v>Z001</v>
          </cell>
        </row>
        <row r="276">
          <cell r="B276"/>
          <cell r="C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CA276"/>
          <cell r="CB276"/>
        </row>
        <row r="277">
          <cell r="B277"/>
          <cell r="C277">
            <v>10</v>
          </cell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CA277"/>
          <cell r="CB277"/>
        </row>
        <row r="278">
          <cell r="B278"/>
          <cell r="C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CA278"/>
          <cell r="CB278"/>
        </row>
        <row r="279">
          <cell r="B279"/>
          <cell r="C279">
            <v>0</v>
          </cell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CA279"/>
          <cell r="CB279"/>
        </row>
        <row r="280">
          <cell r="B280"/>
          <cell r="C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CA280"/>
          <cell r="CB280"/>
        </row>
        <row r="281">
          <cell r="B281"/>
          <cell r="C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CA281"/>
          <cell r="CB281"/>
        </row>
        <row r="282">
          <cell r="B282"/>
          <cell r="C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CA282"/>
          <cell r="CB282"/>
        </row>
        <row r="283">
          <cell r="B283" t="str">
            <v>00757225</v>
          </cell>
          <cell r="C283" t="str">
            <v>001EGAW　715</v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  <cell r="AA283" t="str">
            <v/>
          </cell>
          <cell r="AB283" t="str">
            <v/>
          </cell>
          <cell r="AC283" t="str">
            <v/>
          </cell>
          <cell r="AD283"/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B283" t="str">
            <v/>
          </cell>
          <cell r="BC283" t="str">
            <v/>
          </cell>
          <cell r="BD283" t="str">
            <v/>
          </cell>
          <cell r="BE283" t="str">
            <v/>
          </cell>
          <cell r="BF283" t="str">
            <v/>
          </cell>
          <cell r="BG283" t="str">
            <v/>
          </cell>
          <cell r="BH283" t="str">
            <v/>
          </cell>
          <cell r="BI283" t="str">
            <v/>
          </cell>
          <cell r="BJ283" t="str">
            <v/>
          </cell>
          <cell r="BK283" t="str">
            <v/>
          </cell>
          <cell r="BL283" t="str">
            <v/>
          </cell>
          <cell r="BM283" t="str">
            <v/>
          </cell>
          <cell r="BN283" t="str">
            <v/>
          </cell>
          <cell r="BO283" t="str">
            <v/>
          </cell>
          <cell r="BP283" t="str">
            <v/>
          </cell>
          <cell r="BQ283" t="str">
            <v/>
          </cell>
          <cell r="BR283" t="str">
            <v/>
          </cell>
          <cell r="BS283" t="str">
            <v/>
          </cell>
          <cell r="BT283" t="str">
            <v/>
          </cell>
          <cell r="BU283" t="str">
            <v/>
          </cell>
          <cell r="BV283" t="str">
            <v/>
          </cell>
          <cell r="BW283" t="str">
            <v/>
          </cell>
          <cell r="BX283" t="str">
            <v/>
          </cell>
          <cell r="BY283" t="str">
            <v/>
          </cell>
          <cell r="CA283">
            <v>0</v>
          </cell>
          <cell r="CB283">
            <v>0</v>
          </cell>
          <cell r="CD283" t="str">
            <v>000000000003627</v>
          </cell>
        </row>
        <row r="284">
          <cell r="B284"/>
          <cell r="C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CA284"/>
          <cell r="CB284"/>
        </row>
        <row r="285">
          <cell r="B285"/>
          <cell r="C285">
            <v>0</v>
          </cell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CA285"/>
          <cell r="CB285"/>
        </row>
        <row r="286">
          <cell r="B286"/>
          <cell r="C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CA286"/>
          <cell r="CB286"/>
        </row>
        <row r="287">
          <cell r="B287"/>
          <cell r="C287">
            <v>0</v>
          </cell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CA287"/>
          <cell r="CB287"/>
        </row>
        <row r="288">
          <cell r="B288"/>
          <cell r="C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CA288"/>
          <cell r="CB288"/>
        </row>
        <row r="289">
          <cell r="B289"/>
          <cell r="C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CA289"/>
          <cell r="CB289"/>
        </row>
        <row r="290">
          <cell r="B290"/>
          <cell r="C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CA290"/>
          <cell r="CB290"/>
        </row>
        <row r="291">
          <cell r="B291" t="str">
            <v>00757224</v>
          </cell>
          <cell r="C291" t="str">
            <v>001EGAW　665</v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/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B291" t="str">
            <v/>
          </cell>
          <cell r="BC291" t="str">
            <v/>
          </cell>
          <cell r="BD291" t="str">
            <v/>
          </cell>
          <cell r="BE291" t="str">
            <v/>
          </cell>
          <cell r="BF291" t="str">
            <v/>
          </cell>
          <cell r="BG291" t="str">
            <v/>
          </cell>
          <cell r="BH291" t="str">
            <v/>
          </cell>
          <cell r="BI291" t="str">
            <v/>
          </cell>
          <cell r="BJ291" t="str">
            <v/>
          </cell>
          <cell r="BK291" t="str">
            <v/>
          </cell>
          <cell r="BL291" t="str">
            <v/>
          </cell>
          <cell r="BM291" t="str">
            <v/>
          </cell>
          <cell r="BN291" t="str">
            <v/>
          </cell>
          <cell r="BO291" t="str">
            <v/>
          </cell>
          <cell r="BP291" t="str">
            <v/>
          </cell>
          <cell r="BQ291" t="str">
            <v/>
          </cell>
          <cell r="BR291" t="str">
            <v/>
          </cell>
          <cell r="BS291" t="str">
            <v/>
          </cell>
          <cell r="BT291" t="str">
            <v/>
          </cell>
          <cell r="BU291" t="str">
            <v/>
          </cell>
          <cell r="BV291" t="str">
            <v/>
          </cell>
          <cell r="BW291" t="str">
            <v/>
          </cell>
          <cell r="BX291" t="str">
            <v/>
          </cell>
          <cell r="BY291" t="str">
            <v/>
          </cell>
          <cell r="CA291">
            <v>0</v>
          </cell>
          <cell r="CB291">
            <v>0</v>
          </cell>
          <cell r="CD291" t="str">
            <v>000000000003626</v>
          </cell>
        </row>
        <row r="292">
          <cell r="B292"/>
          <cell r="C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CA292"/>
          <cell r="CB292"/>
        </row>
        <row r="293">
          <cell r="B293"/>
          <cell r="C293">
            <v>0</v>
          </cell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CA293"/>
          <cell r="CB293"/>
        </row>
        <row r="294">
          <cell r="B294"/>
          <cell r="C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CA294"/>
          <cell r="CB294"/>
        </row>
        <row r="295">
          <cell r="B295"/>
          <cell r="C295">
            <v>0</v>
          </cell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CA295"/>
          <cell r="CB295"/>
        </row>
        <row r="296">
          <cell r="B296"/>
          <cell r="C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CA296"/>
          <cell r="CB296"/>
        </row>
        <row r="297">
          <cell r="B297"/>
          <cell r="C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CA297"/>
          <cell r="CB297"/>
        </row>
        <row r="298">
          <cell r="B298"/>
          <cell r="C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CA298"/>
          <cell r="CB298"/>
        </row>
        <row r="299">
          <cell r="B299" t="str">
            <v>00757223</v>
          </cell>
          <cell r="C299" t="str">
            <v>001EGAW　652</v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/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B299" t="str">
            <v/>
          </cell>
          <cell r="BC299" t="str">
            <v/>
          </cell>
          <cell r="BD299" t="str">
            <v/>
          </cell>
          <cell r="BE299" t="str">
            <v/>
          </cell>
          <cell r="BF299" t="str">
            <v/>
          </cell>
          <cell r="BG299" t="str">
            <v/>
          </cell>
          <cell r="BH299" t="str">
            <v/>
          </cell>
          <cell r="BI299" t="str">
            <v/>
          </cell>
          <cell r="BJ299" t="str">
            <v/>
          </cell>
          <cell r="BK299" t="str">
            <v/>
          </cell>
          <cell r="BL299" t="str">
            <v/>
          </cell>
          <cell r="BM299" t="str">
            <v/>
          </cell>
          <cell r="BN299" t="str">
            <v/>
          </cell>
          <cell r="BO299" t="str">
            <v/>
          </cell>
          <cell r="BP299" t="str">
            <v/>
          </cell>
          <cell r="BQ299" t="str">
            <v/>
          </cell>
          <cell r="BR299" t="str">
            <v/>
          </cell>
          <cell r="BS299" t="str">
            <v/>
          </cell>
          <cell r="BT299" t="str">
            <v/>
          </cell>
          <cell r="BU299" t="str">
            <v/>
          </cell>
          <cell r="BV299" t="str">
            <v/>
          </cell>
          <cell r="BW299" t="str">
            <v/>
          </cell>
          <cell r="BX299" t="str">
            <v/>
          </cell>
          <cell r="BY299" t="str">
            <v/>
          </cell>
          <cell r="CA299">
            <v>0</v>
          </cell>
          <cell r="CB299">
            <v>0</v>
          </cell>
          <cell r="CD299" t="str">
            <v>000000000003625</v>
          </cell>
        </row>
        <row r="300">
          <cell r="B300"/>
          <cell r="C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CA300"/>
          <cell r="CB300"/>
        </row>
        <row r="301">
          <cell r="B301"/>
          <cell r="C301">
            <v>0</v>
          </cell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CA301"/>
          <cell r="CB301"/>
        </row>
        <row r="302">
          <cell r="B302"/>
          <cell r="C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CA302"/>
          <cell r="CB302"/>
        </row>
        <row r="303">
          <cell r="B303"/>
          <cell r="C303">
            <v>0</v>
          </cell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CA303"/>
          <cell r="CB303"/>
        </row>
        <row r="304">
          <cell r="B304"/>
          <cell r="C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CA304"/>
          <cell r="CB304"/>
        </row>
        <row r="305">
          <cell r="B305"/>
          <cell r="C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CA305"/>
          <cell r="CB305"/>
        </row>
        <row r="306">
          <cell r="B306"/>
          <cell r="C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CA306"/>
          <cell r="CB306"/>
        </row>
        <row r="307">
          <cell r="B307" t="str">
            <v>00757222</v>
          </cell>
          <cell r="C307" t="str">
            <v>001EGAW　633</v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  <cell r="AA307" t="str">
            <v/>
          </cell>
          <cell r="AB307" t="str">
            <v/>
          </cell>
          <cell r="AC307" t="str">
            <v/>
          </cell>
          <cell r="AD307"/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B307" t="str">
            <v/>
          </cell>
          <cell r="BC307" t="str">
            <v/>
          </cell>
          <cell r="BD307" t="str">
            <v/>
          </cell>
          <cell r="BE307" t="str">
            <v/>
          </cell>
          <cell r="BF307" t="str">
            <v/>
          </cell>
          <cell r="BG307" t="str">
            <v/>
          </cell>
          <cell r="BH307" t="str">
            <v/>
          </cell>
          <cell r="BI307" t="str">
            <v/>
          </cell>
          <cell r="BJ307" t="str">
            <v/>
          </cell>
          <cell r="BK307" t="str">
            <v/>
          </cell>
          <cell r="BL307" t="str">
            <v/>
          </cell>
          <cell r="BM307" t="str">
            <v/>
          </cell>
          <cell r="BN307" t="str">
            <v/>
          </cell>
          <cell r="BO307" t="str">
            <v/>
          </cell>
          <cell r="BP307" t="str">
            <v/>
          </cell>
          <cell r="BQ307" t="str">
            <v/>
          </cell>
          <cell r="BR307" t="str">
            <v/>
          </cell>
          <cell r="BS307" t="str">
            <v/>
          </cell>
          <cell r="BT307" t="str">
            <v/>
          </cell>
          <cell r="BU307" t="str">
            <v/>
          </cell>
          <cell r="BV307" t="str">
            <v/>
          </cell>
          <cell r="BW307" t="str">
            <v/>
          </cell>
          <cell r="BX307" t="str">
            <v/>
          </cell>
          <cell r="BY307" t="str">
            <v/>
          </cell>
          <cell r="CA307">
            <v>0</v>
          </cell>
          <cell r="CB307">
            <v>0</v>
          </cell>
          <cell r="CD307" t="str">
            <v>000000000003624</v>
          </cell>
        </row>
        <row r="308">
          <cell r="B308"/>
          <cell r="C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CA308"/>
          <cell r="CB308"/>
        </row>
        <row r="309">
          <cell r="B309"/>
          <cell r="C309">
            <v>0</v>
          </cell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CA309"/>
          <cell r="CB309"/>
        </row>
        <row r="310">
          <cell r="B310"/>
          <cell r="C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CA310"/>
          <cell r="CB310"/>
        </row>
        <row r="311">
          <cell r="B311"/>
          <cell r="C311">
            <v>0</v>
          </cell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CA311"/>
          <cell r="CB311"/>
        </row>
        <row r="312">
          <cell r="B312"/>
          <cell r="C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CA312"/>
          <cell r="CB312"/>
        </row>
        <row r="313">
          <cell r="B313"/>
          <cell r="C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CA313"/>
          <cell r="CB313"/>
        </row>
        <row r="314">
          <cell r="B314"/>
          <cell r="C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CA314"/>
          <cell r="CB314"/>
        </row>
        <row r="315">
          <cell r="B315" t="str">
            <v>00757221</v>
          </cell>
          <cell r="C315" t="str">
            <v>001EGAW　565</v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  <cell r="AA315" t="str">
            <v/>
          </cell>
          <cell r="AB315" t="str">
            <v/>
          </cell>
          <cell r="AC315" t="str">
            <v/>
          </cell>
          <cell r="AD315"/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B315" t="str">
            <v/>
          </cell>
          <cell r="BC315" t="str">
            <v/>
          </cell>
          <cell r="BD315" t="str">
            <v/>
          </cell>
          <cell r="BE315" t="str">
            <v/>
          </cell>
          <cell r="BF315" t="str">
            <v/>
          </cell>
          <cell r="BG315" t="str">
            <v/>
          </cell>
          <cell r="BH315" t="str">
            <v/>
          </cell>
          <cell r="BI315" t="str">
            <v/>
          </cell>
          <cell r="BJ315" t="str">
            <v/>
          </cell>
          <cell r="BK315" t="str">
            <v/>
          </cell>
          <cell r="BL315" t="str">
            <v/>
          </cell>
          <cell r="BM315" t="str">
            <v/>
          </cell>
          <cell r="BN315" t="str">
            <v/>
          </cell>
          <cell r="BO315" t="str">
            <v/>
          </cell>
          <cell r="BP315" t="str">
            <v/>
          </cell>
          <cell r="BQ315" t="str">
            <v/>
          </cell>
          <cell r="BR315" t="str">
            <v/>
          </cell>
          <cell r="BS315" t="str">
            <v/>
          </cell>
          <cell r="BT315" t="str">
            <v/>
          </cell>
          <cell r="BU315" t="str">
            <v/>
          </cell>
          <cell r="BV315" t="str">
            <v/>
          </cell>
          <cell r="BW315" t="str">
            <v/>
          </cell>
          <cell r="BX315" t="str">
            <v/>
          </cell>
          <cell r="BY315" t="str">
            <v/>
          </cell>
          <cell r="CA315">
            <v>0</v>
          </cell>
          <cell r="CB315">
            <v>0</v>
          </cell>
          <cell r="CD315" t="str">
            <v>000000000003623</v>
          </cell>
        </row>
        <row r="316">
          <cell r="B316"/>
          <cell r="C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CA316"/>
          <cell r="CB316"/>
        </row>
        <row r="317">
          <cell r="B317"/>
          <cell r="C317">
            <v>0</v>
          </cell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CA317"/>
          <cell r="CB317"/>
        </row>
        <row r="318">
          <cell r="B318"/>
          <cell r="C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CA318"/>
          <cell r="CB318"/>
        </row>
        <row r="319">
          <cell r="B319"/>
          <cell r="C319">
            <v>0</v>
          </cell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CA319"/>
          <cell r="CB319"/>
        </row>
        <row r="320">
          <cell r="B320"/>
          <cell r="C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CA320"/>
          <cell r="CB320"/>
        </row>
        <row r="321">
          <cell r="B321"/>
          <cell r="C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CA321"/>
          <cell r="CB321"/>
        </row>
        <row r="322">
          <cell r="B322"/>
          <cell r="C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CA322"/>
          <cell r="CB322"/>
        </row>
        <row r="323">
          <cell r="B323" t="str">
            <v>00757220</v>
          </cell>
          <cell r="C323" t="str">
            <v>001EGAW　508</v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  <cell r="AA323" t="str">
            <v/>
          </cell>
          <cell r="AB323" t="str">
            <v/>
          </cell>
          <cell r="AC323" t="str">
            <v/>
          </cell>
          <cell r="AD323"/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B323" t="str">
            <v/>
          </cell>
          <cell r="BC323" t="str">
            <v/>
          </cell>
          <cell r="BD323" t="str">
            <v/>
          </cell>
          <cell r="BE323" t="str">
            <v/>
          </cell>
          <cell r="BF323" t="str">
            <v/>
          </cell>
          <cell r="BG323" t="str">
            <v/>
          </cell>
          <cell r="BH323" t="str">
            <v/>
          </cell>
          <cell r="BI323" t="str">
            <v/>
          </cell>
          <cell r="BJ323" t="str">
            <v/>
          </cell>
          <cell r="BK323" t="str">
            <v/>
          </cell>
          <cell r="BL323" t="str">
            <v/>
          </cell>
          <cell r="BM323" t="str">
            <v/>
          </cell>
          <cell r="BN323" t="str">
            <v/>
          </cell>
          <cell r="BO323" t="str">
            <v/>
          </cell>
          <cell r="BP323" t="str">
            <v/>
          </cell>
          <cell r="BQ323" t="str">
            <v/>
          </cell>
          <cell r="BR323" t="str">
            <v/>
          </cell>
          <cell r="BS323" t="str">
            <v/>
          </cell>
          <cell r="BT323" t="str">
            <v/>
          </cell>
          <cell r="BU323" t="str">
            <v/>
          </cell>
          <cell r="BV323" t="str">
            <v/>
          </cell>
          <cell r="BW323" t="str">
            <v/>
          </cell>
          <cell r="BX323" t="str">
            <v/>
          </cell>
          <cell r="BY323" t="str">
            <v/>
          </cell>
          <cell r="CA323">
            <v>0</v>
          </cell>
          <cell r="CB323">
            <v>0</v>
          </cell>
          <cell r="CD323" t="str">
            <v>000000000003622</v>
          </cell>
        </row>
        <row r="324">
          <cell r="B324"/>
          <cell r="C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CA324"/>
          <cell r="CB324"/>
        </row>
        <row r="325">
          <cell r="B325"/>
          <cell r="C325">
            <v>0</v>
          </cell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CA325"/>
          <cell r="CB325"/>
        </row>
        <row r="326">
          <cell r="B326"/>
          <cell r="C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CA326"/>
          <cell r="CB326"/>
        </row>
        <row r="327">
          <cell r="B327"/>
          <cell r="C327">
            <v>0</v>
          </cell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CA327"/>
          <cell r="CB327"/>
        </row>
        <row r="328">
          <cell r="B328"/>
          <cell r="C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CA328"/>
          <cell r="CB328"/>
        </row>
        <row r="329">
          <cell r="B329"/>
          <cell r="C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CA329"/>
          <cell r="CB329"/>
        </row>
        <row r="330">
          <cell r="B330"/>
          <cell r="C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CA330"/>
          <cell r="CB330"/>
        </row>
        <row r="331">
          <cell r="B331" t="str">
            <v>00757219</v>
          </cell>
          <cell r="C331" t="str">
            <v>001EGAW　415</v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  <cell r="AA331" t="str">
            <v/>
          </cell>
          <cell r="AB331" t="str">
            <v/>
          </cell>
          <cell r="AC331" t="str">
            <v/>
          </cell>
          <cell r="AD331"/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B331" t="str">
            <v/>
          </cell>
          <cell r="BC331" t="str">
            <v/>
          </cell>
          <cell r="BD331" t="str">
            <v/>
          </cell>
          <cell r="BE331" t="str">
            <v/>
          </cell>
          <cell r="BF331" t="str">
            <v/>
          </cell>
          <cell r="BG331" t="str">
            <v/>
          </cell>
          <cell r="BH331" t="str">
            <v/>
          </cell>
          <cell r="BI331" t="str">
            <v/>
          </cell>
          <cell r="BJ331" t="str">
            <v/>
          </cell>
          <cell r="BK331" t="str">
            <v/>
          </cell>
          <cell r="BL331" t="str">
            <v/>
          </cell>
          <cell r="BM331" t="str">
            <v/>
          </cell>
          <cell r="BN331" t="str">
            <v/>
          </cell>
          <cell r="BO331" t="str">
            <v/>
          </cell>
          <cell r="BP331" t="str">
            <v/>
          </cell>
          <cell r="BQ331" t="str">
            <v/>
          </cell>
          <cell r="BR331" t="str">
            <v/>
          </cell>
          <cell r="BS331" t="str">
            <v/>
          </cell>
          <cell r="BT331" t="str">
            <v/>
          </cell>
          <cell r="BU331" t="str">
            <v/>
          </cell>
          <cell r="BV331" t="str">
            <v/>
          </cell>
          <cell r="BW331" t="str">
            <v/>
          </cell>
          <cell r="BX331" t="str">
            <v/>
          </cell>
          <cell r="BY331" t="str">
            <v/>
          </cell>
          <cell r="CA331">
            <v>0</v>
          </cell>
          <cell r="CB331">
            <v>0</v>
          </cell>
          <cell r="CD331" t="str">
            <v>000000000003621</v>
          </cell>
        </row>
        <row r="332">
          <cell r="B332"/>
          <cell r="C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CA332"/>
          <cell r="CB332"/>
        </row>
        <row r="333">
          <cell r="B333"/>
          <cell r="C333">
            <v>0</v>
          </cell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CA333"/>
          <cell r="CB333"/>
        </row>
        <row r="334">
          <cell r="B334"/>
          <cell r="C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CA334"/>
          <cell r="CB334"/>
        </row>
        <row r="335">
          <cell r="B335"/>
          <cell r="C335">
            <v>0</v>
          </cell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CA335"/>
          <cell r="CB335"/>
        </row>
        <row r="336">
          <cell r="B336"/>
          <cell r="C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CA336"/>
          <cell r="CB336"/>
        </row>
        <row r="337">
          <cell r="B337"/>
          <cell r="C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CA337"/>
          <cell r="CB337"/>
        </row>
        <row r="338">
          <cell r="B338"/>
          <cell r="C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CA338"/>
          <cell r="CB338"/>
        </row>
        <row r="339">
          <cell r="B339" t="str">
            <v>00758109</v>
          </cell>
          <cell r="C339" t="str">
            <v>8FL281304 6110　L=1478</v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  <cell r="AA339" t="str">
            <v/>
          </cell>
          <cell r="AB339" t="str">
            <v/>
          </cell>
          <cell r="AC339" t="str">
            <v/>
          </cell>
          <cell r="AD339"/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B339" t="str">
            <v/>
          </cell>
          <cell r="BC339" t="str">
            <v/>
          </cell>
          <cell r="BD339" t="str">
            <v/>
          </cell>
          <cell r="BE339" t="str">
            <v/>
          </cell>
          <cell r="BF339" t="str">
            <v/>
          </cell>
          <cell r="BG339" t="str">
            <v/>
          </cell>
          <cell r="BH339" t="str">
            <v/>
          </cell>
          <cell r="BI339" t="str">
            <v/>
          </cell>
          <cell r="BJ339" t="str">
            <v/>
          </cell>
          <cell r="BK339" t="str">
            <v/>
          </cell>
          <cell r="BL339" t="str">
            <v/>
          </cell>
          <cell r="BM339" t="str">
            <v/>
          </cell>
          <cell r="BN339" t="str">
            <v/>
          </cell>
          <cell r="BO339" t="str">
            <v/>
          </cell>
          <cell r="BP339" t="str">
            <v/>
          </cell>
          <cell r="BQ339" t="str">
            <v/>
          </cell>
          <cell r="BR339" t="str">
            <v/>
          </cell>
          <cell r="BS339" t="str">
            <v/>
          </cell>
          <cell r="BT339" t="str">
            <v/>
          </cell>
          <cell r="BU339" t="str">
            <v/>
          </cell>
          <cell r="BV339" t="str">
            <v/>
          </cell>
          <cell r="BW339" t="str">
            <v/>
          </cell>
          <cell r="BX339" t="str">
            <v/>
          </cell>
          <cell r="BY339" t="str">
            <v/>
          </cell>
          <cell r="CA339">
            <v>0</v>
          </cell>
          <cell r="CB339">
            <v>0</v>
          </cell>
          <cell r="CD339" t="str">
            <v>000000000003691</v>
          </cell>
        </row>
        <row r="340">
          <cell r="B340"/>
          <cell r="C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CA340"/>
          <cell r="CB340"/>
        </row>
        <row r="341">
          <cell r="B341"/>
          <cell r="C341">
            <v>0</v>
          </cell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CA341"/>
          <cell r="CB341"/>
        </row>
        <row r="342">
          <cell r="B342"/>
          <cell r="C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CA342"/>
          <cell r="CB342"/>
        </row>
        <row r="343">
          <cell r="B343"/>
          <cell r="C343">
            <v>0</v>
          </cell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CA343"/>
          <cell r="CB343"/>
        </row>
        <row r="344">
          <cell r="B344"/>
          <cell r="C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CA344"/>
          <cell r="CB344"/>
        </row>
        <row r="345">
          <cell r="B345"/>
          <cell r="C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CA345"/>
          <cell r="CB345"/>
        </row>
        <row r="346">
          <cell r="B346"/>
          <cell r="C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CA346"/>
          <cell r="CB346"/>
        </row>
        <row r="347">
          <cell r="B347" t="str">
            <v>00758108</v>
          </cell>
          <cell r="C347" t="str">
            <v>8FL281304 4810　L=297</v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  <cell r="AA347" t="str">
            <v/>
          </cell>
          <cell r="AB347" t="str">
            <v/>
          </cell>
          <cell r="AC347" t="str">
            <v/>
          </cell>
          <cell r="AD347"/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B347" t="str">
            <v/>
          </cell>
          <cell r="BC347" t="str">
            <v/>
          </cell>
          <cell r="BD347" t="str">
            <v/>
          </cell>
          <cell r="BE347" t="str">
            <v/>
          </cell>
          <cell r="BF347" t="str">
            <v/>
          </cell>
          <cell r="BG347" t="str">
            <v/>
          </cell>
          <cell r="BH347" t="str">
            <v/>
          </cell>
          <cell r="BI347" t="str">
            <v/>
          </cell>
          <cell r="BJ347" t="str">
            <v/>
          </cell>
          <cell r="BK347" t="str">
            <v/>
          </cell>
          <cell r="BL347" t="str">
            <v/>
          </cell>
          <cell r="BM347" t="str">
            <v/>
          </cell>
          <cell r="BN347" t="str">
            <v/>
          </cell>
          <cell r="BO347" t="str">
            <v/>
          </cell>
          <cell r="BP347" t="str">
            <v/>
          </cell>
          <cell r="BQ347" t="str">
            <v/>
          </cell>
          <cell r="BR347" t="str">
            <v/>
          </cell>
          <cell r="BS347" t="str">
            <v/>
          </cell>
          <cell r="BT347" t="str">
            <v/>
          </cell>
          <cell r="BU347" t="str">
            <v/>
          </cell>
          <cell r="BV347" t="str">
            <v/>
          </cell>
          <cell r="BW347" t="str">
            <v/>
          </cell>
          <cell r="BX347" t="str">
            <v/>
          </cell>
          <cell r="BY347" t="str">
            <v/>
          </cell>
          <cell r="CA347">
            <v>0</v>
          </cell>
          <cell r="CB347">
            <v>0</v>
          </cell>
          <cell r="CD347" t="str">
            <v>000000000003690</v>
          </cell>
        </row>
        <row r="348">
          <cell r="B348"/>
          <cell r="C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CA348"/>
          <cell r="CB348"/>
        </row>
        <row r="349">
          <cell r="B349"/>
          <cell r="C349">
            <v>0</v>
          </cell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CA349"/>
          <cell r="CB349"/>
        </row>
        <row r="350">
          <cell r="B350"/>
          <cell r="C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CA350"/>
          <cell r="CB350"/>
        </row>
        <row r="351">
          <cell r="B351"/>
          <cell r="C351">
            <v>0</v>
          </cell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CA351"/>
          <cell r="CB351"/>
        </row>
        <row r="352">
          <cell r="B352"/>
          <cell r="C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CA352"/>
          <cell r="CB352"/>
        </row>
        <row r="353">
          <cell r="B353"/>
          <cell r="C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CA353"/>
          <cell r="CB353"/>
        </row>
        <row r="354">
          <cell r="B354"/>
          <cell r="C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CA354"/>
          <cell r="CB354"/>
        </row>
        <row r="355">
          <cell r="B355" t="str">
            <v>00749887</v>
          </cell>
          <cell r="C355" t="str">
            <v>PK-59827 L=700</v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  <cell r="AA355" t="str">
            <v/>
          </cell>
          <cell r="AB355" t="str">
            <v/>
          </cell>
          <cell r="AC355" t="str">
            <v/>
          </cell>
          <cell r="AD355"/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B355" t="str">
            <v/>
          </cell>
          <cell r="BC355" t="str">
            <v/>
          </cell>
          <cell r="BD355" t="str">
            <v/>
          </cell>
          <cell r="BE355" t="str">
            <v/>
          </cell>
          <cell r="BF355" t="str">
            <v/>
          </cell>
          <cell r="BG355" t="str">
            <v/>
          </cell>
          <cell r="BH355" t="str">
            <v/>
          </cell>
          <cell r="BI355" t="str">
            <v/>
          </cell>
          <cell r="BJ355" t="str">
            <v/>
          </cell>
          <cell r="BK355" t="str">
            <v/>
          </cell>
          <cell r="BL355" t="str">
            <v/>
          </cell>
          <cell r="BM355" t="str">
            <v/>
          </cell>
          <cell r="BN355" t="str">
            <v/>
          </cell>
          <cell r="BO355" t="str">
            <v/>
          </cell>
          <cell r="BP355" t="str">
            <v/>
          </cell>
          <cell r="BQ355" t="str">
            <v/>
          </cell>
          <cell r="BR355" t="str">
            <v/>
          </cell>
          <cell r="BS355" t="str">
            <v/>
          </cell>
          <cell r="BT355" t="str">
            <v/>
          </cell>
          <cell r="BU355" t="str">
            <v/>
          </cell>
          <cell r="BV355" t="str">
            <v/>
          </cell>
          <cell r="BW355" t="str">
            <v/>
          </cell>
          <cell r="BX355" t="str">
            <v/>
          </cell>
          <cell r="BY355" t="str">
            <v/>
          </cell>
          <cell r="CA355">
            <v>0</v>
          </cell>
          <cell r="CB355">
            <v>0</v>
          </cell>
          <cell r="CD355" t="str">
            <v>000000000002883</v>
          </cell>
        </row>
        <row r="356">
          <cell r="B356"/>
          <cell r="C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CA356"/>
          <cell r="CB356"/>
        </row>
        <row r="357">
          <cell r="B357"/>
          <cell r="C357">
            <v>0</v>
          </cell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CA357"/>
          <cell r="CB357"/>
        </row>
        <row r="358">
          <cell r="B358"/>
          <cell r="C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CA358"/>
          <cell r="CB358"/>
        </row>
        <row r="359">
          <cell r="B359"/>
          <cell r="C359">
            <v>0</v>
          </cell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CA359"/>
          <cell r="CB359"/>
        </row>
        <row r="360">
          <cell r="B360"/>
          <cell r="C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CA360"/>
          <cell r="CB360"/>
        </row>
        <row r="361">
          <cell r="B361"/>
          <cell r="C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CA361"/>
          <cell r="CB361"/>
        </row>
        <row r="362">
          <cell r="B362"/>
          <cell r="C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CA362"/>
          <cell r="CB362"/>
        </row>
        <row r="363">
          <cell r="B363" t="str">
            <v>00</v>
          </cell>
          <cell r="C363"/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  <cell r="AA363" t="str">
            <v/>
          </cell>
          <cell r="AB363" t="str">
            <v/>
          </cell>
          <cell r="AC363" t="str">
            <v/>
          </cell>
          <cell r="AD363"/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B363" t="str">
            <v/>
          </cell>
          <cell r="BC363" t="str">
            <v/>
          </cell>
          <cell r="BD363" t="str">
            <v/>
          </cell>
          <cell r="BE363" t="str">
            <v/>
          </cell>
          <cell r="BF363" t="str">
            <v/>
          </cell>
          <cell r="BG363" t="str">
            <v/>
          </cell>
          <cell r="BH363" t="str">
            <v/>
          </cell>
          <cell r="BI363" t="str">
            <v/>
          </cell>
          <cell r="BJ363" t="str">
            <v/>
          </cell>
          <cell r="BK363" t="str">
            <v/>
          </cell>
          <cell r="BL363" t="str">
            <v/>
          </cell>
          <cell r="BM363" t="str">
            <v/>
          </cell>
          <cell r="BN363" t="str">
            <v/>
          </cell>
          <cell r="BO363" t="str">
            <v/>
          </cell>
          <cell r="BP363" t="str">
            <v/>
          </cell>
          <cell r="BQ363" t="str">
            <v/>
          </cell>
          <cell r="BR363" t="str">
            <v/>
          </cell>
          <cell r="BS363" t="str">
            <v/>
          </cell>
          <cell r="BT363" t="str">
            <v/>
          </cell>
          <cell r="BU363" t="str">
            <v/>
          </cell>
          <cell r="BV363" t="str">
            <v/>
          </cell>
          <cell r="BW363" t="str">
            <v/>
          </cell>
          <cell r="BX363" t="str">
            <v/>
          </cell>
          <cell r="BY363" t="str">
            <v/>
          </cell>
          <cell r="CA363">
            <v>0</v>
          </cell>
          <cell r="CB363">
            <v>0</v>
          </cell>
          <cell r="CD363" t="str">
            <v/>
          </cell>
        </row>
        <row r="364">
          <cell r="B364"/>
          <cell r="C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CA364"/>
          <cell r="CB364"/>
        </row>
        <row r="365">
          <cell r="B365"/>
          <cell r="C365">
            <v>0</v>
          </cell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CA365"/>
          <cell r="CB365"/>
        </row>
        <row r="366">
          <cell r="B366"/>
          <cell r="C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CA366"/>
          <cell r="CB366"/>
        </row>
        <row r="367">
          <cell r="B367"/>
          <cell r="C367">
            <v>0</v>
          </cell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CA367"/>
          <cell r="CB367"/>
        </row>
        <row r="368">
          <cell r="B368"/>
          <cell r="C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CA368"/>
          <cell r="CB368"/>
        </row>
        <row r="369">
          <cell r="B369"/>
          <cell r="C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CA369"/>
          <cell r="CB369"/>
        </row>
        <row r="370">
          <cell r="B370"/>
          <cell r="C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CA370"/>
          <cell r="CB370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品名・温度</v>
          </cell>
          <cell r="C1" t="str">
            <v>C</v>
          </cell>
        </row>
        <row r="2">
          <cell r="A2" t="str">
            <v>灯具カバーPC　2070  L=196604</v>
          </cell>
          <cell r="C2">
            <v>1964</v>
          </cell>
        </row>
        <row r="3">
          <cell r="A3" t="str">
            <v>灯具カバーPC　2070  L=196606</v>
          </cell>
          <cell r="C3">
            <v>1964.2</v>
          </cell>
        </row>
        <row r="4">
          <cell r="A4" t="str">
            <v>灯具カバーPC　2070  L=196608</v>
          </cell>
          <cell r="C4">
            <v>1964.5</v>
          </cell>
        </row>
        <row r="5">
          <cell r="A5" t="str">
            <v>灯具カバーPC　2070  L=196610</v>
          </cell>
          <cell r="C5">
            <v>1964.7</v>
          </cell>
        </row>
        <row r="6">
          <cell r="A6" t="str">
            <v>灯具カバーPC　2070  L=196612</v>
          </cell>
          <cell r="C6">
            <v>1965</v>
          </cell>
        </row>
        <row r="7">
          <cell r="A7" t="str">
            <v>灯具カバーPC　2070  L=196614</v>
          </cell>
          <cell r="C7">
            <v>1965.2</v>
          </cell>
        </row>
        <row r="8">
          <cell r="A8" t="str">
            <v>灯具カバーPC　2070  L=196616</v>
          </cell>
          <cell r="C8">
            <v>1965.5</v>
          </cell>
        </row>
        <row r="9">
          <cell r="A9" t="str">
            <v>灯具カバーPC　2070  L=196618</v>
          </cell>
          <cell r="C9">
            <v>1965.7</v>
          </cell>
        </row>
        <row r="10">
          <cell r="A10" t="str">
            <v>灯具カバーPC　2070  L=196620</v>
          </cell>
          <cell r="C10">
            <v>1966</v>
          </cell>
        </row>
        <row r="11">
          <cell r="A11" t="str">
            <v>灯具カバーPC　2070  L=196622</v>
          </cell>
          <cell r="C11">
            <v>1966.3</v>
          </cell>
        </row>
        <row r="12">
          <cell r="A12" t="str">
            <v>灯具カバーPC　2070  L=196624</v>
          </cell>
          <cell r="C12">
            <v>1966.5</v>
          </cell>
        </row>
        <row r="13">
          <cell r="A13" t="str">
            <v>灯具カバーPC　2070  L=196626</v>
          </cell>
          <cell r="C13">
            <v>1966.8</v>
          </cell>
        </row>
        <row r="14">
          <cell r="A14" t="str">
            <v>灯具カバーPC　2070  L=196628</v>
          </cell>
          <cell r="C14">
            <v>1967</v>
          </cell>
        </row>
        <row r="15">
          <cell r="A15" t="str">
            <v>灯具カバーPC　2070  L=196630</v>
          </cell>
          <cell r="C15">
            <v>1967.3</v>
          </cell>
        </row>
        <row r="16">
          <cell r="A16" t="str">
            <v>灯具カバーPC　2070  L=196632</v>
          </cell>
          <cell r="C16">
            <v>1967.5</v>
          </cell>
        </row>
        <row r="17">
          <cell r="A17" t="str">
            <v>灯具カバーPC　2100  L=192304</v>
          </cell>
          <cell r="C17">
            <v>1921</v>
          </cell>
        </row>
        <row r="18">
          <cell r="A18" t="str">
            <v>灯具カバーPC　2100  L=192306</v>
          </cell>
          <cell r="C18">
            <v>1921.3</v>
          </cell>
        </row>
        <row r="19">
          <cell r="A19" t="str">
            <v>灯具カバーPC　2100  L=192308</v>
          </cell>
          <cell r="C19">
            <v>1921.5</v>
          </cell>
        </row>
        <row r="20">
          <cell r="A20" t="str">
            <v>灯具カバーPC　2100  L=192310</v>
          </cell>
          <cell r="C20">
            <v>1921.8</v>
          </cell>
        </row>
        <row r="21">
          <cell r="A21" t="str">
            <v>灯具カバーPC　2100  L=192312</v>
          </cell>
          <cell r="C21">
            <v>1922.1</v>
          </cell>
        </row>
        <row r="22">
          <cell r="A22" t="str">
            <v>灯具カバーPC　2100  L=192314</v>
          </cell>
          <cell r="C22">
            <v>1922.3</v>
          </cell>
        </row>
        <row r="23">
          <cell r="A23" t="str">
            <v>灯具カバーPC　2100  L=192316</v>
          </cell>
          <cell r="C23">
            <v>1922.5</v>
          </cell>
        </row>
        <row r="24">
          <cell r="A24" t="str">
            <v>灯具カバーPC　2100  L=192318</v>
          </cell>
          <cell r="C24">
            <v>1922.7</v>
          </cell>
        </row>
        <row r="25">
          <cell r="A25" t="str">
            <v>灯具カバーPC　2100  L=192320</v>
          </cell>
          <cell r="C25">
            <v>1923</v>
          </cell>
        </row>
        <row r="26">
          <cell r="A26" t="str">
            <v>灯具カバーPC　2100  L=192322</v>
          </cell>
          <cell r="C26">
            <v>1923.2</v>
          </cell>
        </row>
        <row r="27">
          <cell r="A27" t="str">
            <v>灯具カバーPC　2100  L=192324</v>
          </cell>
          <cell r="C27">
            <v>1923.5</v>
          </cell>
        </row>
        <row r="28">
          <cell r="A28" t="str">
            <v>灯具カバーPC　2100  L=192326</v>
          </cell>
          <cell r="C28">
            <v>1923.7</v>
          </cell>
        </row>
        <row r="29">
          <cell r="A29" t="str">
            <v>灯具カバーPC　2100  L=192328</v>
          </cell>
          <cell r="C29">
            <v>1924</v>
          </cell>
        </row>
        <row r="30">
          <cell r="A30" t="str">
            <v>灯具カバーPC　2100  L=192330</v>
          </cell>
          <cell r="C30">
            <v>1924.2</v>
          </cell>
        </row>
        <row r="31">
          <cell r="A31" t="str">
            <v>灯具カバーPC　2100  L=192332</v>
          </cell>
          <cell r="C31">
            <v>1924.5</v>
          </cell>
        </row>
        <row r="32">
          <cell r="A32" t="str">
            <v>灯具カバーPC　2110  L=181504</v>
          </cell>
          <cell r="C32">
            <v>1812.9</v>
          </cell>
        </row>
        <row r="33">
          <cell r="A33" t="str">
            <v>灯具カバーPC　2110  L=181506</v>
          </cell>
          <cell r="C33">
            <v>1813.1</v>
          </cell>
        </row>
        <row r="34">
          <cell r="A34" t="str">
            <v>灯具カバーPC　2110  L=181508</v>
          </cell>
          <cell r="C34">
            <v>1813.3</v>
          </cell>
        </row>
        <row r="35">
          <cell r="A35" t="str">
            <v>灯具カバーPC　2110  L=181510</v>
          </cell>
          <cell r="C35">
            <v>1813.5</v>
          </cell>
        </row>
        <row r="36">
          <cell r="A36" t="str">
            <v>灯具カバーPC　2110  L=181512</v>
          </cell>
          <cell r="C36">
            <v>1813.8</v>
          </cell>
        </row>
        <row r="37">
          <cell r="A37" t="str">
            <v>灯具カバーPC　2110  L=181514</v>
          </cell>
          <cell r="C37">
            <v>1814.1</v>
          </cell>
        </row>
        <row r="38">
          <cell r="A38" t="str">
            <v>灯具カバーPC　2110  L=181516</v>
          </cell>
          <cell r="C38">
            <v>1814.3</v>
          </cell>
        </row>
        <row r="39">
          <cell r="A39" t="str">
            <v>灯具カバーPC　2110  L=181518</v>
          </cell>
          <cell r="C39">
            <v>1814.8</v>
          </cell>
        </row>
        <row r="40">
          <cell r="A40" t="str">
            <v>灯具カバーPC　2110  L=181520</v>
          </cell>
          <cell r="C40">
            <v>1815</v>
          </cell>
        </row>
        <row r="41">
          <cell r="A41" t="str">
            <v>灯具カバーPC　2110  L=181522</v>
          </cell>
          <cell r="C41">
            <v>1815.2</v>
          </cell>
        </row>
        <row r="42">
          <cell r="A42" t="str">
            <v>灯具カバーPC　2110  L=181524</v>
          </cell>
          <cell r="C42">
            <v>1815.5</v>
          </cell>
        </row>
        <row r="43">
          <cell r="A43" t="str">
            <v>灯具カバーPC　2110  L=181526</v>
          </cell>
          <cell r="C43">
            <v>1815.7</v>
          </cell>
        </row>
        <row r="44">
          <cell r="A44" t="str">
            <v>灯具カバーPC　2110  L=181528</v>
          </cell>
          <cell r="C44">
            <v>1815.9</v>
          </cell>
        </row>
        <row r="45">
          <cell r="A45" t="str">
            <v>灯具カバーPC　2110  L=181530</v>
          </cell>
          <cell r="C45">
            <v>1816.2</v>
          </cell>
        </row>
        <row r="46">
          <cell r="A46" t="str">
            <v>灯具カバーPC　2110  L=181532</v>
          </cell>
          <cell r="C46">
            <v>1816.4</v>
          </cell>
        </row>
        <row r="47">
          <cell r="A47" t="str">
            <v>灯具カバーPC　2080  L=154004</v>
          </cell>
          <cell r="C47">
            <v>1538.4</v>
          </cell>
        </row>
        <row r="48">
          <cell r="A48" t="str">
            <v>灯具カバーPC　2080  L=154006</v>
          </cell>
          <cell r="C48">
            <v>1538.6</v>
          </cell>
        </row>
        <row r="49">
          <cell r="A49" t="str">
            <v>灯具カバーPC　2080  L=154008</v>
          </cell>
          <cell r="C49">
            <v>1538.8</v>
          </cell>
        </row>
        <row r="50">
          <cell r="A50" t="str">
            <v>灯具カバーPC　2080  L=154010</v>
          </cell>
          <cell r="C50">
            <v>1539</v>
          </cell>
        </row>
        <row r="51">
          <cell r="A51" t="str">
            <v>灯具カバーPC　2080  L=154012</v>
          </cell>
          <cell r="C51">
            <v>1539.2</v>
          </cell>
        </row>
        <row r="52">
          <cell r="A52" t="str">
            <v>灯具カバーPC　2080  L=154014</v>
          </cell>
          <cell r="C52">
            <v>1539.4</v>
          </cell>
        </row>
        <row r="53">
          <cell r="A53" t="str">
            <v>灯具カバーPC　2080  L=154016</v>
          </cell>
          <cell r="C53">
            <v>1539.6</v>
          </cell>
        </row>
        <row r="54">
          <cell r="A54" t="str">
            <v>灯具カバーPC　2080  L=154018</v>
          </cell>
          <cell r="C54">
            <v>1539.8</v>
          </cell>
        </row>
        <row r="55">
          <cell r="A55" t="str">
            <v>灯具カバーPC　2080  L=154020</v>
          </cell>
          <cell r="C55">
            <v>1540</v>
          </cell>
        </row>
        <row r="56">
          <cell r="A56" t="str">
            <v>灯具カバーPC　2080  L=154022</v>
          </cell>
          <cell r="C56">
            <v>1540.2</v>
          </cell>
        </row>
        <row r="57">
          <cell r="A57" t="str">
            <v>灯具カバーPC　2080  L=154024</v>
          </cell>
          <cell r="C57">
            <v>1540.4</v>
          </cell>
        </row>
        <row r="58">
          <cell r="A58" t="str">
            <v>灯具カバーPC　2080  L=154026</v>
          </cell>
          <cell r="C58">
            <v>1540.6</v>
          </cell>
        </row>
        <row r="59">
          <cell r="A59" t="str">
            <v>灯具カバーPC　2080  L=154028</v>
          </cell>
          <cell r="C59">
            <v>1540.8</v>
          </cell>
        </row>
        <row r="60">
          <cell r="A60" t="str">
            <v>灯具カバーPC　2080  L=154030</v>
          </cell>
          <cell r="C60">
            <v>1541</v>
          </cell>
        </row>
        <row r="61">
          <cell r="A61" t="str">
            <v>灯具カバーPC　2080  L=154032</v>
          </cell>
          <cell r="C61">
            <v>1541.2</v>
          </cell>
        </row>
        <row r="62">
          <cell r="A62" t="str">
            <v>灯具カバーPC　2060  L=1258.502</v>
          </cell>
          <cell r="C62">
            <v>1257</v>
          </cell>
        </row>
        <row r="63">
          <cell r="A63" t="str">
            <v>灯具カバーPC　2060  L=1258.504</v>
          </cell>
          <cell r="C63">
            <v>1257.2</v>
          </cell>
        </row>
        <row r="64">
          <cell r="A64" t="str">
            <v>灯具カバーPC　2060  L=1258.506</v>
          </cell>
          <cell r="C64">
            <v>1257.3</v>
          </cell>
        </row>
        <row r="65">
          <cell r="A65" t="str">
            <v>灯具カバーPC　2060  L=1258.508</v>
          </cell>
          <cell r="C65">
            <v>1257.5</v>
          </cell>
        </row>
        <row r="66">
          <cell r="A66" t="str">
            <v>灯具カバーPC　2060  L=1258.510</v>
          </cell>
          <cell r="C66">
            <v>1257.7</v>
          </cell>
        </row>
        <row r="67">
          <cell r="A67" t="str">
            <v>灯具カバーPC　2060  L=1258.512</v>
          </cell>
          <cell r="C67">
            <v>1257.8</v>
          </cell>
        </row>
        <row r="68">
          <cell r="A68" t="str">
            <v>灯具カバーPC　2060  L=1258.514</v>
          </cell>
          <cell r="C68">
            <v>1258</v>
          </cell>
        </row>
        <row r="69">
          <cell r="A69" t="str">
            <v>灯具カバーPC　2060  L=1258.516</v>
          </cell>
          <cell r="C69">
            <v>1258.2</v>
          </cell>
        </row>
        <row r="70">
          <cell r="A70" t="str">
            <v>灯具カバーPC　2060  L=1258.518</v>
          </cell>
          <cell r="C70">
            <v>1258.4000000000001</v>
          </cell>
        </row>
        <row r="71">
          <cell r="A71" t="str">
            <v>灯具カバーPC　2060  L=1258.520</v>
          </cell>
          <cell r="C71">
            <v>1258.5</v>
          </cell>
        </row>
        <row r="72">
          <cell r="A72" t="str">
            <v>灯具カバーPC　2060  L=1258.522</v>
          </cell>
          <cell r="C72">
            <v>1258.7</v>
          </cell>
        </row>
        <row r="73">
          <cell r="A73" t="str">
            <v>灯具カバーPC　2060  L=1258.524</v>
          </cell>
          <cell r="C73">
            <v>1258.8</v>
          </cell>
        </row>
        <row r="74">
          <cell r="A74" t="str">
            <v>灯具カバーPC　2060  L=1258.526</v>
          </cell>
          <cell r="C74">
            <v>1259</v>
          </cell>
        </row>
        <row r="75">
          <cell r="A75" t="str">
            <v>灯具カバーPC　2060  L=1258.528</v>
          </cell>
          <cell r="C75">
            <v>1259.2</v>
          </cell>
        </row>
        <row r="76">
          <cell r="A76" t="str">
            <v>灯具カバーPC　2060  L=1258.530</v>
          </cell>
          <cell r="C76">
            <v>1259.3</v>
          </cell>
        </row>
        <row r="77">
          <cell r="A77" t="str">
            <v>灯具カバーPC　2060  L=1258.532</v>
          </cell>
          <cell r="C77">
            <v>1259.5</v>
          </cell>
        </row>
        <row r="78">
          <cell r="A78" t="str">
            <v>灯具カバーPC　2050  L=1183.502</v>
          </cell>
          <cell r="C78">
            <v>1182.0999999999999</v>
          </cell>
        </row>
        <row r="79">
          <cell r="A79" t="str">
            <v>灯具カバーPC　2050  L=1183.504</v>
          </cell>
          <cell r="C79">
            <v>1182.3</v>
          </cell>
        </row>
        <row r="80">
          <cell r="A80" t="str">
            <v>灯具カバーPC　2050  L=1183.506</v>
          </cell>
          <cell r="C80">
            <v>1182.4000000000001</v>
          </cell>
        </row>
        <row r="81">
          <cell r="A81" t="str">
            <v>灯具カバーPC　2050  L=1183.508</v>
          </cell>
          <cell r="C81">
            <v>1182.5999999999999</v>
          </cell>
        </row>
        <row r="82">
          <cell r="A82" t="str">
            <v>灯具カバーPC　2050  L=1183.510</v>
          </cell>
          <cell r="C82">
            <v>1182.7</v>
          </cell>
        </row>
        <row r="83">
          <cell r="A83" t="str">
            <v>灯具カバーPC　2050  L=1183.512</v>
          </cell>
          <cell r="C83">
            <v>1182.9000000000001</v>
          </cell>
        </row>
        <row r="84">
          <cell r="A84" t="str">
            <v>灯具カバーPC　2050  L=1183.514</v>
          </cell>
          <cell r="C84">
            <v>1183</v>
          </cell>
        </row>
        <row r="85">
          <cell r="A85" t="str">
            <v>灯具カバーPC　2050  L=1183.516</v>
          </cell>
          <cell r="C85">
            <v>1183.2</v>
          </cell>
        </row>
        <row r="86">
          <cell r="A86" t="str">
            <v>灯具カバーPC　2050  L=1183.518</v>
          </cell>
          <cell r="C86">
            <v>1183.3</v>
          </cell>
        </row>
        <row r="87">
          <cell r="A87" t="str">
            <v>灯具カバーPC　2050  L=1183.520</v>
          </cell>
          <cell r="C87">
            <v>1183.5</v>
          </cell>
        </row>
        <row r="88">
          <cell r="A88" t="str">
            <v>灯具カバーPC　2050  L=1183.522</v>
          </cell>
          <cell r="C88">
            <v>1183.7</v>
          </cell>
        </row>
        <row r="89">
          <cell r="A89" t="str">
            <v>灯具カバーPC　2050  L=1183.524</v>
          </cell>
          <cell r="C89">
            <v>1183.8</v>
          </cell>
        </row>
        <row r="90">
          <cell r="A90" t="str">
            <v>灯具カバーPC　2050  L=1183.526</v>
          </cell>
          <cell r="C90">
            <v>1184</v>
          </cell>
        </row>
        <row r="91">
          <cell r="A91" t="str">
            <v>灯具カバーPC　2050  L=1183.528</v>
          </cell>
          <cell r="C91">
            <v>1184.0999999999999</v>
          </cell>
        </row>
        <row r="92">
          <cell r="A92" t="str">
            <v>灯具カバーPC　2050  L=1183.530</v>
          </cell>
          <cell r="C92">
            <v>1184.3</v>
          </cell>
        </row>
        <row r="93">
          <cell r="A93" t="str">
            <v>灯具カバーPC　2050  L=1183.532</v>
          </cell>
          <cell r="C93">
            <v>1184.4000000000001</v>
          </cell>
        </row>
        <row r="94">
          <cell r="A94" t="str">
            <v>灯具カバーPC　2130  L=90804</v>
          </cell>
          <cell r="C94">
            <v>907.1</v>
          </cell>
        </row>
        <row r="95">
          <cell r="A95" t="str">
            <v>灯具カバーPC　2130  L=90806</v>
          </cell>
          <cell r="C95">
            <v>907.2</v>
          </cell>
        </row>
        <row r="96">
          <cell r="A96" t="str">
            <v>灯具カバーPC　2130  L=90808</v>
          </cell>
          <cell r="C96">
            <v>907.3</v>
          </cell>
        </row>
        <row r="97">
          <cell r="A97" t="str">
            <v>灯具カバーPC　2130  L=90810</v>
          </cell>
          <cell r="C97">
            <v>907.4</v>
          </cell>
        </row>
        <row r="98">
          <cell r="A98" t="str">
            <v>灯具カバーPC　2130  L=90812</v>
          </cell>
          <cell r="C98">
            <v>907.5</v>
          </cell>
        </row>
        <row r="99">
          <cell r="A99" t="str">
            <v>灯具カバーPC　2130  L=90814</v>
          </cell>
          <cell r="C99">
            <v>907.6</v>
          </cell>
        </row>
        <row r="100">
          <cell r="A100" t="str">
            <v>灯具カバーPC　2130  L=90816</v>
          </cell>
          <cell r="C100">
            <v>907.8</v>
          </cell>
        </row>
        <row r="101">
          <cell r="A101" t="str">
            <v>灯具カバーPC　2130  L=90818</v>
          </cell>
          <cell r="C101">
            <v>907.9</v>
          </cell>
        </row>
        <row r="102">
          <cell r="A102" t="str">
            <v>灯具カバーPC　2130  L=90820</v>
          </cell>
          <cell r="C102">
            <v>908</v>
          </cell>
        </row>
        <row r="103">
          <cell r="A103" t="str">
            <v>灯具カバーPC　2130  L=90822</v>
          </cell>
          <cell r="C103">
            <v>908.1</v>
          </cell>
        </row>
        <row r="104">
          <cell r="A104" t="str">
            <v>灯具カバーPC　2130  L=90824</v>
          </cell>
          <cell r="C104">
            <v>908.2</v>
          </cell>
        </row>
        <row r="105">
          <cell r="A105" t="str">
            <v>灯具カバーPC　2130  L=90826</v>
          </cell>
          <cell r="C105">
            <v>908.4</v>
          </cell>
        </row>
        <row r="106">
          <cell r="A106" t="str">
            <v>灯具カバーPC　2130  L=90828</v>
          </cell>
          <cell r="C106">
            <v>908.5</v>
          </cell>
        </row>
        <row r="107">
          <cell r="A107" t="str">
            <v>灯具カバーPC　2130  L=90830</v>
          </cell>
          <cell r="C107">
            <v>908.6</v>
          </cell>
        </row>
        <row r="108">
          <cell r="A108" t="str">
            <v>灯具カバーPC　2130  L=90832</v>
          </cell>
          <cell r="C108">
            <v>908.7</v>
          </cell>
        </row>
        <row r="109">
          <cell r="A109" t="str">
            <v>灯具カバーPC　2090  L=84004</v>
          </cell>
          <cell r="C109">
            <v>839.1</v>
          </cell>
        </row>
        <row r="110">
          <cell r="A110" t="str">
            <v>灯具カバーPC　2090  L=84006</v>
          </cell>
          <cell r="C110">
            <v>839.2</v>
          </cell>
        </row>
        <row r="111">
          <cell r="A111" t="str">
            <v>灯具カバーPC　2090  L=84008</v>
          </cell>
          <cell r="C111">
            <v>839.3</v>
          </cell>
        </row>
        <row r="112">
          <cell r="A112" t="str">
            <v>灯具カバーPC　2090  L=84010</v>
          </cell>
          <cell r="C112">
            <v>839.4</v>
          </cell>
        </row>
        <row r="113">
          <cell r="A113" t="str">
            <v>灯具カバーPC　2090  L=84012</v>
          </cell>
          <cell r="C113">
            <v>839.5</v>
          </cell>
        </row>
        <row r="114">
          <cell r="A114" t="str">
            <v>灯具カバーPC　2090  L=84014</v>
          </cell>
          <cell r="C114">
            <v>839.6</v>
          </cell>
        </row>
        <row r="115">
          <cell r="A115" t="str">
            <v>灯具カバーPC　2090  L=84016</v>
          </cell>
          <cell r="C115">
            <v>839.8</v>
          </cell>
        </row>
        <row r="116">
          <cell r="A116" t="str">
            <v>灯具カバーPC　2090  L=84018</v>
          </cell>
          <cell r="C116">
            <v>839.9</v>
          </cell>
        </row>
        <row r="117">
          <cell r="A117" t="str">
            <v>灯具カバーPC　2090  L=84020</v>
          </cell>
          <cell r="C117">
            <v>840</v>
          </cell>
        </row>
        <row r="118">
          <cell r="A118" t="str">
            <v>灯具カバーPC　2090  L=84022</v>
          </cell>
          <cell r="C118">
            <v>840.1</v>
          </cell>
        </row>
        <row r="119">
          <cell r="A119" t="str">
            <v>灯具カバーPC　2090  L=84024</v>
          </cell>
          <cell r="C119">
            <v>840.2</v>
          </cell>
        </row>
        <row r="120">
          <cell r="A120" t="str">
            <v>灯具カバーPC　2090  L=84026</v>
          </cell>
          <cell r="C120">
            <v>840.3</v>
          </cell>
        </row>
        <row r="121">
          <cell r="A121" t="str">
            <v>灯具カバーPC　2090  L=84028</v>
          </cell>
          <cell r="C121">
            <v>840.4</v>
          </cell>
        </row>
        <row r="122">
          <cell r="A122" t="str">
            <v>灯具カバーPC　2090  L=84030</v>
          </cell>
          <cell r="C122">
            <v>840.5</v>
          </cell>
        </row>
        <row r="123">
          <cell r="A123" t="str">
            <v>灯具カバーPC　2090  L=84032</v>
          </cell>
          <cell r="C123">
            <v>840.7</v>
          </cell>
        </row>
        <row r="124">
          <cell r="A124" t="str">
            <v>灯具カバーPC　2140  L=54704</v>
          </cell>
          <cell r="C124">
            <v>546.4</v>
          </cell>
        </row>
        <row r="125">
          <cell r="A125" t="str">
            <v>灯具カバーPC　2140  L=54706</v>
          </cell>
          <cell r="C125">
            <v>546.5</v>
          </cell>
        </row>
        <row r="126">
          <cell r="A126" t="str">
            <v>灯具カバーPC　2140  L=54708</v>
          </cell>
          <cell r="C126">
            <v>546.6</v>
          </cell>
        </row>
        <row r="127">
          <cell r="A127" t="str">
            <v>灯具カバーPC　2140  L=54710</v>
          </cell>
          <cell r="C127">
            <v>546.6</v>
          </cell>
        </row>
        <row r="128">
          <cell r="A128" t="str">
            <v>灯具カバーPC　2140  L=54712</v>
          </cell>
          <cell r="C128">
            <v>546.70000000000005</v>
          </cell>
        </row>
        <row r="129">
          <cell r="A129" t="str">
            <v>灯具カバーPC　2140  L=54714</v>
          </cell>
          <cell r="C129">
            <v>546.79999999999995</v>
          </cell>
        </row>
        <row r="130">
          <cell r="A130" t="str">
            <v>灯具カバーPC　2140  L=54716</v>
          </cell>
          <cell r="C130">
            <v>546.9</v>
          </cell>
        </row>
        <row r="131">
          <cell r="A131" t="str">
            <v>灯具カバーPC　2140  L=54718</v>
          </cell>
          <cell r="C131">
            <v>547</v>
          </cell>
        </row>
        <row r="132">
          <cell r="A132" t="str">
            <v>灯具カバーPC　2140  L=54720</v>
          </cell>
          <cell r="C132">
            <v>547.1</v>
          </cell>
        </row>
        <row r="133">
          <cell r="A133" t="str">
            <v>灯具カバーPC　2140  L=54722</v>
          </cell>
          <cell r="C133">
            <v>547.20000000000005</v>
          </cell>
        </row>
        <row r="134">
          <cell r="A134" t="str">
            <v>灯具カバーPC　2140  L=54724</v>
          </cell>
          <cell r="C134">
            <v>547.1</v>
          </cell>
        </row>
        <row r="135">
          <cell r="A135" t="str">
            <v>灯具カバーPC　2140  L=54726</v>
          </cell>
          <cell r="C135">
            <v>547.20000000000005</v>
          </cell>
        </row>
        <row r="136">
          <cell r="A136" t="str">
            <v>灯具カバーPC　2140  L=54728</v>
          </cell>
          <cell r="C136">
            <v>547.29999999999995</v>
          </cell>
        </row>
        <row r="137">
          <cell r="A137" t="str">
            <v>灯具カバーPC　2140  L=54730</v>
          </cell>
          <cell r="C137">
            <v>547.4</v>
          </cell>
        </row>
        <row r="138">
          <cell r="A138" t="str">
            <v>灯具カバーPC　2140  L=54732</v>
          </cell>
          <cell r="C138">
            <v>547.4</v>
          </cell>
        </row>
        <row r="139">
          <cell r="A139" t="str">
            <v>灯具カバーPC　7520  L=133404</v>
          </cell>
          <cell r="C139">
            <v>1331.9</v>
          </cell>
        </row>
        <row r="140">
          <cell r="A140" t="str">
            <v>灯具カバーPC　7520  L=133406</v>
          </cell>
          <cell r="C140">
            <v>1332.2</v>
          </cell>
        </row>
        <row r="141">
          <cell r="A141" t="str">
            <v>灯具カバーPC　7520  L=133408</v>
          </cell>
          <cell r="C141">
            <v>1332.4</v>
          </cell>
        </row>
        <row r="142">
          <cell r="A142" t="str">
            <v>灯具カバーPC　7520  L=133410</v>
          </cell>
          <cell r="C142">
            <v>1332.7</v>
          </cell>
        </row>
        <row r="143">
          <cell r="A143" t="str">
            <v>灯具カバーPC　7520  L=133412</v>
          </cell>
          <cell r="C143">
            <v>1333</v>
          </cell>
        </row>
        <row r="144">
          <cell r="A144" t="str">
            <v>灯具カバーPC　7520  L=133414</v>
          </cell>
          <cell r="C144">
            <v>1333.2</v>
          </cell>
        </row>
        <row r="145">
          <cell r="A145" t="str">
            <v>灯具カバーPC　7520  L=133416</v>
          </cell>
          <cell r="C145">
            <v>1333.5</v>
          </cell>
        </row>
        <row r="146">
          <cell r="A146" t="str">
            <v>灯具カバーPC　7520  L=133418</v>
          </cell>
          <cell r="C146">
            <v>1333.7</v>
          </cell>
        </row>
        <row r="147">
          <cell r="A147" t="str">
            <v>灯具カバーPC　7520  L=133420</v>
          </cell>
          <cell r="C147">
            <v>1334</v>
          </cell>
        </row>
        <row r="148">
          <cell r="A148" t="str">
            <v>灯具カバーPC　7520  L=133422</v>
          </cell>
          <cell r="C148">
            <v>1334.3</v>
          </cell>
        </row>
        <row r="149">
          <cell r="A149" t="str">
            <v>灯具カバーPC　7520  L=133424</v>
          </cell>
          <cell r="C149">
            <v>1334.5</v>
          </cell>
        </row>
        <row r="150">
          <cell r="A150" t="str">
            <v>灯具カバーPC　7520  L=133426</v>
          </cell>
          <cell r="C150">
            <v>1334.8</v>
          </cell>
        </row>
        <row r="151">
          <cell r="A151" t="str">
            <v>灯具カバーPC　7520  L=133428</v>
          </cell>
          <cell r="C151">
            <v>1335</v>
          </cell>
        </row>
        <row r="152">
          <cell r="A152" t="str">
            <v>灯具カバーPC　7520  L=133430</v>
          </cell>
          <cell r="C152">
            <v>1335.3</v>
          </cell>
        </row>
        <row r="153">
          <cell r="A153" t="str">
            <v>灯具カバーPC　7520  L=133432</v>
          </cell>
          <cell r="C153">
            <v>1335.6</v>
          </cell>
        </row>
        <row r="154">
          <cell r="A154" t="str">
            <v>灯具カバーPC　2180  L=1309.504</v>
          </cell>
          <cell r="C154">
            <v>1307.0999999999999</v>
          </cell>
        </row>
        <row r="155">
          <cell r="A155" t="str">
            <v>灯具カバーPC　2180  L=1309.506</v>
          </cell>
          <cell r="C155">
            <v>1308.3</v>
          </cell>
        </row>
        <row r="156">
          <cell r="A156" t="str">
            <v>灯具カバーPC　2180  L=1309.508</v>
          </cell>
          <cell r="C156">
            <v>1308.5</v>
          </cell>
        </row>
        <row r="157">
          <cell r="A157" t="str">
            <v>灯具カバーPC　2180  L=1309.510</v>
          </cell>
          <cell r="C157">
            <v>1308.5999999999999</v>
          </cell>
        </row>
        <row r="158">
          <cell r="A158" t="str">
            <v>灯具カバーPC　2180  L=1309.512</v>
          </cell>
          <cell r="C158">
            <v>1308.8</v>
          </cell>
        </row>
        <row r="159">
          <cell r="A159" t="str">
            <v>灯具カバーPC　2180  L=1309.514</v>
          </cell>
          <cell r="C159">
            <v>1309</v>
          </cell>
        </row>
        <row r="160">
          <cell r="A160" t="str">
            <v>灯具カバーPC　2180  L=1309.516</v>
          </cell>
          <cell r="C160">
            <v>1309.2</v>
          </cell>
        </row>
        <row r="161">
          <cell r="A161" t="str">
            <v>灯具カバーPC　2180  L=1309.518</v>
          </cell>
          <cell r="C161">
            <v>1309.3</v>
          </cell>
        </row>
        <row r="162">
          <cell r="A162" t="str">
            <v>灯具カバーPC　2180  L=1309.520</v>
          </cell>
          <cell r="C162">
            <v>1309.5</v>
          </cell>
        </row>
        <row r="163">
          <cell r="A163" t="str">
            <v>灯具カバーPC　2180  L=1309.522</v>
          </cell>
          <cell r="C163">
            <v>1309.7</v>
          </cell>
        </row>
        <row r="164">
          <cell r="A164" t="str">
            <v>灯具カバーPC　2180  L=1309.524</v>
          </cell>
          <cell r="C164">
            <v>1309.8</v>
          </cell>
        </row>
        <row r="165">
          <cell r="A165" t="str">
            <v>灯具カバーPC　2180  L=1309.526</v>
          </cell>
          <cell r="C165">
            <v>1310</v>
          </cell>
        </row>
        <row r="166">
          <cell r="A166" t="str">
            <v>灯具カバーPC　2180  L=1309.528</v>
          </cell>
          <cell r="C166">
            <v>1310.2</v>
          </cell>
        </row>
        <row r="167">
          <cell r="A167" t="str">
            <v>灯具カバーPC　2180  L=1309.530</v>
          </cell>
          <cell r="C167">
            <v>1310.4000000000001</v>
          </cell>
        </row>
        <row r="168">
          <cell r="A168" t="str">
            <v>灯具カバーPC　2180  L=1309.532</v>
          </cell>
          <cell r="C168">
            <v>1010.5</v>
          </cell>
        </row>
        <row r="169">
          <cell r="A169" t="str">
            <v>灯具カバーPC　2170  L=127904</v>
          </cell>
          <cell r="C169">
            <v>1277.7</v>
          </cell>
        </row>
        <row r="170">
          <cell r="A170" t="str">
            <v>灯具カバーPC　2170  L=127906</v>
          </cell>
          <cell r="C170">
            <v>1277.8</v>
          </cell>
        </row>
        <row r="171">
          <cell r="A171" t="str">
            <v>灯具カバーPC　2170  L=127908</v>
          </cell>
          <cell r="C171">
            <v>1278</v>
          </cell>
        </row>
        <row r="172">
          <cell r="A172" t="str">
            <v>灯具カバーPC　2170  L=127910</v>
          </cell>
          <cell r="C172">
            <v>1278.2</v>
          </cell>
        </row>
        <row r="173">
          <cell r="A173" t="str">
            <v>灯具カバーPC　2170  L=127912</v>
          </cell>
          <cell r="C173">
            <v>1278.3</v>
          </cell>
        </row>
        <row r="174">
          <cell r="A174" t="str">
            <v>灯具カバーPC　2170  L=127914</v>
          </cell>
          <cell r="C174">
            <v>1278.5</v>
          </cell>
        </row>
        <row r="175">
          <cell r="A175" t="str">
            <v>灯具カバーPC　2170  L=127916</v>
          </cell>
          <cell r="C175">
            <v>1278.7</v>
          </cell>
        </row>
        <row r="176">
          <cell r="A176" t="str">
            <v>灯具カバーPC　2170  L=127918</v>
          </cell>
          <cell r="C176">
            <v>1278.8</v>
          </cell>
        </row>
        <row r="177">
          <cell r="A177" t="str">
            <v>灯具カバーPC　2170  L=127920</v>
          </cell>
          <cell r="C177">
            <v>1279</v>
          </cell>
        </row>
        <row r="178">
          <cell r="A178" t="str">
            <v>灯具カバーPC　2170  L=127922</v>
          </cell>
          <cell r="C178">
            <v>1279.2</v>
          </cell>
        </row>
        <row r="179">
          <cell r="A179" t="str">
            <v>灯具カバーPC　2170  L=127924</v>
          </cell>
          <cell r="C179">
            <v>1279.3</v>
          </cell>
        </row>
        <row r="180">
          <cell r="A180" t="str">
            <v>灯具カバーPC　2170  L=127926</v>
          </cell>
          <cell r="C180">
            <v>1279.5</v>
          </cell>
        </row>
        <row r="181">
          <cell r="A181" t="str">
            <v>灯具カバーPC　2170  L=127928</v>
          </cell>
          <cell r="C181">
            <v>1279.7</v>
          </cell>
        </row>
        <row r="182">
          <cell r="A182" t="str">
            <v>灯具カバーPC　2170  L=127930</v>
          </cell>
          <cell r="C182">
            <v>1279.8</v>
          </cell>
        </row>
        <row r="183">
          <cell r="A183" t="str">
            <v>灯具カバーPC　2170  L=127932</v>
          </cell>
          <cell r="C183">
            <v>1278</v>
          </cell>
        </row>
        <row r="184">
          <cell r="A184" t="str">
            <v>灯具カバーPC　2190  L=124004</v>
          </cell>
          <cell r="C184">
            <v>1238.7</v>
          </cell>
        </row>
        <row r="185">
          <cell r="A185" t="str">
            <v>灯具カバーPC　2190  L=124006</v>
          </cell>
          <cell r="C185">
            <v>1238.9000000000001</v>
          </cell>
        </row>
        <row r="186">
          <cell r="A186" t="str">
            <v>灯具カバーPC　2190  L=124008</v>
          </cell>
          <cell r="C186">
            <v>1239</v>
          </cell>
        </row>
        <row r="187">
          <cell r="A187" t="str">
            <v>灯具カバーPC　2190  L=124010</v>
          </cell>
          <cell r="C187">
            <v>1239.2</v>
          </cell>
        </row>
        <row r="188">
          <cell r="A188" t="str">
            <v>灯具カバーPC　2190  L=124012</v>
          </cell>
          <cell r="C188">
            <v>1239.4000000000001</v>
          </cell>
        </row>
        <row r="189">
          <cell r="A189" t="str">
            <v>灯具カバーPC　2190  L=124014</v>
          </cell>
          <cell r="C189">
            <v>1239.5</v>
          </cell>
        </row>
        <row r="190">
          <cell r="A190" t="str">
            <v>灯具カバーPC　2190  L=124016</v>
          </cell>
          <cell r="C190">
            <v>1239.7</v>
          </cell>
        </row>
        <row r="191">
          <cell r="A191" t="str">
            <v>灯具カバーPC　2190  L=124018</v>
          </cell>
          <cell r="C191">
            <v>1239.8</v>
          </cell>
        </row>
        <row r="192">
          <cell r="A192" t="str">
            <v>灯具カバーPC　2190  L=124020</v>
          </cell>
          <cell r="C192">
            <v>1240</v>
          </cell>
        </row>
        <row r="193">
          <cell r="A193" t="str">
            <v>灯具カバーPC　2190  L=124022</v>
          </cell>
          <cell r="C193">
            <v>1240.2</v>
          </cell>
        </row>
        <row r="194">
          <cell r="A194" t="str">
            <v>灯具カバーPC　2190  L=124024</v>
          </cell>
          <cell r="C194">
            <v>1240.3</v>
          </cell>
        </row>
        <row r="195">
          <cell r="A195" t="str">
            <v>灯具カバーPC　2190  L=124026</v>
          </cell>
          <cell r="C195">
            <v>1240.5</v>
          </cell>
        </row>
        <row r="196">
          <cell r="A196" t="str">
            <v>灯具カバーPC　2190  L=124028</v>
          </cell>
          <cell r="C196">
            <v>1240.5999999999999</v>
          </cell>
        </row>
        <row r="197">
          <cell r="A197" t="str">
            <v>灯具カバーPC　2190  L=124030</v>
          </cell>
          <cell r="C197">
            <v>1240.8</v>
          </cell>
        </row>
        <row r="198">
          <cell r="A198" t="str">
            <v>灯具カバーPC　2190  L=124032</v>
          </cell>
          <cell r="C198">
            <v>1241</v>
          </cell>
        </row>
        <row r="199">
          <cell r="A199" t="str">
            <v>灯具カバーPC　2160  L=613.304</v>
          </cell>
          <cell r="C199">
            <v>612.5</v>
          </cell>
        </row>
        <row r="200">
          <cell r="A200" t="str">
            <v>灯具カバーPC　2160  L=613.306</v>
          </cell>
          <cell r="C200">
            <v>612.6</v>
          </cell>
        </row>
        <row r="201">
          <cell r="A201" t="str">
            <v>灯具カバーPC　2160  L=613.308</v>
          </cell>
          <cell r="C201">
            <v>612.70000000000005</v>
          </cell>
        </row>
        <row r="202">
          <cell r="A202" t="str">
            <v>灯具カバーPC　2160  L=613.310</v>
          </cell>
          <cell r="C202">
            <v>612.79999999999995</v>
          </cell>
        </row>
        <row r="203">
          <cell r="A203" t="str">
            <v>灯具カバーPC　2160  L=613.312</v>
          </cell>
          <cell r="C203">
            <v>612.9</v>
          </cell>
        </row>
        <row r="204">
          <cell r="A204" t="str">
            <v>灯具カバーPC　2160  L=613.314</v>
          </cell>
          <cell r="C204">
            <v>613</v>
          </cell>
        </row>
        <row r="205">
          <cell r="A205" t="str">
            <v>灯具カバーPC　2160  L=613.316</v>
          </cell>
          <cell r="C205">
            <v>613.1</v>
          </cell>
        </row>
        <row r="206">
          <cell r="A206" t="str">
            <v>灯具カバーPC　2160  L=613.318</v>
          </cell>
          <cell r="C206">
            <v>613.20000000000005</v>
          </cell>
        </row>
        <row r="207">
          <cell r="A207" t="str">
            <v>灯具カバーPC　2160  L=613.320</v>
          </cell>
          <cell r="C207">
            <v>613.29999999999995</v>
          </cell>
        </row>
        <row r="208">
          <cell r="A208" t="str">
            <v>灯具カバーPC　2160  L=613.322</v>
          </cell>
          <cell r="C208">
            <v>613.4</v>
          </cell>
        </row>
        <row r="209">
          <cell r="A209" t="str">
            <v>灯具カバーPC　2160  L=613.324</v>
          </cell>
          <cell r="C209">
            <v>613.5</v>
          </cell>
        </row>
        <row r="210">
          <cell r="A210" t="str">
            <v>灯具カバーPC　2160  L=613.326</v>
          </cell>
          <cell r="C210">
            <v>613.6</v>
          </cell>
        </row>
        <row r="211">
          <cell r="A211" t="str">
            <v>灯具カバーPC　2160  L=613.328</v>
          </cell>
          <cell r="C211">
            <v>613.70000000000005</v>
          </cell>
        </row>
        <row r="212">
          <cell r="A212" t="str">
            <v>灯具カバーPC　2160  L=613.330</v>
          </cell>
          <cell r="C212">
            <v>613.79999999999995</v>
          </cell>
        </row>
        <row r="213">
          <cell r="A213" t="str">
            <v>灯具カバーPC　2160  L=613.332</v>
          </cell>
          <cell r="C213">
            <v>613.9</v>
          </cell>
        </row>
        <row r="214">
          <cell r="A214" t="str">
            <v>灯具カバーPC　7530  L=56504</v>
          </cell>
          <cell r="C214">
            <v>564.20000000000005</v>
          </cell>
        </row>
        <row r="215">
          <cell r="A215" t="str">
            <v>灯具カバーPC　7530  L=56506</v>
          </cell>
          <cell r="C215">
            <v>564.29999999999995</v>
          </cell>
        </row>
        <row r="216">
          <cell r="A216" t="str">
            <v>灯具カバーPC　7530  L=56508</v>
          </cell>
          <cell r="C216">
            <v>564.5</v>
          </cell>
        </row>
        <row r="217">
          <cell r="A217" t="str">
            <v>灯具カバーPC　7530  L=56510</v>
          </cell>
          <cell r="C217">
            <v>564.6</v>
          </cell>
        </row>
        <row r="218">
          <cell r="A218" t="str">
            <v>灯具カバーPC　7530  L=56512</v>
          </cell>
          <cell r="C218">
            <v>564.70000000000005</v>
          </cell>
        </row>
        <row r="219">
          <cell r="A219" t="str">
            <v>灯具カバーPC　7530  L=56514</v>
          </cell>
          <cell r="C219">
            <v>564.79999999999995</v>
          </cell>
        </row>
        <row r="220">
          <cell r="A220" t="str">
            <v>灯具カバーPC　7530  L=56516</v>
          </cell>
          <cell r="C220">
            <v>564.9</v>
          </cell>
        </row>
        <row r="221">
          <cell r="A221" t="str">
            <v>灯具カバーPC　7530  L=56518</v>
          </cell>
          <cell r="C221">
            <v>565</v>
          </cell>
        </row>
        <row r="222">
          <cell r="A222" t="str">
            <v>灯具カバーPC　7530  L=56520</v>
          </cell>
          <cell r="C222">
            <v>565</v>
          </cell>
        </row>
        <row r="223">
          <cell r="A223" t="str">
            <v>灯具カバーPC　7530  L=56522</v>
          </cell>
          <cell r="C223">
            <v>565.1</v>
          </cell>
        </row>
        <row r="224">
          <cell r="A224" t="str">
            <v>灯具カバーPC　7530  L=56524</v>
          </cell>
          <cell r="C224">
            <v>565.20000000000005</v>
          </cell>
        </row>
        <row r="225">
          <cell r="A225" t="str">
            <v>灯具カバーPC　7530  L=56526</v>
          </cell>
          <cell r="C225">
            <v>565.4</v>
          </cell>
        </row>
        <row r="226">
          <cell r="A226" t="str">
            <v>灯具カバーPC　7530  L=56528</v>
          </cell>
          <cell r="C226">
            <v>565.6</v>
          </cell>
        </row>
        <row r="227">
          <cell r="A227" t="str">
            <v>灯具カバーPC　7530  L=56530</v>
          </cell>
          <cell r="C227">
            <v>565.70000000000005</v>
          </cell>
        </row>
        <row r="228">
          <cell r="A228" t="str">
            <v>灯具カバーPC　7530  L=56532</v>
          </cell>
          <cell r="C228">
            <v>565.70000000000005</v>
          </cell>
        </row>
        <row r="229">
          <cell r="A229" t="str">
            <v>灯具カバーPC　2200  L=221.804</v>
          </cell>
          <cell r="C229">
            <v>220.6</v>
          </cell>
        </row>
        <row r="230">
          <cell r="A230" t="str">
            <v>灯具カバーPC　2200  L=221.806</v>
          </cell>
          <cell r="C230">
            <v>220.8</v>
          </cell>
        </row>
        <row r="231">
          <cell r="A231" t="str">
            <v>灯具カバーPC　2200  L=221.808</v>
          </cell>
          <cell r="C231">
            <v>220.9</v>
          </cell>
        </row>
        <row r="232">
          <cell r="A232" t="str">
            <v>灯具カバーPC　2200  L=221.810</v>
          </cell>
          <cell r="C232">
            <v>221.1</v>
          </cell>
        </row>
        <row r="233">
          <cell r="A233" t="str">
            <v>灯具カバーPC　2200  L=221.812</v>
          </cell>
          <cell r="C233">
            <v>221.2</v>
          </cell>
        </row>
        <row r="234">
          <cell r="A234" t="str">
            <v>灯具カバーPC　2200  L=221.814</v>
          </cell>
          <cell r="C234">
            <v>221.4</v>
          </cell>
        </row>
        <row r="235">
          <cell r="A235" t="str">
            <v>灯具カバーPC　2200  L=221.816</v>
          </cell>
          <cell r="C235">
            <v>221.5</v>
          </cell>
        </row>
        <row r="236">
          <cell r="A236" t="str">
            <v>灯具カバーPC　2200  L=221.818</v>
          </cell>
          <cell r="C236">
            <v>221.7</v>
          </cell>
        </row>
        <row r="237">
          <cell r="A237" t="str">
            <v>灯具カバーPC　2200  L=221.820</v>
          </cell>
          <cell r="C237">
            <v>221.8</v>
          </cell>
        </row>
        <row r="238">
          <cell r="A238" t="str">
            <v>灯具カバーPC　2200  L=221.822</v>
          </cell>
          <cell r="C238">
            <v>222</v>
          </cell>
        </row>
        <row r="239">
          <cell r="A239" t="str">
            <v>灯具カバーPC　2200  L=221.824</v>
          </cell>
          <cell r="C239">
            <v>222.2</v>
          </cell>
        </row>
        <row r="240">
          <cell r="A240" t="str">
            <v>灯具カバーPC　2200  L=221.826</v>
          </cell>
          <cell r="C240">
            <v>222.3</v>
          </cell>
        </row>
        <row r="241">
          <cell r="A241" t="str">
            <v>灯具カバーPC　2200  L=221.828</v>
          </cell>
          <cell r="C241">
            <v>222.5</v>
          </cell>
        </row>
        <row r="242">
          <cell r="A242" t="str">
            <v>灯具カバーPC　2200  L=221.830</v>
          </cell>
          <cell r="C242">
            <v>222.6</v>
          </cell>
        </row>
        <row r="243">
          <cell r="A243" t="str">
            <v>灯具カバーPC　2200  L=221.832</v>
          </cell>
          <cell r="C243">
            <v>222.8</v>
          </cell>
        </row>
        <row r="244">
          <cell r="A244" t="str">
            <v>採光ルーバーパネルA　L=199604</v>
          </cell>
          <cell r="C244">
            <v>1994.92</v>
          </cell>
        </row>
        <row r="245">
          <cell r="A245" t="str">
            <v>採光ルーバーパネルA　L=199606</v>
          </cell>
          <cell r="C245">
            <v>1995.18</v>
          </cell>
        </row>
        <row r="246">
          <cell r="A246" t="str">
            <v>採光ルーバーパネルA　L=199608</v>
          </cell>
          <cell r="C246">
            <v>1995.44</v>
          </cell>
        </row>
        <row r="247">
          <cell r="A247" t="str">
            <v>採光ルーバーパネルA　L=199610</v>
          </cell>
          <cell r="C247">
            <v>1995.7</v>
          </cell>
        </row>
        <row r="248">
          <cell r="A248" t="str">
            <v>採光ルーバーパネルA　L=199612</v>
          </cell>
          <cell r="C248">
            <v>1995.96</v>
          </cell>
        </row>
        <row r="249">
          <cell r="A249" t="str">
            <v>採光ルーバーパネルA　L=199614</v>
          </cell>
          <cell r="C249">
            <v>1996.22</v>
          </cell>
        </row>
        <row r="250">
          <cell r="A250" t="str">
            <v>採光ルーバーパネルA　L=199616</v>
          </cell>
          <cell r="C250">
            <v>1996.48</v>
          </cell>
        </row>
        <row r="251">
          <cell r="A251" t="str">
            <v>採光ルーバーパネルA　L=199618</v>
          </cell>
          <cell r="C251">
            <v>1996.74</v>
          </cell>
        </row>
        <row r="252">
          <cell r="A252" t="str">
            <v>採光ルーバーパネルA　L=199620</v>
          </cell>
          <cell r="C252">
            <v>1997</v>
          </cell>
        </row>
        <row r="253">
          <cell r="A253" t="str">
            <v>採光ルーバーパネルA　L=199622</v>
          </cell>
          <cell r="C253">
            <v>1997.26</v>
          </cell>
        </row>
        <row r="254">
          <cell r="A254" t="str">
            <v>採光ルーバーパネルA　L=199624</v>
          </cell>
          <cell r="C254">
            <v>1997.52</v>
          </cell>
        </row>
        <row r="255">
          <cell r="A255" t="str">
            <v>採光ルーバーパネルA　L=199626</v>
          </cell>
          <cell r="C255">
            <v>1997.78</v>
          </cell>
        </row>
        <row r="256">
          <cell r="A256" t="str">
            <v>採光ルーバーパネルA　L=199628</v>
          </cell>
          <cell r="C256">
            <v>1998.04</v>
          </cell>
        </row>
        <row r="257">
          <cell r="A257" t="str">
            <v>採光ルーバーパネルA　L=199630</v>
          </cell>
          <cell r="C257">
            <v>1998.3</v>
          </cell>
        </row>
        <row r="258">
          <cell r="A258" t="str">
            <v>採光ルーバーパネルA　L=199632</v>
          </cell>
          <cell r="C258">
            <v>1998.56</v>
          </cell>
        </row>
        <row r="259">
          <cell r="A259" t="str">
            <v>採光ルーバーパネルB　L=199604</v>
          </cell>
          <cell r="C259">
            <v>1994.92</v>
          </cell>
        </row>
        <row r="260">
          <cell r="A260" t="str">
            <v>採光ルーバーパネルB　L=199606</v>
          </cell>
          <cell r="C260">
            <v>1995.18</v>
          </cell>
        </row>
        <row r="261">
          <cell r="A261" t="str">
            <v>採光ルーバーパネルB　L=199608</v>
          </cell>
          <cell r="C261">
            <v>1995.44</v>
          </cell>
        </row>
        <row r="262">
          <cell r="A262" t="str">
            <v>採光ルーバーパネルB　L=199610</v>
          </cell>
          <cell r="C262">
            <v>1995.7</v>
          </cell>
        </row>
        <row r="263">
          <cell r="A263" t="str">
            <v>採光ルーバーパネルB　L=199612</v>
          </cell>
          <cell r="C263">
            <v>1995.96</v>
          </cell>
        </row>
        <row r="264">
          <cell r="A264" t="str">
            <v>採光ルーバーパネルB　L=199614</v>
          </cell>
          <cell r="C264">
            <v>1996.22</v>
          </cell>
        </row>
        <row r="265">
          <cell r="A265" t="str">
            <v>採光ルーバーパネルB　L=199616</v>
          </cell>
          <cell r="C265">
            <v>1996.48</v>
          </cell>
        </row>
        <row r="266">
          <cell r="A266" t="str">
            <v>採光ルーバーパネルB　L=199618</v>
          </cell>
          <cell r="C266">
            <v>1996.74</v>
          </cell>
        </row>
        <row r="267">
          <cell r="A267" t="str">
            <v>採光ルーバーパネルB　L=199620</v>
          </cell>
          <cell r="C267">
            <v>1997</v>
          </cell>
        </row>
        <row r="268">
          <cell r="A268" t="str">
            <v>採光ルーバーパネルB　L=199622</v>
          </cell>
          <cell r="C268">
            <v>1997.26</v>
          </cell>
        </row>
        <row r="269">
          <cell r="A269" t="str">
            <v>採光ルーバーパネルB　L=199624</v>
          </cell>
          <cell r="C269">
            <v>1997.52</v>
          </cell>
        </row>
        <row r="270">
          <cell r="A270" t="str">
            <v>採光ルーバーパネルB　L=199626</v>
          </cell>
          <cell r="C270">
            <v>1997.78</v>
          </cell>
        </row>
        <row r="271">
          <cell r="A271" t="str">
            <v>採光ルーバーパネルB　L=199628</v>
          </cell>
          <cell r="C271">
            <v>1998.04</v>
          </cell>
        </row>
        <row r="272">
          <cell r="A272" t="str">
            <v>採光ルーバーパネルB　L=199630</v>
          </cell>
          <cell r="C272">
            <v>1998.3</v>
          </cell>
        </row>
        <row r="273">
          <cell r="A273" t="str">
            <v>採光ルーバーパネルB　L=199632</v>
          </cell>
          <cell r="C273">
            <v>1998.56</v>
          </cell>
        </row>
        <row r="274">
          <cell r="A274" t="str">
            <v>採光ルーバーパネルB　L=199634</v>
          </cell>
          <cell r="C274">
            <v>1998.82</v>
          </cell>
        </row>
        <row r="275">
          <cell r="A275" t="str">
            <v>採光ルーバーパネルB　L=199636</v>
          </cell>
          <cell r="C275">
            <v>1999.08</v>
          </cell>
        </row>
        <row r="276">
          <cell r="A276" t="str">
            <v>8FL281304 4810　L=29704</v>
          </cell>
          <cell r="C276">
            <v>269.69</v>
          </cell>
        </row>
        <row r="277">
          <cell r="A277" t="str">
            <v>8FL281304 4810　L=29706</v>
          </cell>
          <cell r="C277">
            <v>296.73</v>
          </cell>
        </row>
        <row r="278">
          <cell r="A278" t="str">
            <v>8FL281304 4810　L=29708</v>
          </cell>
          <cell r="C278">
            <v>296.77</v>
          </cell>
        </row>
        <row r="279">
          <cell r="A279" t="str">
            <v>8FL281304 4810　L=29710</v>
          </cell>
          <cell r="C279">
            <v>296.81</v>
          </cell>
        </row>
        <row r="280">
          <cell r="A280" t="str">
            <v>8FL281304 4810　L=29712</v>
          </cell>
          <cell r="C280">
            <v>296.85000000000002</v>
          </cell>
        </row>
        <row r="281">
          <cell r="A281" t="str">
            <v>8FL281304 4810　L=29714</v>
          </cell>
          <cell r="C281">
            <v>296.88</v>
          </cell>
        </row>
        <row r="282">
          <cell r="A282" t="str">
            <v>8FL281304 4810　L=29716</v>
          </cell>
          <cell r="C282">
            <v>296.92</v>
          </cell>
        </row>
        <row r="283">
          <cell r="A283" t="str">
            <v>8FL281304 4810　L=29718</v>
          </cell>
          <cell r="C283">
            <v>296.95999999999998</v>
          </cell>
        </row>
        <row r="284">
          <cell r="A284" t="str">
            <v>8FL281304 4810　L=29720</v>
          </cell>
          <cell r="C284">
            <v>297</v>
          </cell>
        </row>
        <row r="285">
          <cell r="A285" t="str">
            <v>8FL281304 4810　L=29722</v>
          </cell>
          <cell r="C285">
            <v>297.04000000000002</v>
          </cell>
        </row>
        <row r="286">
          <cell r="A286" t="str">
            <v>8FL281304 4810　L=29724</v>
          </cell>
          <cell r="C286">
            <v>297.08</v>
          </cell>
        </row>
        <row r="287">
          <cell r="A287" t="str">
            <v>8FL281304 4810　L=29726</v>
          </cell>
          <cell r="C287">
            <v>297.12</v>
          </cell>
        </row>
        <row r="288">
          <cell r="A288" t="str">
            <v>8FL281304 4810　L=29728</v>
          </cell>
          <cell r="C288">
            <v>297.14999999999998</v>
          </cell>
        </row>
        <row r="289">
          <cell r="A289" t="str">
            <v>8FL281304 4810　L=29730</v>
          </cell>
          <cell r="C289">
            <v>297.19</v>
          </cell>
        </row>
        <row r="290">
          <cell r="A290" t="str">
            <v>8FL281304 4810　L=29732</v>
          </cell>
          <cell r="C290">
            <v>297.23</v>
          </cell>
        </row>
        <row r="291">
          <cell r="A291" t="str">
            <v>8FL281304 8110　L=44404</v>
          </cell>
          <cell r="C291">
            <v>443.04</v>
          </cell>
        </row>
        <row r="292">
          <cell r="A292" t="str">
            <v>8FL281304 8110　L=44406</v>
          </cell>
          <cell r="C292">
            <v>443.1</v>
          </cell>
        </row>
        <row r="293">
          <cell r="A293" t="str">
            <v>8FL281304 8110　L=44408</v>
          </cell>
          <cell r="C293">
            <v>443.15</v>
          </cell>
        </row>
        <row r="294">
          <cell r="A294" t="str">
            <v>8FL281304 8110　L=44410</v>
          </cell>
          <cell r="C294">
            <v>443.21</v>
          </cell>
        </row>
        <row r="295">
          <cell r="A295" t="str">
            <v>8FL281304 8110　L=44412</v>
          </cell>
          <cell r="C295">
            <v>443.27</v>
          </cell>
        </row>
        <row r="296">
          <cell r="A296" t="str">
            <v>8FL281304 8110　L=44414</v>
          </cell>
          <cell r="C296">
            <v>443.33</v>
          </cell>
        </row>
        <row r="297">
          <cell r="A297" t="str">
            <v>8FL281304 8110　L=44416</v>
          </cell>
          <cell r="C297">
            <v>443.38</v>
          </cell>
        </row>
        <row r="298">
          <cell r="A298" t="str">
            <v>8FL281304 8110　L=44418</v>
          </cell>
          <cell r="C298">
            <v>443.44</v>
          </cell>
        </row>
        <row r="299">
          <cell r="A299" t="str">
            <v>8FL281304 8110　L=44420</v>
          </cell>
          <cell r="C299">
            <v>443.5</v>
          </cell>
        </row>
        <row r="300">
          <cell r="A300" t="str">
            <v>8FL281304 8110　L=44422</v>
          </cell>
          <cell r="C300">
            <v>443.56</v>
          </cell>
        </row>
        <row r="301">
          <cell r="A301" t="str">
            <v>8FL281304 8110　L=44424</v>
          </cell>
          <cell r="C301">
            <v>443.62</v>
          </cell>
        </row>
        <row r="302">
          <cell r="A302" t="str">
            <v>8FL281304 8110　L=44426</v>
          </cell>
          <cell r="C302">
            <v>443.67</v>
          </cell>
        </row>
        <row r="303">
          <cell r="A303" t="str">
            <v>8FL281304 8110　L=44428</v>
          </cell>
          <cell r="C303">
            <v>443.73</v>
          </cell>
        </row>
        <row r="304">
          <cell r="A304" t="str">
            <v>8FL281304 8110　L=44430</v>
          </cell>
          <cell r="C304">
            <v>443.79</v>
          </cell>
        </row>
        <row r="305">
          <cell r="A305" t="str">
            <v>8FL281304 8110　L=44432</v>
          </cell>
          <cell r="C305">
            <v>443.85</v>
          </cell>
        </row>
        <row r="306">
          <cell r="A306" t="str">
            <v>8FL281304 4910　L=59204</v>
          </cell>
          <cell r="C306">
            <v>590.88</v>
          </cell>
        </row>
        <row r="307">
          <cell r="A307" t="str">
            <v>8FL281304 4910　L=59206</v>
          </cell>
          <cell r="C307">
            <v>590.96</v>
          </cell>
        </row>
        <row r="308">
          <cell r="A308" t="str">
            <v>8FL281304 4910　L=59208</v>
          </cell>
          <cell r="C308">
            <v>591.04</v>
          </cell>
        </row>
        <row r="309">
          <cell r="A309" t="str">
            <v>8FL281304 4910　L=59210</v>
          </cell>
          <cell r="C309">
            <v>591.12</v>
          </cell>
        </row>
        <row r="310">
          <cell r="A310" t="str">
            <v>8FL281304 4910　L=59212</v>
          </cell>
          <cell r="C310">
            <v>591.19000000000005</v>
          </cell>
        </row>
        <row r="311">
          <cell r="A311" t="str">
            <v>8FL281304 4910　L=59214</v>
          </cell>
          <cell r="C311">
            <v>591.27</v>
          </cell>
        </row>
        <row r="312">
          <cell r="A312" t="str">
            <v>8FL281304 4910　L=59216</v>
          </cell>
          <cell r="C312">
            <v>591.35</v>
          </cell>
        </row>
        <row r="313">
          <cell r="A313" t="str">
            <v>8FL281304 4910　L=59218</v>
          </cell>
          <cell r="C313">
            <v>591.41999999999996</v>
          </cell>
        </row>
        <row r="314">
          <cell r="A314" t="str">
            <v>8FL281304 4910　L=59220</v>
          </cell>
          <cell r="C314">
            <v>591.5</v>
          </cell>
        </row>
        <row r="315">
          <cell r="A315" t="str">
            <v>8FL281304 4910　L=59222</v>
          </cell>
          <cell r="C315">
            <v>591.58000000000004</v>
          </cell>
        </row>
        <row r="316">
          <cell r="A316" t="str">
            <v>8FL281304 4910　L=59224</v>
          </cell>
          <cell r="C316">
            <v>591.65</v>
          </cell>
        </row>
        <row r="317">
          <cell r="A317" t="str">
            <v>8FL281304 4910　L=59226</v>
          </cell>
          <cell r="C317">
            <v>591.73</v>
          </cell>
        </row>
        <row r="318">
          <cell r="A318" t="str">
            <v>8FL281304 4910　L=59228</v>
          </cell>
          <cell r="C318">
            <v>591.80999999999995</v>
          </cell>
        </row>
        <row r="319">
          <cell r="A319" t="str">
            <v>8FL281304 4910　L=59230</v>
          </cell>
          <cell r="C319">
            <v>591.88</v>
          </cell>
        </row>
        <row r="320">
          <cell r="A320" t="str">
            <v>8FL281304 4910　L=59232</v>
          </cell>
          <cell r="C320">
            <v>591.96</v>
          </cell>
        </row>
        <row r="321">
          <cell r="A321" t="str">
            <v>8FL281304 8310　L=74804</v>
          </cell>
          <cell r="C321">
            <v>747.22</v>
          </cell>
        </row>
        <row r="322">
          <cell r="A322" t="str">
            <v>8FL281304 8310　L=74806</v>
          </cell>
          <cell r="C322">
            <v>747.32</v>
          </cell>
        </row>
        <row r="323">
          <cell r="A323" t="str">
            <v>8FL281304 8310　L=74808</v>
          </cell>
          <cell r="C323">
            <v>747.42</v>
          </cell>
        </row>
        <row r="324">
          <cell r="A324" t="str">
            <v>8FL281304 8310　L=74810</v>
          </cell>
          <cell r="C324">
            <v>747.51</v>
          </cell>
        </row>
        <row r="325">
          <cell r="A325" t="str">
            <v>8FL281304 8310　L=74812</v>
          </cell>
          <cell r="C325">
            <v>747.61</v>
          </cell>
        </row>
        <row r="326">
          <cell r="A326" t="str">
            <v>8FL281304 8310　L=74814</v>
          </cell>
          <cell r="C326">
            <v>747.71</v>
          </cell>
        </row>
        <row r="327">
          <cell r="A327" t="str">
            <v>8FL281304 8310　L=74816</v>
          </cell>
          <cell r="C327">
            <v>747.81</v>
          </cell>
        </row>
        <row r="328">
          <cell r="A328" t="str">
            <v>8FL281304 8310　L=74818</v>
          </cell>
          <cell r="C328">
            <v>747.9</v>
          </cell>
        </row>
        <row r="329">
          <cell r="A329" t="str">
            <v>8FL281304 8310　L=74820</v>
          </cell>
          <cell r="C329">
            <v>748</v>
          </cell>
        </row>
        <row r="330">
          <cell r="A330" t="str">
            <v>8FL281304 8310　L=74822</v>
          </cell>
          <cell r="C330">
            <v>748.1</v>
          </cell>
        </row>
        <row r="331">
          <cell r="A331" t="str">
            <v>8FL281304 8310　L=74824</v>
          </cell>
          <cell r="C331">
            <v>748.19</v>
          </cell>
        </row>
        <row r="332">
          <cell r="A332" t="str">
            <v>8FL281304 8310　L=74826</v>
          </cell>
          <cell r="C332">
            <v>748.29</v>
          </cell>
        </row>
        <row r="333">
          <cell r="A333" t="str">
            <v>8FL281304 8310　L=74828</v>
          </cell>
          <cell r="C333">
            <v>748.39</v>
          </cell>
        </row>
        <row r="334">
          <cell r="A334" t="str">
            <v>8FL281304 8310　L=74830</v>
          </cell>
          <cell r="C334">
            <v>748.49</v>
          </cell>
        </row>
        <row r="335">
          <cell r="A335" t="str">
            <v>8FL281304 8310　L=74832</v>
          </cell>
          <cell r="C335">
            <v>748.58</v>
          </cell>
        </row>
        <row r="336">
          <cell r="A336" t="str">
            <v>8FL281304 5010　L=88804</v>
          </cell>
          <cell r="C336">
            <v>887.08</v>
          </cell>
        </row>
        <row r="337">
          <cell r="A337" t="str">
            <v>8FL281304 5010　L=88806</v>
          </cell>
          <cell r="C337">
            <v>887.19</v>
          </cell>
        </row>
        <row r="338">
          <cell r="A338" t="str">
            <v>8FL281304 5010　L=88808</v>
          </cell>
          <cell r="C338">
            <v>887.31</v>
          </cell>
        </row>
        <row r="339">
          <cell r="A339" t="str">
            <v>8FL281304 5010　L=88810</v>
          </cell>
          <cell r="C339">
            <v>887.42</v>
          </cell>
        </row>
        <row r="340">
          <cell r="A340" t="str">
            <v>8FL281304 5010　L=88812</v>
          </cell>
          <cell r="C340">
            <v>887.54</v>
          </cell>
        </row>
        <row r="341">
          <cell r="A341" t="str">
            <v>8FL281304 5010　L=88814</v>
          </cell>
          <cell r="C341">
            <v>887.65</v>
          </cell>
        </row>
        <row r="342">
          <cell r="A342" t="str">
            <v>8FL281304 5010　L=88816</v>
          </cell>
          <cell r="C342">
            <v>887.77</v>
          </cell>
        </row>
        <row r="343">
          <cell r="A343" t="str">
            <v>8FL281304 5010　L=88818</v>
          </cell>
          <cell r="C343">
            <v>887.88</v>
          </cell>
        </row>
        <row r="344">
          <cell r="A344" t="str">
            <v>8FL281304 5010　L=88820</v>
          </cell>
          <cell r="C344">
            <v>888</v>
          </cell>
        </row>
        <row r="345">
          <cell r="A345" t="str">
            <v>8FL281304 5010　L=88822</v>
          </cell>
          <cell r="C345">
            <v>888.12</v>
          </cell>
        </row>
        <row r="346">
          <cell r="A346" t="str">
            <v>8FL281304 5010　L=88824</v>
          </cell>
          <cell r="C346">
            <v>888.23</v>
          </cell>
        </row>
        <row r="347">
          <cell r="A347" t="str">
            <v>8FL281304 5010　L=88826</v>
          </cell>
          <cell r="C347">
            <v>888.35</v>
          </cell>
        </row>
        <row r="348">
          <cell r="A348" t="str">
            <v>8FL281304 5010　L=88828</v>
          </cell>
          <cell r="C348">
            <v>888.46</v>
          </cell>
        </row>
        <row r="349">
          <cell r="A349" t="str">
            <v>8FL281304 5010　L=88830</v>
          </cell>
          <cell r="C349">
            <v>888.58</v>
          </cell>
        </row>
        <row r="350">
          <cell r="A350" t="str">
            <v>8FL281304 5010　L=88832</v>
          </cell>
          <cell r="C350">
            <v>888.69</v>
          </cell>
        </row>
        <row r="351">
          <cell r="A351" t="str">
            <v>8FL281304 5110　L=118304</v>
          </cell>
          <cell r="C351">
            <v>1181.77</v>
          </cell>
        </row>
        <row r="352">
          <cell r="A352" t="str">
            <v>8FL281304 5110　L=118306</v>
          </cell>
          <cell r="C352">
            <v>1181.92</v>
          </cell>
        </row>
        <row r="353">
          <cell r="A353" t="str">
            <v>8FL281304 5110　L=118308</v>
          </cell>
          <cell r="C353">
            <v>1182.08</v>
          </cell>
        </row>
        <row r="354">
          <cell r="A354" t="str">
            <v>8FL281304 5110　L=118310</v>
          </cell>
          <cell r="C354">
            <v>1182.23</v>
          </cell>
        </row>
        <row r="355">
          <cell r="A355" t="str">
            <v>8FL281304 5110　L=118312</v>
          </cell>
          <cell r="C355">
            <v>1182.3800000000001</v>
          </cell>
        </row>
        <row r="356">
          <cell r="A356" t="str">
            <v>8FL281304 5110　L=118314</v>
          </cell>
          <cell r="C356">
            <v>1182.54</v>
          </cell>
        </row>
        <row r="357">
          <cell r="A357" t="str">
            <v>8FL281304 5110　L=118316</v>
          </cell>
          <cell r="C357">
            <v>1182.69</v>
          </cell>
        </row>
        <row r="358">
          <cell r="A358" t="str">
            <v>8FL281304 5110　L=118318</v>
          </cell>
          <cell r="C358">
            <v>1182.8499999999999</v>
          </cell>
        </row>
        <row r="359">
          <cell r="A359" t="str">
            <v>8FL281304 5110　L=118320</v>
          </cell>
          <cell r="C359">
            <v>1183</v>
          </cell>
        </row>
        <row r="360">
          <cell r="A360" t="str">
            <v>8FL281304 5110　L=118322</v>
          </cell>
          <cell r="C360">
            <v>1183.1500000000001</v>
          </cell>
        </row>
        <row r="361">
          <cell r="A361" t="str">
            <v>8FL281304 5110　L=118324</v>
          </cell>
          <cell r="C361">
            <v>1183.31</v>
          </cell>
        </row>
        <row r="362">
          <cell r="A362" t="str">
            <v>8FL281304 5110　L=118326</v>
          </cell>
          <cell r="C362">
            <v>1183.46</v>
          </cell>
        </row>
        <row r="363">
          <cell r="A363" t="str">
            <v>8FL281304 5110　L=118328</v>
          </cell>
          <cell r="C363">
            <v>4483.62</v>
          </cell>
        </row>
        <row r="364">
          <cell r="A364" t="str">
            <v>8FL281304 5110　L=118330</v>
          </cell>
          <cell r="C364">
            <v>1183.77</v>
          </cell>
        </row>
        <row r="365">
          <cell r="A365" t="str">
            <v>8FL281304 5110　L=118332</v>
          </cell>
          <cell r="C365">
            <v>1183.92</v>
          </cell>
        </row>
        <row r="366">
          <cell r="A366" t="str">
            <v>8FL281304 8010　L=132904</v>
          </cell>
          <cell r="C366">
            <v>1327.62</v>
          </cell>
        </row>
        <row r="367">
          <cell r="A367" t="str">
            <v>8FL281304 8010　L=132906</v>
          </cell>
          <cell r="C367">
            <v>1327.79</v>
          </cell>
        </row>
        <row r="368">
          <cell r="A368" t="str">
            <v>8FL281304 8010　L=132908</v>
          </cell>
          <cell r="C368">
            <v>1327.96</v>
          </cell>
        </row>
        <row r="369">
          <cell r="A369" t="str">
            <v>8FL281304 8010　L=132910</v>
          </cell>
          <cell r="C369">
            <v>1328.14</v>
          </cell>
        </row>
        <row r="370">
          <cell r="A370" t="str">
            <v>8FL281304 8010　L=132912</v>
          </cell>
          <cell r="C370">
            <v>1328.31</v>
          </cell>
        </row>
        <row r="371">
          <cell r="A371" t="str">
            <v>8FL281304 8010　L=132914</v>
          </cell>
          <cell r="C371">
            <v>1328.48</v>
          </cell>
        </row>
        <row r="372">
          <cell r="A372" t="str">
            <v>8FL281304 8010　L=132916</v>
          </cell>
          <cell r="C372">
            <v>1328.65</v>
          </cell>
        </row>
        <row r="373">
          <cell r="A373" t="str">
            <v>8FL281304 8010　L=132918</v>
          </cell>
          <cell r="C373">
            <v>1328.83</v>
          </cell>
        </row>
        <row r="374">
          <cell r="A374" t="str">
            <v>8FL281304 8010　L=132920</v>
          </cell>
          <cell r="C374">
            <v>1329</v>
          </cell>
        </row>
        <row r="375">
          <cell r="A375" t="str">
            <v>8FL281304 8010　L=132922</v>
          </cell>
          <cell r="C375">
            <v>1329.17</v>
          </cell>
        </row>
        <row r="376">
          <cell r="A376" t="str">
            <v>8FL281304 8010　L=132924</v>
          </cell>
          <cell r="C376">
            <v>1329.35</v>
          </cell>
        </row>
        <row r="377">
          <cell r="A377" t="str">
            <v>8FL281304 8010　L=132926</v>
          </cell>
          <cell r="C377">
            <v>1329.52</v>
          </cell>
        </row>
        <row r="378">
          <cell r="A378" t="str">
            <v>8FL281304 8010　L=132928</v>
          </cell>
          <cell r="C378">
            <v>1329.69</v>
          </cell>
        </row>
        <row r="379">
          <cell r="A379" t="str">
            <v>8FL281304 8010　L=132930</v>
          </cell>
          <cell r="C379">
            <v>1329.86</v>
          </cell>
        </row>
        <row r="380">
          <cell r="A380" t="str">
            <v>8FL281304 8010　L=132932</v>
          </cell>
          <cell r="C380">
            <v>1330.04</v>
          </cell>
        </row>
        <row r="381">
          <cell r="A381" t="str">
            <v>8FL281304 6110　L=147804</v>
          </cell>
          <cell r="C381">
            <v>1476.46</v>
          </cell>
        </row>
        <row r="382">
          <cell r="A382" t="str">
            <v>8FL281304 6110　L=147806</v>
          </cell>
          <cell r="C382">
            <v>1476.66</v>
          </cell>
        </row>
        <row r="383">
          <cell r="A383" t="str">
            <v>8FL281304 6110　L=147808</v>
          </cell>
          <cell r="C383">
            <v>1476.85</v>
          </cell>
        </row>
        <row r="384">
          <cell r="A384" t="str">
            <v>8FL281304 6110　L=147810</v>
          </cell>
          <cell r="C384">
            <v>1477.04</v>
          </cell>
        </row>
        <row r="385">
          <cell r="A385" t="str">
            <v>8FL281304 6110　L=147812</v>
          </cell>
          <cell r="C385">
            <v>1477.23</v>
          </cell>
        </row>
        <row r="386">
          <cell r="A386" t="str">
            <v>8FL281304 6110　L=147814</v>
          </cell>
          <cell r="C386">
            <v>1477.42</v>
          </cell>
        </row>
        <row r="387">
          <cell r="A387" t="str">
            <v>8FL281304 6110　L=147816</v>
          </cell>
          <cell r="C387">
            <v>1477.61</v>
          </cell>
        </row>
        <row r="388">
          <cell r="A388" t="str">
            <v>8FL281304 6110　L=147818</v>
          </cell>
          <cell r="C388">
            <v>1477.81</v>
          </cell>
        </row>
        <row r="389">
          <cell r="A389" t="str">
            <v>8FL281304 6110　L=147820</v>
          </cell>
          <cell r="C389">
            <v>1478</v>
          </cell>
        </row>
        <row r="390">
          <cell r="A390" t="str">
            <v>8FL281304 6110　L=147822</v>
          </cell>
          <cell r="C390">
            <v>1478.19</v>
          </cell>
        </row>
        <row r="391">
          <cell r="A391" t="str">
            <v>8FL281304 6110　L=147824</v>
          </cell>
          <cell r="C391">
            <v>1478.38</v>
          </cell>
        </row>
        <row r="392">
          <cell r="A392" t="str">
            <v>8FL281304 6110　L=147826</v>
          </cell>
          <cell r="C392">
            <v>1478.58</v>
          </cell>
        </row>
        <row r="393">
          <cell r="A393" t="str">
            <v>8FL281304 6110　L=147828</v>
          </cell>
          <cell r="C393">
            <v>1478.77</v>
          </cell>
        </row>
        <row r="394">
          <cell r="A394" t="str">
            <v>8FL281304 6110　L=147830</v>
          </cell>
          <cell r="C394">
            <v>1478.96</v>
          </cell>
        </row>
        <row r="395">
          <cell r="A395" t="str">
            <v>8FL281304 6110　L=147832</v>
          </cell>
          <cell r="C395">
            <v>1479.15</v>
          </cell>
        </row>
        <row r="396">
          <cell r="A396" t="str">
            <v>8FL281304 4920　L=592　クリア04</v>
          </cell>
          <cell r="C396">
            <v>590.88</v>
          </cell>
        </row>
        <row r="397">
          <cell r="A397" t="str">
            <v>8FL281304 4920　L=592　クリア06</v>
          </cell>
          <cell r="C397">
            <v>590.96</v>
          </cell>
        </row>
        <row r="398">
          <cell r="A398" t="str">
            <v>8FL281304 4920　L=592　クリア08</v>
          </cell>
          <cell r="C398">
            <v>591.04</v>
          </cell>
        </row>
        <row r="399">
          <cell r="A399" t="str">
            <v>8FL281304 4920　L=592　クリア10</v>
          </cell>
          <cell r="C399">
            <v>591.12</v>
          </cell>
        </row>
        <row r="400">
          <cell r="A400" t="str">
            <v>8FL281304 4920　L=592　クリア12</v>
          </cell>
          <cell r="C400">
            <v>591.19000000000005</v>
          </cell>
        </row>
        <row r="401">
          <cell r="A401" t="str">
            <v>8FL281304 4920　L=592　クリア14</v>
          </cell>
          <cell r="C401">
            <v>591.27</v>
          </cell>
        </row>
        <row r="402">
          <cell r="A402" t="str">
            <v>8FL281304 4920　L=592　クリア16</v>
          </cell>
          <cell r="C402">
            <v>591.35</v>
          </cell>
        </row>
        <row r="403">
          <cell r="A403" t="str">
            <v>8FL281304 4920　L=592　クリア18</v>
          </cell>
          <cell r="C403">
            <v>591.41999999999996</v>
          </cell>
        </row>
        <row r="404">
          <cell r="A404" t="str">
            <v>8FL281304 4920　L=592　クリア20</v>
          </cell>
          <cell r="C404">
            <v>591.5</v>
          </cell>
        </row>
        <row r="405">
          <cell r="A405" t="str">
            <v>8FL281304 4920　L=592　クリア22</v>
          </cell>
          <cell r="C405">
            <v>591.58000000000004</v>
          </cell>
        </row>
        <row r="406">
          <cell r="A406" t="str">
            <v>8FL281304 4920　L=592　クリア24</v>
          </cell>
          <cell r="C406">
            <v>591.65</v>
          </cell>
        </row>
        <row r="407">
          <cell r="A407" t="str">
            <v>8FL281304 4920　L=592　クリア26</v>
          </cell>
          <cell r="C407">
            <v>591.73</v>
          </cell>
        </row>
        <row r="408">
          <cell r="A408" t="str">
            <v>8FL281304 4920　L=592　クリア28</v>
          </cell>
          <cell r="C408">
            <v>591.80999999999995</v>
          </cell>
        </row>
        <row r="409">
          <cell r="A409" t="str">
            <v>8FL281304 4920　L=592　クリア30</v>
          </cell>
          <cell r="C409">
            <v>591.88</v>
          </cell>
        </row>
        <row r="410">
          <cell r="A410" t="str">
            <v>8FL281304 4920　L=592　クリア32</v>
          </cell>
          <cell r="C410">
            <v>591.96</v>
          </cell>
        </row>
        <row r="411">
          <cell r="A411" t="str">
            <v>8FL281304 5020　L=888　クリア04</v>
          </cell>
          <cell r="C411">
            <v>887.08</v>
          </cell>
        </row>
        <row r="412">
          <cell r="A412" t="str">
            <v>8FL281304 5020　L=888　クリア06</v>
          </cell>
          <cell r="C412">
            <v>887.19</v>
          </cell>
        </row>
        <row r="413">
          <cell r="A413" t="str">
            <v>8FL281304 5020　L=888　クリア08</v>
          </cell>
          <cell r="C413">
            <v>887.31</v>
          </cell>
        </row>
        <row r="414">
          <cell r="A414" t="str">
            <v>8FL281304 5020　L=888　クリア10</v>
          </cell>
          <cell r="C414">
            <v>887.42</v>
          </cell>
        </row>
        <row r="415">
          <cell r="A415" t="str">
            <v>8FL281304 5020　L=888　クリア12</v>
          </cell>
          <cell r="C415">
            <v>887.54</v>
          </cell>
        </row>
        <row r="416">
          <cell r="A416" t="str">
            <v>8FL281304 5020　L=888　クリア14</v>
          </cell>
          <cell r="C416">
            <v>887.65</v>
          </cell>
        </row>
        <row r="417">
          <cell r="A417" t="str">
            <v>8FL281304 5020　L=888　クリア16</v>
          </cell>
          <cell r="C417">
            <v>887.77</v>
          </cell>
        </row>
        <row r="418">
          <cell r="A418" t="str">
            <v>8FL281304 5020　L=888　クリア18</v>
          </cell>
          <cell r="C418">
            <v>887.88</v>
          </cell>
        </row>
        <row r="419">
          <cell r="A419" t="str">
            <v>8FL281304 5020　L=888　クリア20</v>
          </cell>
          <cell r="C419">
            <v>888</v>
          </cell>
        </row>
        <row r="420">
          <cell r="A420" t="str">
            <v>8FL281304 5020　L=888　クリア22</v>
          </cell>
          <cell r="C420">
            <v>888.12</v>
          </cell>
        </row>
        <row r="421">
          <cell r="A421" t="str">
            <v>8FL281304 5020　L=888　クリア24</v>
          </cell>
          <cell r="C421">
            <v>888.23</v>
          </cell>
        </row>
        <row r="422">
          <cell r="A422" t="str">
            <v>8FL281304 5020　L=888　クリア26</v>
          </cell>
          <cell r="C422">
            <v>888.35</v>
          </cell>
        </row>
        <row r="423">
          <cell r="A423" t="str">
            <v>8FL281304 5020　L=888　クリア28</v>
          </cell>
          <cell r="C423">
            <v>888.46</v>
          </cell>
        </row>
        <row r="424">
          <cell r="A424" t="str">
            <v>8FL281304 5020　L=888　クリア30</v>
          </cell>
          <cell r="C424">
            <v>888.58</v>
          </cell>
        </row>
        <row r="425">
          <cell r="A425" t="str">
            <v>8FL281304 5020　L=888　クリア32</v>
          </cell>
          <cell r="C425">
            <v>888.69</v>
          </cell>
        </row>
        <row r="426">
          <cell r="A426" t="str">
            <v>8FL281304 5120　L=1183　クリア04</v>
          </cell>
          <cell r="C426">
            <v>1181.77</v>
          </cell>
        </row>
        <row r="427">
          <cell r="A427" t="str">
            <v>8FL281304 5120　L=1183　クリア06</v>
          </cell>
          <cell r="C427">
            <v>1181.92</v>
          </cell>
        </row>
        <row r="428">
          <cell r="A428" t="str">
            <v>8FL281304 5120　L=1183　クリア08</v>
          </cell>
          <cell r="C428">
            <v>1182.08</v>
          </cell>
        </row>
        <row r="429">
          <cell r="A429" t="str">
            <v>8FL281304 5120　L=1183　クリア10</v>
          </cell>
          <cell r="C429">
            <v>1182.23</v>
          </cell>
        </row>
        <row r="430">
          <cell r="A430" t="str">
            <v>8FL281304 5120　L=1183　クリア12</v>
          </cell>
          <cell r="C430">
            <v>1182.3800000000001</v>
          </cell>
        </row>
        <row r="431">
          <cell r="A431" t="str">
            <v>8FL281304 5120　L=1183　クリア14</v>
          </cell>
          <cell r="C431">
            <v>1182.54</v>
          </cell>
        </row>
        <row r="432">
          <cell r="A432" t="str">
            <v>8FL281304 5120　L=1183　クリア16</v>
          </cell>
          <cell r="C432">
            <v>1182.69</v>
          </cell>
        </row>
        <row r="433">
          <cell r="A433" t="str">
            <v>8FL281304 5120　L=1183　クリア18</v>
          </cell>
          <cell r="C433">
            <v>1182.8499999999999</v>
          </cell>
        </row>
        <row r="434">
          <cell r="A434" t="str">
            <v>8FL281304 5120　L=1183　クリア20</v>
          </cell>
          <cell r="C434">
            <v>1183</v>
          </cell>
        </row>
        <row r="435">
          <cell r="A435" t="str">
            <v>8FL281304 5120　L=1183　クリア22</v>
          </cell>
          <cell r="C435">
            <v>1183.1500000000001</v>
          </cell>
        </row>
        <row r="436">
          <cell r="A436" t="str">
            <v>8FL281304 5120　L=1183　クリア24</v>
          </cell>
          <cell r="C436">
            <v>1183.31</v>
          </cell>
        </row>
        <row r="437">
          <cell r="A437" t="str">
            <v>8FL281304 5120　L=1183　クリア26</v>
          </cell>
          <cell r="C437">
            <v>1183.46</v>
          </cell>
        </row>
        <row r="438">
          <cell r="A438" t="str">
            <v>8FL281304 5120　L=1183　クリア28</v>
          </cell>
          <cell r="C438">
            <v>4483.62</v>
          </cell>
        </row>
        <row r="439">
          <cell r="A439" t="str">
            <v>8FL281304 5120　L=1183　クリア30</v>
          </cell>
          <cell r="C439">
            <v>1183.77</v>
          </cell>
        </row>
        <row r="440">
          <cell r="A440" t="str">
            <v>8FL281304 5120　L=1183　クリア32</v>
          </cell>
          <cell r="C440">
            <v>1183.92</v>
          </cell>
        </row>
        <row r="441">
          <cell r="A441" t="str">
            <v>8FL281304 6120　L=1478　クリア04</v>
          </cell>
          <cell r="C441">
            <v>1476.46</v>
          </cell>
        </row>
        <row r="442">
          <cell r="A442" t="str">
            <v>8FL281304 6120　L=1478　クリア06</v>
          </cell>
          <cell r="C442">
            <v>1476.66</v>
          </cell>
        </row>
        <row r="443">
          <cell r="A443" t="str">
            <v>8FL281304 6120　L=1478　クリア08</v>
          </cell>
          <cell r="C443">
            <v>1476.85</v>
          </cell>
        </row>
        <row r="444">
          <cell r="A444" t="str">
            <v>8FL281304 6120　L=1478　クリア10</v>
          </cell>
          <cell r="C444">
            <v>1477.04</v>
          </cell>
        </row>
        <row r="445">
          <cell r="A445" t="str">
            <v>8FL281304 6120　L=1478　クリア12</v>
          </cell>
          <cell r="C445">
            <v>1477.23</v>
          </cell>
        </row>
        <row r="446">
          <cell r="A446" t="str">
            <v>8FL281304 6120　L=1478　クリア14</v>
          </cell>
          <cell r="C446">
            <v>1477.42</v>
          </cell>
        </row>
        <row r="447">
          <cell r="A447" t="str">
            <v>8FL281304 6120　L=1478　クリア16</v>
          </cell>
          <cell r="C447">
            <v>1477.61</v>
          </cell>
        </row>
        <row r="448">
          <cell r="A448" t="str">
            <v>8FL281304 6120　L=1478　クリア18</v>
          </cell>
          <cell r="C448">
            <v>1477.81</v>
          </cell>
        </row>
        <row r="449">
          <cell r="A449" t="str">
            <v>8FL281304 6120　L=1478　クリア20</v>
          </cell>
          <cell r="C449">
            <v>1478</v>
          </cell>
        </row>
        <row r="450">
          <cell r="A450" t="str">
            <v>8FL281304 6120　L=1478　クリア22</v>
          </cell>
          <cell r="C450">
            <v>1478.19</v>
          </cell>
        </row>
        <row r="451">
          <cell r="A451" t="str">
            <v>8FL281304 6120　L=1478　クリア24</v>
          </cell>
          <cell r="C451">
            <v>1478.38</v>
          </cell>
        </row>
        <row r="452">
          <cell r="A452" t="str">
            <v>8FL281304 6120　L=1478　クリア26</v>
          </cell>
          <cell r="C452">
            <v>1478.58</v>
          </cell>
        </row>
        <row r="453">
          <cell r="A453" t="str">
            <v>8FL281304 6120　L=1478　クリア28</v>
          </cell>
          <cell r="C453">
            <v>1478.77</v>
          </cell>
        </row>
        <row r="454">
          <cell r="A454" t="str">
            <v>8FL281304 6120　L=1478　クリア30</v>
          </cell>
          <cell r="C454">
            <v>1478.96</v>
          </cell>
        </row>
        <row r="455">
          <cell r="A455" t="str">
            <v>8FL281304 6120　L=1478　クリア32</v>
          </cell>
          <cell r="C455">
            <v>1479.15</v>
          </cell>
        </row>
        <row r="456">
          <cell r="A456" t="str">
            <v>ハーネスガイド部材　L=275</v>
          </cell>
          <cell r="C456">
            <v>276</v>
          </cell>
        </row>
        <row r="457">
          <cell r="A457" t="str">
            <v>MDP-689B L1　L=1608</v>
          </cell>
          <cell r="C457">
            <v>1609</v>
          </cell>
        </row>
        <row r="458">
          <cell r="A458" t="str">
            <v>MDP-689B L2　L=1662</v>
          </cell>
          <cell r="C458">
            <v>1663</v>
          </cell>
        </row>
        <row r="459">
          <cell r="A459" t="str">
            <v>MDP-689B L4　L=2574</v>
          </cell>
          <cell r="C459">
            <v>2575</v>
          </cell>
        </row>
        <row r="460">
          <cell r="A460" t="str">
            <v>MDPQ-689B L1　L=1608</v>
          </cell>
          <cell r="C460">
            <v>1609</v>
          </cell>
        </row>
        <row r="461">
          <cell r="A461" t="str">
            <v>MDPQ-689B L2　L=1662</v>
          </cell>
          <cell r="C461">
            <v>1663</v>
          </cell>
        </row>
        <row r="462">
          <cell r="A462" t="str">
            <v>MDPQ-689B L4 　L=2574　　</v>
          </cell>
          <cell r="C462">
            <v>2575</v>
          </cell>
        </row>
        <row r="463">
          <cell r="A463" t="str">
            <v>MDP-688A L1　L=1604</v>
          </cell>
          <cell r="C463">
            <v>1605</v>
          </cell>
        </row>
        <row r="464">
          <cell r="A464" t="str">
            <v>MDP-688A L2　L=1658</v>
          </cell>
          <cell r="C464">
            <v>1659</v>
          </cell>
        </row>
        <row r="465">
          <cell r="A465" t="str">
            <v>MDP-688A L4　L=2570</v>
          </cell>
          <cell r="C465">
            <v>2571</v>
          </cell>
        </row>
        <row r="466">
          <cell r="A466" t="str">
            <v>MDPQ-688A L1　L=1604</v>
          </cell>
          <cell r="C466">
            <v>1605</v>
          </cell>
        </row>
        <row r="467">
          <cell r="A467" t="str">
            <v>MDPQ-688A L2　L=1658</v>
          </cell>
          <cell r="C467">
            <v>1659</v>
          </cell>
        </row>
        <row r="468">
          <cell r="A468" t="str">
            <v>MDPQ-688A L4　L=2570</v>
          </cell>
          <cell r="C468">
            <v>2571</v>
          </cell>
        </row>
        <row r="469">
          <cell r="A469" t="str">
            <v>SRG-60D　L=586</v>
          </cell>
          <cell r="C469">
            <v>585.5</v>
          </cell>
        </row>
        <row r="470">
          <cell r="A470" t="str">
            <v>SRG-90D　L=860</v>
          </cell>
          <cell r="C470">
            <v>859.5</v>
          </cell>
        </row>
        <row r="471">
          <cell r="A471" t="str">
            <v>SRG-60U　L=586</v>
          </cell>
          <cell r="C471">
            <v>585.5</v>
          </cell>
        </row>
        <row r="472">
          <cell r="A472" t="str">
            <v>SRG-90U　L=860</v>
          </cell>
          <cell r="C472">
            <v>859.5</v>
          </cell>
        </row>
        <row r="473">
          <cell r="A473" t="str">
            <v>ﾃﾝｹﾝｺｳ(上)　L=300</v>
          </cell>
          <cell r="C473">
            <v>299.5</v>
          </cell>
        </row>
        <row r="474">
          <cell r="A474" t="str">
            <v>ﾃﾝｹﾝｺｳ(上)　L=498</v>
          </cell>
          <cell r="C474">
            <v>497.5</v>
          </cell>
        </row>
        <row r="475">
          <cell r="A475" t="str">
            <v>ﾃﾝｹﾝｺｳ(上)　L=1168</v>
          </cell>
          <cell r="C475">
            <v>1167.5</v>
          </cell>
        </row>
        <row r="476">
          <cell r="A476" t="str">
            <v>ﾃﾝｹﾝｺｳ(下)　L=498</v>
          </cell>
          <cell r="C476">
            <v>497.5</v>
          </cell>
        </row>
        <row r="477">
          <cell r="A477" t="str">
            <v>L型ｱﾝｸﾞﾙ　WT-28B　L=420</v>
          </cell>
          <cell r="C477">
            <v>419</v>
          </cell>
        </row>
        <row r="478">
          <cell r="A478" t="str">
            <v>L型ｱﾝｸﾞﾙ　P-VH-42D　L=520</v>
          </cell>
          <cell r="C478">
            <v>519</v>
          </cell>
        </row>
        <row r="479">
          <cell r="A479" t="str">
            <v>L型ｱﾝｸﾞﾙ　P-VH-C　L=530</v>
          </cell>
          <cell r="C479">
            <v>529</v>
          </cell>
        </row>
        <row r="480">
          <cell r="A480" t="str">
            <v>L型ｱﾝｸﾞﾙ　WT-42B　L=590</v>
          </cell>
          <cell r="C480">
            <v>589</v>
          </cell>
        </row>
        <row r="481">
          <cell r="A481" t="str">
            <v>L型ｱﾝｸﾞﾙ　P-VH-E　L=600</v>
          </cell>
          <cell r="C481">
            <v>599</v>
          </cell>
        </row>
        <row r="482">
          <cell r="A482" t="str">
            <v>L型ｱﾝｸﾞﾙ　P-VH-56D　L=690</v>
          </cell>
          <cell r="C482">
            <v>689</v>
          </cell>
        </row>
        <row r="483">
          <cell r="A483" t="str">
            <v>L型ｱﾝｸﾞﾙ　WT-56B　L=760　　</v>
          </cell>
          <cell r="C483">
            <v>759</v>
          </cell>
        </row>
        <row r="484">
          <cell r="A484" t="str">
            <v>L型ｱﾝｸﾞﾙ　P-VH-A　L=1018</v>
          </cell>
          <cell r="C484">
            <v>1017</v>
          </cell>
        </row>
        <row r="485">
          <cell r="A485" t="str">
            <v>WD-615 BR　L=707</v>
          </cell>
          <cell r="C485">
            <v>707</v>
          </cell>
        </row>
        <row r="486">
          <cell r="A486" t="str">
            <v>WD-615 BR　L=711</v>
          </cell>
          <cell r="C486">
            <v>711</v>
          </cell>
        </row>
        <row r="487">
          <cell r="A487" t="str">
            <v>WD-615 BR　L=734</v>
          </cell>
          <cell r="C487">
            <v>734</v>
          </cell>
        </row>
        <row r="488">
          <cell r="A488" t="str">
            <v>WD-615 BR　L=787</v>
          </cell>
          <cell r="C488">
            <v>787</v>
          </cell>
        </row>
        <row r="489">
          <cell r="A489" t="str">
            <v>WD-615 BR　L=836</v>
          </cell>
          <cell r="C489">
            <v>836</v>
          </cell>
        </row>
        <row r="490">
          <cell r="A490" t="str">
            <v>GA-770 BK(BD)　L=730.5</v>
          </cell>
          <cell r="C490">
            <v>730</v>
          </cell>
        </row>
        <row r="491">
          <cell r="A491" t="str">
            <v>GA-770 BK(BD)　L=745.5</v>
          </cell>
          <cell r="C491">
            <v>745</v>
          </cell>
        </row>
        <row r="492">
          <cell r="A492" t="str">
            <v>GA-770 BR　L=730.5</v>
          </cell>
          <cell r="C492">
            <v>730</v>
          </cell>
        </row>
        <row r="493">
          <cell r="A493" t="str">
            <v>GA-770 BR　L=745.5</v>
          </cell>
          <cell r="C493">
            <v>745</v>
          </cell>
        </row>
        <row r="494">
          <cell r="A494" t="str">
            <v>WD3104A KC L=409</v>
          </cell>
          <cell r="C494">
            <v>409</v>
          </cell>
        </row>
        <row r="495">
          <cell r="A495" t="str">
            <v>WD3104A KC　L=500.5</v>
          </cell>
          <cell r="C495">
            <v>500.5</v>
          </cell>
        </row>
        <row r="496">
          <cell r="A496" t="str">
            <v>WD3104A BK　L=409</v>
          </cell>
          <cell r="C496">
            <v>409</v>
          </cell>
        </row>
        <row r="497">
          <cell r="A497" t="str">
            <v>WD3104A BR(BK)　L=500.5</v>
          </cell>
          <cell r="C497">
            <v>500.5</v>
          </cell>
        </row>
        <row r="498">
          <cell r="A498" t="str">
            <v>WD3104A BR(BK)　L=900</v>
          </cell>
          <cell r="C498">
            <v>900</v>
          </cell>
        </row>
        <row r="499">
          <cell r="A499" t="str">
            <v>991HDP　198</v>
          </cell>
          <cell r="C499">
            <v>198</v>
          </cell>
        </row>
        <row r="500">
          <cell r="A500" t="str">
            <v>991GPK　264</v>
          </cell>
          <cell r="C500">
            <v>264</v>
          </cell>
        </row>
        <row r="501">
          <cell r="A501" t="str">
            <v>991GPK　268</v>
          </cell>
          <cell r="C501">
            <v>268</v>
          </cell>
        </row>
        <row r="502">
          <cell r="A502" t="str">
            <v>991GPK　414</v>
          </cell>
          <cell r="C502">
            <v>414</v>
          </cell>
        </row>
        <row r="503">
          <cell r="A503" t="str">
            <v>991GPK　418</v>
          </cell>
          <cell r="C503">
            <v>418</v>
          </cell>
        </row>
        <row r="504">
          <cell r="A504" t="str">
            <v>991GPK　565</v>
          </cell>
          <cell r="C504">
            <v>565</v>
          </cell>
        </row>
        <row r="505">
          <cell r="A505" t="str">
            <v>991GPK　568</v>
          </cell>
          <cell r="C505">
            <v>568</v>
          </cell>
        </row>
        <row r="506">
          <cell r="A506" t="str">
            <v>991GPK　715</v>
          </cell>
          <cell r="C506">
            <v>715</v>
          </cell>
        </row>
        <row r="507">
          <cell r="A507" t="str">
            <v>991GPK　718</v>
          </cell>
          <cell r="C507">
            <v>718</v>
          </cell>
        </row>
        <row r="508">
          <cell r="A508" t="str">
            <v>991GPK　865</v>
          </cell>
          <cell r="C508">
            <v>865</v>
          </cell>
        </row>
        <row r="509">
          <cell r="A509" t="str">
            <v>991GPK　868</v>
          </cell>
          <cell r="C509">
            <v>868</v>
          </cell>
        </row>
        <row r="510">
          <cell r="A510" t="str">
            <v>991GPK　1015</v>
          </cell>
          <cell r="C510">
            <v>1015</v>
          </cell>
        </row>
        <row r="511">
          <cell r="A511" t="str">
            <v>991GPK　1018</v>
          </cell>
          <cell r="C511">
            <v>1018</v>
          </cell>
        </row>
        <row r="512">
          <cell r="A512" t="str">
            <v>752GPSB　265</v>
          </cell>
          <cell r="C512">
            <v>264.5</v>
          </cell>
        </row>
        <row r="513">
          <cell r="A513" t="str">
            <v>752GPSB　415</v>
          </cell>
          <cell r="C513">
            <v>414.5</v>
          </cell>
        </row>
        <row r="514">
          <cell r="A514" t="str">
            <v>752GPSB　565</v>
          </cell>
          <cell r="C514">
            <v>564.5</v>
          </cell>
        </row>
        <row r="515">
          <cell r="A515" t="str">
            <v>752GPSB　665</v>
          </cell>
          <cell r="C515">
            <v>664</v>
          </cell>
        </row>
        <row r="516">
          <cell r="A516" t="str">
            <v>752GPSB　715</v>
          </cell>
          <cell r="C516">
            <v>714.5</v>
          </cell>
        </row>
        <row r="517">
          <cell r="A517" t="str">
            <v>752GPSB　865</v>
          </cell>
          <cell r="C517">
            <v>864.5</v>
          </cell>
        </row>
        <row r="518">
          <cell r="A518" t="str">
            <v>002EGAW　519</v>
          </cell>
          <cell r="C518">
            <v>518.5</v>
          </cell>
        </row>
        <row r="519">
          <cell r="A519" t="str">
            <v>002EGAW　631</v>
          </cell>
          <cell r="C519">
            <v>630.5</v>
          </cell>
        </row>
        <row r="520">
          <cell r="A520" t="str">
            <v>001EGAW　415</v>
          </cell>
          <cell r="C520">
            <v>414.5</v>
          </cell>
        </row>
        <row r="521">
          <cell r="A521" t="str">
            <v>001EGAW　508</v>
          </cell>
          <cell r="C521">
            <v>507.5</v>
          </cell>
        </row>
        <row r="522">
          <cell r="A522" t="str">
            <v>001EGAW　565</v>
          </cell>
          <cell r="C522">
            <v>564.5</v>
          </cell>
        </row>
        <row r="523">
          <cell r="A523" t="str">
            <v>001EGAW　633</v>
          </cell>
          <cell r="C523">
            <v>632.5</v>
          </cell>
        </row>
        <row r="524">
          <cell r="A524" t="str">
            <v>001EGAW　652</v>
          </cell>
          <cell r="C524">
            <v>651.5</v>
          </cell>
        </row>
        <row r="525">
          <cell r="A525" t="str">
            <v>001EGAW　665</v>
          </cell>
          <cell r="C525">
            <v>664.5</v>
          </cell>
        </row>
        <row r="526">
          <cell r="A526" t="str">
            <v>001EGAW　715</v>
          </cell>
          <cell r="C526">
            <v>714.5</v>
          </cell>
        </row>
        <row r="527">
          <cell r="A527" t="str">
            <v>照明ｶﾊﾞｰS15　L=55004</v>
          </cell>
          <cell r="C527">
            <v>549.4</v>
          </cell>
        </row>
        <row r="528">
          <cell r="A528" t="str">
            <v>照明ｶﾊﾞｰS15　L=55006</v>
          </cell>
          <cell r="C528">
            <v>549.5</v>
          </cell>
        </row>
        <row r="529">
          <cell r="A529" t="str">
            <v>照明ｶﾊﾞｰS15　L=55008</v>
          </cell>
          <cell r="C529">
            <v>549.6</v>
          </cell>
        </row>
        <row r="530">
          <cell r="A530" t="str">
            <v>照明ｶﾊﾞｰS15　L=55010</v>
          </cell>
          <cell r="C530">
            <v>549.6</v>
          </cell>
        </row>
        <row r="531">
          <cell r="A531" t="str">
            <v>照明ｶﾊﾞｰS15　L=55012</v>
          </cell>
          <cell r="C531">
            <v>549.70000000000005</v>
          </cell>
        </row>
        <row r="532">
          <cell r="A532" t="str">
            <v>照明ｶﾊﾞｰS15　L=55014</v>
          </cell>
          <cell r="C532">
            <v>549.79999999999995</v>
          </cell>
        </row>
        <row r="533">
          <cell r="A533" t="str">
            <v>照明ｶﾊﾞｰS15　L=55016</v>
          </cell>
          <cell r="C533">
            <v>549.9</v>
          </cell>
        </row>
        <row r="534">
          <cell r="A534" t="str">
            <v>照明ｶﾊﾞｰS15　L=55018</v>
          </cell>
          <cell r="C534">
            <v>549.9</v>
          </cell>
        </row>
        <row r="535">
          <cell r="A535" t="str">
            <v>照明ｶﾊﾞｰS15　L=55020</v>
          </cell>
          <cell r="C535">
            <v>550</v>
          </cell>
        </row>
        <row r="536">
          <cell r="A536" t="str">
            <v>照明ｶﾊﾞｰS15　L=55022</v>
          </cell>
          <cell r="C536">
            <v>550.1</v>
          </cell>
        </row>
        <row r="537">
          <cell r="A537" t="str">
            <v>照明ｶﾊﾞｰS15　L=55024</v>
          </cell>
          <cell r="C537">
            <v>550.1</v>
          </cell>
        </row>
        <row r="538">
          <cell r="A538" t="str">
            <v>照明ｶﾊﾞｰS15　L=55026</v>
          </cell>
          <cell r="C538">
            <v>550.20000000000005</v>
          </cell>
        </row>
        <row r="539">
          <cell r="A539" t="str">
            <v>照明ｶﾊﾞｰS15　L=55028</v>
          </cell>
          <cell r="C539">
            <v>550.29999999999995</v>
          </cell>
        </row>
        <row r="540">
          <cell r="A540" t="str">
            <v>照明ｶﾊﾞｰS15　L=55030</v>
          </cell>
          <cell r="C540">
            <v>550.4</v>
          </cell>
        </row>
        <row r="541">
          <cell r="A541" t="str">
            <v>照明ｶﾊﾞｰS15　L=55032</v>
          </cell>
          <cell r="C541">
            <v>550.4</v>
          </cell>
        </row>
        <row r="542">
          <cell r="A542" t="str">
            <v>照明ｶﾊﾞｰS　L=560.404</v>
          </cell>
          <cell r="C542">
            <v>559.79999999999995</v>
          </cell>
        </row>
        <row r="543">
          <cell r="A543" t="str">
            <v>照明ｶﾊﾞｰS　L=560.406</v>
          </cell>
          <cell r="C543">
            <v>559.9</v>
          </cell>
        </row>
        <row r="544">
          <cell r="A544" t="str">
            <v>照明ｶﾊﾞｰS　L=560.408</v>
          </cell>
          <cell r="C544">
            <v>560</v>
          </cell>
        </row>
        <row r="545">
          <cell r="A545" t="str">
            <v>照明ｶﾊﾞｰS　L=560.410</v>
          </cell>
          <cell r="C545">
            <v>560</v>
          </cell>
        </row>
        <row r="546">
          <cell r="A546" t="str">
            <v>照明ｶﾊﾞｰS　L=560.412</v>
          </cell>
          <cell r="C546">
            <v>560.1</v>
          </cell>
        </row>
        <row r="547">
          <cell r="A547" t="str">
            <v>照明ｶﾊﾞｰS　L=560.414</v>
          </cell>
          <cell r="C547">
            <v>560.20000000000005</v>
          </cell>
        </row>
        <row r="548">
          <cell r="A548" t="str">
            <v>照明ｶﾊﾞｰS　L=560.416</v>
          </cell>
          <cell r="C548">
            <v>560.29999999999995</v>
          </cell>
        </row>
        <row r="549">
          <cell r="A549" t="str">
            <v>照明ｶﾊﾞｰS　L=560.418</v>
          </cell>
          <cell r="C549">
            <v>560.29999999999995</v>
          </cell>
        </row>
        <row r="550">
          <cell r="A550" t="str">
            <v>照明ｶﾊﾞｰS　L=560.420</v>
          </cell>
          <cell r="C550">
            <v>560.4</v>
          </cell>
        </row>
        <row r="551">
          <cell r="A551" t="str">
            <v>照明ｶﾊﾞｰS　L=560.422</v>
          </cell>
          <cell r="C551">
            <v>560.5</v>
          </cell>
        </row>
        <row r="552">
          <cell r="A552" t="str">
            <v>照明ｶﾊﾞｰS　L=560.424</v>
          </cell>
          <cell r="C552">
            <v>560.5</v>
          </cell>
        </row>
        <row r="553">
          <cell r="A553" t="str">
            <v>照明ｶﾊﾞｰS　L=560.426</v>
          </cell>
          <cell r="C553">
            <v>560.6</v>
          </cell>
        </row>
        <row r="554">
          <cell r="A554" t="str">
            <v>照明ｶﾊﾞｰS　L=560.428</v>
          </cell>
          <cell r="C554">
            <v>560.70000000000005</v>
          </cell>
        </row>
        <row r="555">
          <cell r="A555" t="str">
            <v>照明ｶﾊﾞｰS　L=560.430</v>
          </cell>
          <cell r="C555">
            <v>560.79999999999995</v>
          </cell>
        </row>
        <row r="556">
          <cell r="A556" t="str">
            <v>照明ｶﾊﾞｰS　L=560.432</v>
          </cell>
          <cell r="C556">
            <v>560.79999999999995</v>
          </cell>
        </row>
        <row r="557">
          <cell r="A557" t="str">
            <v>照明ｶﾊﾞｰL15　L=82004</v>
          </cell>
          <cell r="C557">
            <v>818.1</v>
          </cell>
        </row>
        <row r="558">
          <cell r="A558" t="str">
            <v>照明ｶﾊﾞｰL15　L=82006</v>
          </cell>
          <cell r="C558">
            <v>819.3</v>
          </cell>
        </row>
        <row r="559">
          <cell r="A559" t="str">
            <v>照明ｶﾊﾞｰL15　L=82008</v>
          </cell>
          <cell r="C559">
            <v>819.4</v>
          </cell>
        </row>
        <row r="560">
          <cell r="A560" t="str">
            <v>照明ｶﾊﾞｰL15　L=82010</v>
          </cell>
          <cell r="C560">
            <v>819.5</v>
          </cell>
        </row>
        <row r="561">
          <cell r="A561" t="str">
            <v>照明ｶﾊﾞｰL15　L=82012</v>
          </cell>
          <cell r="C561">
            <v>819.6</v>
          </cell>
        </row>
        <row r="562">
          <cell r="A562" t="str">
            <v>照明ｶﾊﾞｰL15　L=82014</v>
          </cell>
          <cell r="C562">
            <v>819.7</v>
          </cell>
        </row>
        <row r="563">
          <cell r="A563" t="str">
            <v>照明ｶﾊﾞｰL15　L=82016</v>
          </cell>
          <cell r="C563">
            <v>819.8</v>
          </cell>
        </row>
        <row r="564">
          <cell r="A564" t="str">
            <v>照明ｶﾊﾞｰL15　L=82018</v>
          </cell>
          <cell r="C564">
            <v>819.9</v>
          </cell>
        </row>
        <row r="565">
          <cell r="A565" t="str">
            <v>照明ｶﾊﾞｰL15　L=82020</v>
          </cell>
          <cell r="C565">
            <v>820</v>
          </cell>
        </row>
        <row r="566">
          <cell r="A566" t="str">
            <v>照明ｶﾊﾞｰL15　L=82022</v>
          </cell>
          <cell r="C566">
            <v>820.1</v>
          </cell>
        </row>
        <row r="567">
          <cell r="A567" t="str">
            <v>照明ｶﾊﾞｰL15　L=82024</v>
          </cell>
          <cell r="C567">
            <v>820.2</v>
          </cell>
        </row>
        <row r="568">
          <cell r="A568" t="str">
            <v>照明ｶﾊﾞｰL15　L=82026</v>
          </cell>
          <cell r="C568">
            <v>820.3</v>
          </cell>
        </row>
        <row r="569">
          <cell r="A569" t="str">
            <v>照明ｶﾊﾞｰL15　L=82028</v>
          </cell>
          <cell r="C569">
            <v>820.4</v>
          </cell>
        </row>
        <row r="570">
          <cell r="A570" t="str">
            <v>照明ｶﾊﾞｰL15　L=82030</v>
          </cell>
          <cell r="C570">
            <v>820.5</v>
          </cell>
        </row>
        <row r="571">
          <cell r="A571" t="str">
            <v>照明ｶﾊﾞｰL15　L=82032</v>
          </cell>
          <cell r="C571">
            <v>820.6</v>
          </cell>
        </row>
        <row r="572">
          <cell r="A572" t="str">
            <v>照明ｶﾊﾞｰL　L=830.404</v>
          </cell>
          <cell r="C572">
            <v>829.5</v>
          </cell>
        </row>
        <row r="573">
          <cell r="A573" t="str">
            <v>照明ｶﾊﾞｰL　L=830.406</v>
          </cell>
          <cell r="C573">
            <v>829.6</v>
          </cell>
        </row>
        <row r="574">
          <cell r="A574" t="str">
            <v>照明ｶﾊﾞｰL　L=830.408</v>
          </cell>
          <cell r="C574">
            <v>829.8</v>
          </cell>
        </row>
        <row r="575">
          <cell r="A575" t="str">
            <v>照明ｶﾊﾞｰL　L=830.410</v>
          </cell>
          <cell r="C575">
            <v>829.9</v>
          </cell>
        </row>
        <row r="576">
          <cell r="A576" t="str">
            <v>照明ｶﾊﾞｰL　L=830.412</v>
          </cell>
          <cell r="C576">
            <v>830</v>
          </cell>
        </row>
        <row r="577">
          <cell r="A577" t="str">
            <v>照明ｶﾊﾞｰL　L=830.414</v>
          </cell>
          <cell r="C577">
            <v>830.1</v>
          </cell>
        </row>
        <row r="578">
          <cell r="A578" t="str">
            <v>照明ｶﾊﾞｰL　L=830.416</v>
          </cell>
          <cell r="C578">
            <v>830.2</v>
          </cell>
        </row>
        <row r="579">
          <cell r="A579" t="str">
            <v>照明ｶﾊﾞｰL　L=830.418</v>
          </cell>
          <cell r="C579">
            <v>830.3</v>
          </cell>
        </row>
        <row r="580">
          <cell r="A580" t="str">
            <v>照明ｶﾊﾞｰL　L=830.420</v>
          </cell>
          <cell r="C580">
            <v>830.4</v>
          </cell>
        </row>
        <row r="581">
          <cell r="A581" t="str">
            <v>照明ｶﾊﾞｰL　L=830.422</v>
          </cell>
          <cell r="C581">
            <v>830.5</v>
          </cell>
        </row>
        <row r="582">
          <cell r="A582" t="str">
            <v>照明ｶﾊﾞｰL　L=830.424</v>
          </cell>
          <cell r="C582">
            <v>830.6</v>
          </cell>
        </row>
        <row r="583">
          <cell r="A583" t="str">
            <v>照明ｶﾊﾞｰL　L=830.426</v>
          </cell>
          <cell r="C583">
            <v>830.7</v>
          </cell>
        </row>
        <row r="584">
          <cell r="A584" t="str">
            <v>照明ｶﾊﾞｰL　L=830.428</v>
          </cell>
          <cell r="C584">
            <v>830.8</v>
          </cell>
        </row>
        <row r="585">
          <cell r="A585" t="str">
            <v>照明ｶﾊﾞｰL　L=830.430</v>
          </cell>
          <cell r="C585">
            <v>830.9</v>
          </cell>
        </row>
        <row r="586">
          <cell r="A586" t="str">
            <v>照明ｶﾊﾞｰL　L=830.432</v>
          </cell>
          <cell r="C586">
            <v>831</v>
          </cell>
        </row>
        <row r="587">
          <cell r="A587" t="str">
            <v>051GPW　269(ｽﾀ)　04</v>
          </cell>
          <cell r="C587">
            <v>269.2</v>
          </cell>
        </row>
        <row r="588">
          <cell r="A588" t="str">
            <v>051GPW　269(ｽﾀ)　06</v>
          </cell>
          <cell r="C588">
            <v>269.2</v>
          </cell>
        </row>
        <row r="589">
          <cell r="A589" t="str">
            <v>051GPW　269(ｽﾀ)　08</v>
          </cell>
          <cell r="C589">
            <v>269.3</v>
          </cell>
        </row>
        <row r="590">
          <cell r="A590" t="str">
            <v>051GPW　269(ｽﾀ)　10</v>
          </cell>
          <cell r="C590">
            <v>269.3</v>
          </cell>
        </row>
        <row r="591">
          <cell r="A591" t="str">
            <v>051GPW　269(ｽﾀ)　12</v>
          </cell>
          <cell r="C591">
            <v>269.3</v>
          </cell>
        </row>
        <row r="592">
          <cell r="A592" t="str">
            <v>051GPW　269(ｽﾀ)　14</v>
          </cell>
          <cell r="C592">
            <v>269.39999999999998</v>
          </cell>
        </row>
        <row r="593">
          <cell r="A593" t="str">
            <v>051GPW　269(ｽﾀ)　16</v>
          </cell>
          <cell r="C593">
            <v>269.39999999999998</v>
          </cell>
        </row>
        <row r="594">
          <cell r="A594" t="str">
            <v>051GPW　269(ｽﾀ)　18</v>
          </cell>
          <cell r="C594">
            <v>269.5</v>
          </cell>
        </row>
        <row r="595">
          <cell r="A595" t="str">
            <v>051GPW　269(ｽﾀ)　20</v>
          </cell>
          <cell r="C595">
            <v>269.5</v>
          </cell>
        </row>
        <row r="596">
          <cell r="A596" t="str">
            <v>051GPW　269(ｽﾀ)　22</v>
          </cell>
          <cell r="C596">
            <v>269.5</v>
          </cell>
        </row>
        <row r="597">
          <cell r="A597" t="str">
            <v>051GPW　269(ｽﾀ)　24</v>
          </cell>
          <cell r="C597">
            <v>269.60000000000002</v>
          </cell>
        </row>
        <row r="598">
          <cell r="A598" t="str">
            <v>051GPW　269(ｽﾀ)　26</v>
          </cell>
          <cell r="C598">
            <v>269.60000000000002</v>
          </cell>
        </row>
        <row r="599">
          <cell r="A599" t="str">
            <v>051GPW　269(ｽﾀ)　28</v>
          </cell>
          <cell r="C599">
            <v>269.7</v>
          </cell>
        </row>
        <row r="600">
          <cell r="A600" t="str">
            <v>051GPW　269(ｽﾀ)　30</v>
          </cell>
          <cell r="C600">
            <v>269.7</v>
          </cell>
        </row>
        <row r="601">
          <cell r="A601" t="str">
            <v>051GPW　269(ｽﾀ)　32</v>
          </cell>
          <cell r="C601">
            <v>269.7</v>
          </cell>
        </row>
        <row r="602">
          <cell r="A602" t="str">
            <v>051GPW　419(ｽﾀ)04</v>
          </cell>
          <cell r="C602">
            <v>419</v>
          </cell>
        </row>
        <row r="603">
          <cell r="A603" t="str">
            <v>051GPW　419(ｽﾀ)06</v>
          </cell>
          <cell r="C603">
            <v>419.1</v>
          </cell>
        </row>
        <row r="604">
          <cell r="A604" t="str">
            <v>051GPW　419(ｽﾀ)08</v>
          </cell>
          <cell r="C604">
            <v>419.1</v>
          </cell>
        </row>
        <row r="605">
          <cell r="A605" t="str">
            <v>051GPW　419(ｽﾀ)10</v>
          </cell>
          <cell r="C605">
            <v>419.2</v>
          </cell>
        </row>
        <row r="606">
          <cell r="A606" t="str">
            <v>051GPW　419(ｽﾀ)12</v>
          </cell>
          <cell r="C606">
            <v>419.3</v>
          </cell>
        </row>
        <row r="607">
          <cell r="A607" t="str">
            <v>051GPW　419(ｽﾀ)14</v>
          </cell>
          <cell r="C607">
            <v>419.3</v>
          </cell>
        </row>
        <row r="608">
          <cell r="A608" t="str">
            <v>051GPW　419(ｽﾀ)16</v>
          </cell>
          <cell r="C608">
            <v>419.4</v>
          </cell>
        </row>
        <row r="609">
          <cell r="A609" t="str">
            <v>051GPW　419(ｽﾀ)18</v>
          </cell>
          <cell r="C609">
            <v>419.4</v>
          </cell>
        </row>
        <row r="610">
          <cell r="A610" t="str">
            <v>051GPW　419(ｽﾀ)20</v>
          </cell>
          <cell r="C610">
            <v>419.5</v>
          </cell>
        </row>
        <row r="611">
          <cell r="A611" t="str">
            <v>051GPW　419(ｽﾀ)22</v>
          </cell>
          <cell r="C611">
            <v>419.6</v>
          </cell>
        </row>
        <row r="612">
          <cell r="A612" t="str">
            <v>051GPW　419(ｽﾀ)24</v>
          </cell>
          <cell r="C612">
            <v>419.6</v>
          </cell>
        </row>
        <row r="613">
          <cell r="A613" t="str">
            <v>051GPW　419(ｽﾀ)26</v>
          </cell>
          <cell r="C613">
            <v>419.7</v>
          </cell>
        </row>
        <row r="614">
          <cell r="A614" t="str">
            <v>051GPW　419(ｽﾀ)28</v>
          </cell>
          <cell r="C614">
            <v>419.7</v>
          </cell>
        </row>
        <row r="615">
          <cell r="A615" t="str">
            <v>051GPW　419(ｽﾀ)30</v>
          </cell>
          <cell r="C615">
            <v>419.8</v>
          </cell>
        </row>
        <row r="616">
          <cell r="A616" t="str">
            <v>051GPW　419(ｽﾀ)32</v>
          </cell>
          <cell r="C616">
            <v>419.9</v>
          </cell>
        </row>
        <row r="617">
          <cell r="A617" t="str">
            <v>051GPW　567(ｽﾀ)04</v>
          </cell>
          <cell r="C617">
            <v>566.79999999999995</v>
          </cell>
        </row>
        <row r="618">
          <cell r="A618" t="str">
            <v>051GPW　567(ｽﾀ)06</v>
          </cell>
          <cell r="C618">
            <v>566.9</v>
          </cell>
        </row>
        <row r="619">
          <cell r="A619" t="str">
            <v>051GPW　567(ｽﾀ)08</v>
          </cell>
          <cell r="C619">
            <v>567</v>
          </cell>
        </row>
        <row r="620">
          <cell r="A620" t="str">
            <v>051GPW　567(ｽﾀ)10</v>
          </cell>
          <cell r="C620">
            <v>567.1</v>
          </cell>
        </row>
        <row r="621">
          <cell r="A621" t="str">
            <v>051GPW　567(ｽﾀ)12</v>
          </cell>
          <cell r="C621">
            <v>567.20000000000005</v>
          </cell>
        </row>
        <row r="622">
          <cell r="A622" t="str">
            <v>051GPW　567(ｽﾀ)14</v>
          </cell>
          <cell r="C622">
            <v>567.20000000000005</v>
          </cell>
        </row>
        <row r="623">
          <cell r="A623" t="str">
            <v>051GPW　567(ｽﾀ)16</v>
          </cell>
          <cell r="C623">
            <v>567.29999999999995</v>
          </cell>
        </row>
        <row r="624">
          <cell r="A624" t="str">
            <v>051GPW　567(ｽﾀ)18</v>
          </cell>
          <cell r="C624">
            <v>567.4</v>
          </cell>
        </row>
        <row r="625">
          <cell r="A625" t="str">
            <v>051GPW　567(ｽﾀ)20</v>
          </cell>
          <cell r="C625">
            <v>567.5</v>
          </cell>
        </row>
        <row r="626">
          <cell r="A626" t="str">
            <v>051GPW　567(ｽﾀ)22</v>
          </cell>
          <cell r="C626">
            <v>567.6</v>
          </cell>
        </row>
        <row r="627">
          <cell r="A627" t="str">
            <v>051GPW　567(ｽﾀ)24</v>
          </cell>
          <cell r="C627">
            <v>567.70000000000005</v>
          </cell>
        </row>
        <row r="628">
          <cell r="A628" t="str">
            <v>051GPW　567(ｽﾀ)26</v>
          </cell>
          <cell r="C628">
            <v>567.79999999999995</v>
          </cell>
        </row>
        <row r="629">
          <cell r="A629" t="str">
            <v>051GPW　567(ｽﾀ)28</v>
          </cell>
          <cell r="C629">
            <v>567.79999999999995</v>
          </cell>
        </row>
        <row r="630">
          <cell r="A630" t="str">
            <v>051GPW　567(ｽﾀ)30</v>
          </cell>
          <cell r="C630">
            <v>567.9</v>
          </cell>
        </row>
        <row r="631">
          <cell r="A631" t="str">
            <v>051GPW　567(ｽﾀ)32</v>
          </cell>
          <cell r="C631">
            <v>568</v>
          </cell>
        </row>
        <row r="632">
          <cell r="A632" t="str">
            <v>051GPW　56904</v>
          </cell>
          <cell r="C632">
            <v>567.79999999999995</v>
          </cell>
        </row>
        <row r="633">
          <cell r="A633" t="str">
            <v>051GPW　56906</v>
          </cell>
          <cell r="C633">
            <v>567.9</v>
          </cell>
        </row>
        <row r="634">
          <cell r="A634" t="str">
            <v>051GPW　56908</v>
          </cell>
          <cell r="C634">
            <v>568</v>
          </cell>
        </row>
        <row r="635">
          <cell r="A635" t="str">
            <v>051GPW　56910</v>
          </cell>
          <cell r="C635">
            <v>568.1</v>
          </cell>
        </row>
        <row r="636">
          <cell r="A636" t="str">
            <v>051GPW　56912</v>
          </cell>
          <cell r="C636">
            <v>568.20000000000005</v>
          </cell>
        </row>
        <row r="637">
          <cell r="A637" t="str">
            <v>051GPW　56914</v>
          </cell>
          <cell r="C637">
            <v>568.20000000000005</v>
          </cell>
        </row>
        <row r="638">
          <cell r="A638" t="str">
            <v>051GPW　56916</v>
          </cell>
          <cell r="C638">
            <v>568.29999999999995</v>
          </cell>
        </row>
        <row r="639">
          <cell r="A639" t="str">
            <v>051GPW　56918</v>
          </cell>
          <cell r="C639">
            <v>568.4</v>
          </cell>
        </row>
        <row r="640">
          <cell r="A640" t="str">
            <v>051GPW　56920</v>
          </cell>
          <cell r="C640">
            <v>568.5</v>
          </cell>
        </row>
        <row r="641">
          <cell r="A641" t="str">
            <v>051GPW　56922</v>
          </cell>
          <cell r="C641">
            <v>568.6</v>
          </cell>
        </row>
        <row r="642">
          <cell r="A642" t="str">
            <v>051GPW　56924</v>
          </cell>
          <cell r="C642">
            <v>568.70000000000005</v>
          </cell>
        </row>
        <row r="643">
          <cell r="A643" t="str">
            <v>051GPW　56926</v>
          </cell>
          <cell r="C643">
            <v>568.79999999999995</v>
          </cell>
        </row>
        <row r="644">
          <cell r="A644" t="str">
            <v>051GPW　56928</v>
          </cell>
          <cell r="C644">
            <v>568.79999999999995</v>
          </cell>
        </row>
        <row r="645">
          <cell r="A645" t="str">
            <v>051GPW　56930</v>
          </cell>
          <cell r="C645">
            <v>568.9</v>
          </cell>
        </row>
        <row r="646">
          <cell r="A646" t="str">
            <v>051GPW　56932</v>
          </cell>
          <cell r="C646">
            <v>569</v>
          </cell>
        </row>
        <row r="647">
          <cell r="A647" t="str">
            <v>051GPW　71504</v>
          </cell>
          <cell r="C647">
            <v>713.7</v>
          </cell>
        </row>
        <row r="648">
          <cell r="A648" t="str">
            <v>051GPW　71506</v>
          </cell>
          <cell r="C648">
            <v>713.8</v>
          </cell>
        </row>
        <row r="649">
          <cell r="A649" t="str">
            <v>051GPW　71508</v>
          </cell>
          <cell r="C649">
            <v>713.9</v>
          </cell>
        </row>
        <row r="650">
          <cell r="A650" t="str">
            <v>051GPW　71510</v>
          </cell>
          <cell r="C650">
            <v>714</v>
          </cell>
        </row>
        <row r="651">
          <cell r="A651" t="str">
            <v>051GPW　71512</v>
          </cell>
          <cell r="C651">
            <v>714.1</v>
          </cell>
        </row>
        <row r="652">
          <cell r="A652" t="str">
            <v>051GPW　71514</v>
          </cell>
          <cell r="C652">
            <v>714.2</v>
          </cell>
        </row>
        <row r="653">
          <cell r="A653" t="str">
            <v>051GPW　71516</v>
          </cell>
          <cell r="C653">
            <v>714.3</v>
          </cell>
        </row>
        <row r="654">
          <cell r="A654" t="str">
            <v>051GPW　71518</v>
          </cell>
          <cell r="C654">
            <v>714.4</v>
          </cell>
        </row>
        <row r="655">
          <cell r="A655" t="str">
            <v>051GPW　71520</v>
          </cell>
          <cell r="C655">
            <v>714.5</v>
          </cell>
        </row>
        <row r="656">
          <cell r="A656" t="str">
            <v>051GPW　71522</v>
          </cell>
          <cell r="C656">
            <v>714.6</v>
          </cell>
        </row>
        <row r="657">
          <cell r="A657" t="str">
            <v>051GPW　71524</v>
          </cell>
          <cell r="C657">
            <v>714.7</v>
          </cell>
        </row>
        <row r="658">
          <cell r="A658" t="str">
            <v>051GPW　71526</v>
          </cell>
          <cell r="C658">
            <v>714.8</v>
          </cell>
        </row>
        <row r="659">
          <cell r="A659" t="str">
            <v>051GPW　71528</v>
          </cell>
          <cell r="C659">
            <v>714.9</v>
          </cell>
        </row>
        <row r="660">
          <cell r="A660" t="str">
            <v>051GPW　71530</v>
          </cell>
          <cell r="C660">
            <v>715</v>
          </cell>
        </row>
        <row r="661">
          <cell r="A661" t="str">
            <v>051GPW　71532</v>
          </cell>
          <cell r="C661">
            <v>715.1</v>
          </cell>
        </row>
        <row r="662">
          <cell r="A662" t="str">
            <v>051GPW　71904</v>
          </cell>
          <cell r="C662">
            <v>717.6</v>
          </cell>
        </row>
        <row r="663">
          <cell r="A663" t="str">
            <v>051GPW　71906</v>
          </cell>
          <cell r="C663">
            <v>717.8</v>
          </cell>
        </row>
        <row r="664">
          <cell r="A664" t="str">
            <v>051GPW　71908</v>
          </cell>
          <cell r="C664">
            <v>717.9</v>
          </cell>
        </row>
        <row r="665">
          <cell r="A665" t="str">
            <v>051GPW　71910</v>
          </cell>
          <cell r="C665">
            <v>718</v>
          </cell>
        </row>
        <row r="666">
          <cell r="A666" t="str">
            <v>051GPW　71912</v>
          </cell>
          <cell r="C666">
            <v>718.1</v>
          </cell>
        </row>
        <row r="667">
          <cell r="A667" t="str">
            <v>051GPW　71914</v>
          </cell>
          <cell r="C667">
            <v>718.2</v>
          </cell>
        </row>
        <row r="668">
          <cell r="A668" t="str">
            <v>051GPW　71916</v>
          </cell>
          <cell r="C668">
            <v>718.3</v>
          </cell>
        </row>
        <row r="669">
          <cell r="A669" t="str">
            <v>051GPW　71918</v>
          </cell>
          <cell r="C669">
            <v>718.4</v>
          </cell>
        </row>
        <row r="670">
          <cell r="A670" t="str">
            <v>051GPW　71920</v>
          </cell>
          <cell r="C670">
            <v>718.5</v>
          </cell>
        </row>
        <row r="671">
          <cell r="A671" t="str">
            <v>051GPW　71922</v>
          </cell>
          <cell r="C671">
            <v>718.6</v>
          </cell>
        </row>
        <row r="672">
          <cell r="A672" t="str">
            <v>051GPW　71924</v>
          </cell>
          <cell r="C672">
            <v>718.7</v>
          </cell>
        </row>
        <row r="673">
          <cell r="A673" t="str">
            <v>051GPW　71926</v>
          </cell>
          <cell r="C673">
            <v>718.8</v>
          </cell>
        </row>
        <row r="674">
          <cell r="A674" t="str">
            <v>051GPW　71928</v>
          </cell>
          <cell r="C674">
            <v>718.9</v>
          </cell>
        </row>
        <row r="675">
          <cell r="A675" t="str">
            <v>051GPW　71930</v>
          </cell>
          <cell r="C675">
            <v>719</v>
          </cell>
        </row>
        <row r="676">
          <cell r="A676" t="str">
            <v>051GPW　71932</v>
          </cell>
          <cell r="C676">
            <v>719.1</v>
          </cell>
        </row>
        <row r="677">
          <cell r="A677" t="str">
            <v>051GPW　86804</v>
          </cell>
          <cell r="C677">
            <v>866.5</v>
          </cell>
        </row>
        <row r="678">
          <cell r="A678" t="str">
            <v>051GPW　86806</v>
          </cell>
          <cell r="C678">
            <v>866.6</v>
          </cell>
        </row>
        <row r="679">
          <cell r="A679" t="str">
            <v>051GPW　86808</v>
          </cell>
          <cell r="C679">
            <v>866.7</v>
          </cell>
        </row>
        <row r="680">
          <cell r="A680" t="str">
            <v>051GPW　86810</v>
          </cell>
          <cell r="C680">
            <v>866.9</v>
          </cell>
        </row>
        <row r="681">
          <cell r="A681" t="str">
            <v>051GPW　86812</v>
          </cell>
          <cell r="C681">
            <v>867</v>
          </cell>
        </row>
        <row r="682">
          <cell r="A682" t="str">
            <v>051GPW　86814</v>
          </cell>
          <cell r="C682">
            <v>867.1</v>
          </cell>
        </row>
        <row r="683">
          <cell r="A683" t="str">
            <v>051GPW　86816</v>
          </cell>
          <cell r="C683">
            <v>867.2</v>
          </cell>
        </row>
        <row r="684">
          <cell r="A684" t="str">
            <v>051GPW　86818</v>
          </cell>
          <cell r="C684">
            <v>867.4</v>
          </cell>
        </row>
        <row r="685">
          <cell r="A685" t="str">
            <v>051GPW　86820</v>
          </cell>
          <cell r="C685">
            <v>867.5</v>
          </cell>
        </row>
        <row r="686">
          <cell r="A686" t="str">
            <v>051GPW　86822</v>
          </cell>
          <cell r="C686">
            <v>867.6</v>
          </cell>
        </row>
        <row r="687">
          <cell r="A687" t="str">
            <v>051GPW　86824</v>
          </cell>
          <cell r="C687">
            <v>867.8</v>
          </cell>
        </row>
        <row r="688">
          <cell r="A688" t="str">
            <v>051GPW　86826</v>
          </cell>
          <cell r="C688">
            <v>867.9</v>
          </cell>
        </row>
        <row r="689">
          <cell r="A689" t="str">
            <v>051GPW　86828</v>
          </cell>
          <cell r="C689">
            <v>868</v>
          </cell>
        </row>
        <row r="690">
          <cell r="A690" t="str">
            <v>051GPW　86830</v>
          </cell>
          <cell r="C690">
            <v>868.1</v>
          </cell>
        </row>
        <row r="691">
          <cell r="A691" t="str">
            <v>051GPW　86832</v>
          </cell>
          <cell r="C691">
            <v>868.3</v>
          </cell>
        </row>
        <row r="692">
          <cell r="A692" t="str">
            <v>051GPW　101404</v>
          </cell>
          <cell r="C692">
            <v>1012.3</v>
          </cell>
        </row>
        <row r="693">
          <cell r="A693" t="str">
            <v>051GPW　101406</v>
          </cell>
          <cell r="C693">
            <v>1012.5</v>
          </cell>
        </row>
        <row r="694">
          <cell r="A694" t="str">
            <v>051GPW　101408</v>
          </cell>
          <cell r="C694">
            <v>1012.6</v>
          </cell>
        </row>
        <row r="695">
          <cell r="A695" t="str">
            <v>051GPW　101410</v>
          </cell>
          <cell r="C695">
            <v>1012.8</v>
          </cell>
        </row>
        <row r="696">
          <cell r="A696" t="str">
            <v>051GPW　101412</v>
          </cell>
          <cell r="C696">
            <v>1012.9</v>
          </cell>
        </row>
        <row r="697">
          <cell r="A697" t="str">
            <v>051GPW　101414</v>
          </cell>
          <cell r="C697">
            <v>1013.1</v>
          </cell>
        </row>
        <row r="698">
          <cell r="A698" t="str">
            <v>051GPW　101416</v>
          </cell>
          <cell r="C698">
            <v>1013.2</v>
          </cell>
        </row>
        <row r="699">
          <cell r="A699" t="str">
            <v>051GPW　101418</v>
          </cell>
          <cell r="C699">
            <v>1013.4</v>
          </cell>
        </row>
        <row r="700">
          <cell r="A700" t="str">
            <v>051GPW　101420</v>
          </cell>
          <cell r="C700">
            <v>1013.5</v>
          </cell>
        </row>
        <row r="701">
          <cell r="A701" t="str">
            <v>051GPW　101422</v>
          </cell>
          <cell r="C701">
            <v>1013.6</v>
          </cell>
        </row>
        <row r="702">
          <cell r="A702" t="str">
            <v>051GPW　101424</v>
          </cell>
          <cell r="C702">
            <v>1013.8</v>
          </cell>
        </row>
        <row r="703">
          <cell r="A703" t="str">
            <v>051GPW　101426</v>
          </cell>
          <cell r="C703">
            <v>1014</v>
          </cell>
        </row>
        <row r="704">
          <cell r="A704" t="str">
            <v>051GPW　101428</v>
          </cell>
          <cell r="C704">
            <v>1014.1</v>
          </cell>
        </row>
        <row r="705">
          <cell r="A705" t="str">
            <v>051GPW　101430</v>
          </cell>
          <cell r="C705">
            <v>1014.3</v>
          </cell>
        </row>
        <row r="706">
          <cell r="A706" t="str">
            <v>051GPW　101432</v>
          </cell>
          <cell r="C706">
            <v>1014.4</v>
          </cell>
        </row>
        <row r="707">
          <cell r="A707" t="str">
            <v>051GPW　101804</v>
          </cell>
          <cell r="C707">
            <v>1016.3</v>
          </cell>
        </row>
        <row r="708">
          <cell r="A708" t="str">
            <v>051GPW　101806</v>
          </cell>
          <cell r="C708">
            <v>1016.4</v>
          </cell>
        </row>
        <row r="709">
          <cell r="A709" t="str">
            <v>051GPW　101808</v>
          </cell>
          <cell r="C709">
            <v>1016.6</v>
          </cell>
        </row>
        <row r="710">
          <cell r="A710" t="str">
            <v>051GPW　101810</v>
          </cell>
          <cell r="C710">
            <v>1016.7</v>
          </cell>
        </row>
        <row r="711">
          <cell r="A711" t="str">
            <v>051GPW　101812</v>
          </cell>
          <cell r="C711">
            <v>1016.9</v>
          </cell>
        </row>
        <row r="712">
          <cell r="A712" t="str">
            <v>051GPW　101814</v>
          </cell>
          <cell r="C712">
            <v>1017</v>
          </cell>
        </row>
        <row r="713">
          <cell r="A713" t="str">
            <v>051GPW　101816</v>
          </cell>
          <cell r="C713">
            <v>1017.2</v>
          </cell>
        </row>
        <row r="714">
          <cell r="A714" t="str">
            <v>051GPW　101818</v>
          </cell>
          <cell r="C714">
            <v>1017.3</v>
          </cell>
        </row>
        <row r="715">
          <cell r="A715" t="str">
            <v>051GPW　101820</v>
          </cell>
          <cell r="C715">
            <v>1017.5</v>
          </cell>
        </row>
        <row r="716">
          <cell r="A716" t="str">
            <v>051GPW　101822</v>
          </cell>
          <cell r="C716">
            <v>1017.7</v>
          </cell>
        </row>
        <row r="717">
          <cell r="A717" t="str">
            <v>051GPW　101824</v>
          </cell>
          <cell r="C717">
            <v>1017.8</v>
          </cell>
        </row>
        <row r="718">
          <cell r="A718" t="str">
            <v>051GPW　101826</v>
          </cell>
          <cell r="C718">
            <v>1018</v>
          </cell>
        </row>
        <row r="719">
          <cell r="A719" t="str">
            <v>051GPW　101828</v>
          </cell>
          <cell r="C719">
            <v>1018.1</v>
          </cell>
        </row>
        <row r="720">
          <cell r="A720" t="str">
            <v>051GPW　101830</v>
          </cell>
          <cell r="C720">
            <v>1018.3</v>
          </cell>
        </row>
        <row r="721">
          <cell r="A721" t="str">
            <v>051GPW　101832</v>
          </cell>
          <cell r="C721">
            <v>1018.4</v>
          </cell>
        </row>
        <row r="722">
          <cell r="A722" t="str">
            <v>051GPW　116404</v>
          </cell>
          <cell r="C722">
            <v>1162.0999999999999</v>
          </cell>
        </row>
        <row r="723">
          <cell r="A723" t="str">
            <v>051GPW　116406</v>
          </cell>
          <cell r="C723">
            <v>1162.3</v>
          </cell>
        </row>
        <row r="724">
          <cell r="A724" t="str">
            <v>051GPW　116408</v>
          </cell>
          <cell r="C724">
            <v>1162.5</v>
          </cell>
        </row>
        <row r="725">
          <cell r="A725" t="str">
            <v>051GPW　116410</v>
          </cell>
          <cell r="C725">
            <v>1162.5999999999999</v>
          </cell>
        </row>
        <row r="726">
          <cell r="A726" t="str">
            <v>051GPW　116412</v>
          </cell>
          <cell r="C726">
            <v>1162.8</v>
          </cell>
        </row>
        <row r="727">
          <cell r="A727" t="str">
            <v>051GPW　116414</v>
          </cell>
          <cell r="C727">
            <v>1163</v>
          </cell>
        </row>
        <row r="728">
          <cell r="A728" t="str">
            <v>051GPW　116416</v>
          </cell>
          <cell r="C728">
            <v>1163.2</v>
          </cell>
        </row>
        <row r="729">
          <cell r="A729" t="str">
            <v>051GPW　116418</v>
          </cell>
          <cell r="C729">
            <v>1163.3</v>
          </cell>
        </row>
        <row r="730">
          <cell r="A730" t="str">
            <v>051GPW　116420</v>
          </cell>
          <cell r="C730">
            <v>1163.5</v>
          </cell>
        </row>
        <row r="731">
          <cell r="A731" t="str">
            <v>051GPW　116422</v>
          </cell>
          <cell r="C731">
            <v>1163.7</v>
          </cell>
        </row>
        <row r="732">
          <cell r="A732" t="str">
            <v>051GPW　116424</v>
          </cell>
          <cell r="C732">
            <v>1163.8</v>
          </cell>
        </row>
        <row r="733">
          <cell r="A733" t="str">
            <v>051GPW　116426</v>
          </cell>
          <cell r="C733">
            <v>1164</v>
          </cell>
        </row>
        <row r="734">
          <cell r="A734" t="str">
            <v>051GPW　116428</v>
          </cell>
          <cell r="C734">
            <v>1164.2</v>
          </cell>
        </row>
        <row r="735">
          <cell r="A735" t="str">
            <v>051GPW　116430</v>
          </cell>
          <cell r="C735">
            <v>1164.4000000000001</v>
          </cell>
        </row>
        <row r="736">
          <cell r="A736" t="str">
            <v>051GPW　116432</v>
          </cell>
          <cell r="C736">
            <v>1164.5</v>
          </cell>
        </row>
        <row r="737">
          <cell r="A737" t="str">
            <v>QDNT-284A LT2　L=274004</v>
          </cell>
          <cell r="C737">
            <v>2736.4</v>
          </cell>
        </row>
        <row r="738">
          <cell r="A738" t="str">
            <v>QDNT-284A LT2　L=274006</v>
          </cell>
          <cell r="C738">
            <v>2736.7</v>
          </cell>
        </row>
        <row r="739">
          <cell r="A739" t="str">
            <v>QDNT-284A LT2　L=274008</v>
          </cell>
          <cell r="C739">
            <v>2737.1</v>
          </cell>
        </row>
        <row r="740">
          <cell r="A740" t="str">
            <v>QDNT-284A LT2　L=274010</v>
          </cell>
          <cell r="C740">
            <v>2737.4</v>
          </cell>
        </row>
        <row r="741">
          <cell r="A741" t="str">
            <v>QDNT-284A LT2　L=274012</v>
          </cell>
          <cell r="C741">
            <v>2737.7</v>
          </cell>
        </row>
        <row r="742">
          <cell r="A742" t="str">
            <v>QDNT-284A LT2　L=274014</v>
          </cell>
          <cell r="C742">
            <v>2738</v>
          </cell>
        </row>
        <row r="743">
          <cell r="A743" t="str">
            <v>QDNT-284A LT2　L=274016</v>
          </cell>
          <cell r="C743">
            <v>2738.4</v>
          </cell>
        </row>
        <row r="744">
          <cell r="A744" t="str">
            <v>QDNT-284A LT2　L=274018</v>
          </cell>
          <cell r="C744">
            <v>2738.7</v>
          </cell>
        </row>
        <row r="745">
          <cell r="A745" t="str">
            <v>QDNT-284A LT2　L=274020</v>
          </cell>
          <cell r="C745">
            <v>2739</v>
          </cell>
        </row>
        <row r="746">
          <cell r="A746" t="str">
            <v>QDNT-284A LT2　L=274022</v>
          </cell>
          <cell r="C746">
            <v>2739.3</v>
          </cell>
        </row>
        <row r="747">
          <cell r="A747" t="str">
            <v>QDNT-284A LT2　L=274024</v>
          </cell>
          <cell r="C747">
            <v>2739.6</v>
          </cell>
        </row>
        <row r="748">
          <cell r="A748" t="str">
            <v>QDNT-284A LT2　L=274026</v>
          </cell>
          <cell r="C748">
            <v>2740</v>
          </cell>
        </row>
        <row r="749">
          <cell r="A749" t="str">
            <v>QDNT-284A LT2　L=274028</v>
          </cell>
          <cell r="C749">
            <v>2740.3</v>
          </cell>
        </row>
        <row r="750">
          <cell r="A750" t="str">
            <v>QDNT-284A LT2　L=274030</v>
          </cell>
          <cell r="C750">
            <v>2740.6</v>
          </cell>
        </row>
        <row r="751">
          <cell r="A751" t="str">
            <v>QDNT-284A LT2　L=274032</v>
          </cell>
          <cell r="C751">
            <v>2740.9</v>
          </cell>
        </row>
        <row r="752">
          <cell r="A752" t="str">
            <v>黒板灯ﾌﾟﾘｽﾞﾑｶﾊﾞｰ　L=121004</v>
          </cell>
          <cell r="C752">
            <v>1208.74</v>
          </cell>
        </row>
        <row r="753">
          <cell r="A753" t="str">
            <v>黒板灯ﾌﾟﾘｽﾞﾑｶﾊﾞｰ　L=121006</v>
          </cell>
          <cell r="C753">
            <v>1208.9000000000001</v>
          </cell>
        </row>
        <row r="754">
          <cell r="A754" t="str">
            <v>黒板灯ﾌﾟﾘｽﾞﾑｶﾊﾞｰ　L=121008</v>
          </cell>
          <cell r="C754">
            <v>1209.06</v>
          </cell>
        </row>
        <row r="755">
          <cell r="A755" t="str">
            <v>黒板灯ﾌﾟﾘｽﾞﾑｶﾊﾞｰ　L=121010</v>
          </cell>
          <cell r="C755">
            <v>1209.21</v>
          </cell>
        </row>
        <row r="756">
          <cell r="A756" t="str">
            <v>黒板灯ﾌﾟﾘｽﾞﾑｶﾊﾞｰ　L=121012</v>
          </cell>
          <cell r="C756">
            <v>1209.3699999999999</v>
          </cell>
        </row>
        <row r="757">
          <cell r="A757" t="str">
            <v>黒板灯ﾌﾟﾘｽﾞﾑｶﾊﾞｰ　L=121014</v>
          </cell>
          <cell r="C757">
            <v>1209.53</v>
          </cell>
        </row>
        <row r="758">
          <cell r="A758" t="str">
            <v>黒板灯ﾌﾟﾘｽﾞﾑｶﾊﾞｰ　L=121016</v>
          </cell>
          <cell r="C758">
            <v>1209.69</v>
          </cell>
        </row>
        <row r="759">
          <cell r="A759" t="str">
            <v>黒板灯ﾌﾟﾘｽﾞﾑｶﾊﾞｰ　L=121018</v>
          </cell>
          <cell r="C759">
            <v>1209.8900000000001</v>
          </cell>
        </row>
        <row r="760">
          <cell r="A760" t="str">
            <v>黒板灯ﾌﾟﾘｽﾞﾑｶﾊﾞｰ　L=121020</v>
          </cell>
          <cell r="C760">
            <v>1210</v>
          </cell>
        </row>
        <row r="761">
          <cell r="A761" t="str">
            <v>黒板灯ﾌﾟﾘｽﾞﾑｶﾊﾞｰ　L=121022</v>
          </cell>
          <cell r="C761">
            <v>1210.1600000000001</v>
          </cell>
        </row>
        <row r="762">
          <cell r="A762" t="str">
            <v>黒板灯ﾌﾟﾘｽﾞﾑｶﾊﾞｰ　L=121024</v>
          </cell>
          <cell r="C762">
            <v>1210.31</v>
          </cell>
        </row>
        <row r="763">
          <cell r="A763" t="str">
            <v>黒板灯ﾌﾟﾘｽﾞﾑｶﾊﾞｰ　L=121026</v>
          </cell>
          <cell r="C763">
            <v>1210.47</v>
          </cell>
        </row>
        <row r="764">
          <cell r="A764" t="str">
            <v>黒板灯ﾌﾟﾘｽﾞﾑｶﾊﾞｰ　L=121028</v>
          </cell>
          <cell r="C764">
            <v>1210.6300000000001</v>
          </cell>
        </row>
        <row r="765">
          <cell r="A765" t="str">
            <v>黒板灯ﾌﾟﾘｽﾞﾑｶﾊﾞｰ　L=121030</v>
          </cell>
          <cell r="C765">
            <v>1210.79</v>
          </cell>
        </row>
        <row r="766">
          <cell r="A766" t="str">
            <v>黒板灯ﾌﾟﾘｽﾞﾑｶﾊﾞｰ　L=121032</v>
          </cell>
          <cell r="C766">
            <v>1210.94</v>
          </cell>
        </row>
        <row r="767">
          <cell r="A767" t="str">
            <v>黒板灯ﾌﾟﾘｽﾞﾑｶﾊﾞｰ　L=121034</v>
          </cell>
          <cell r="C767">
            <v>1211.0999999999999</v>
          </cell>
        </row>
        <row r="768">
          <cell r="A768" t="str">
            <v>ｺﾝﾌｫｰﾄ用ﾌﾟﾘｽﾞﾑｶﾊﾞｰL121004</v>
          </cell>
          <cell r="C768">
            <v>1208.74</v>
          </cell>
        </row>
        <row r="769">
          <cell r="A769" t="str">
            <v>ｺﾝﾌｫｰﾄ用ﾌﾟﾘｽﾞﾑｶﾊﾞｰL121006</v>
          </cell>
          <cell r="C769">
            <v>1208.9000000000001</v>
          </cell>
        </row>
        <row r="770">
          <cell r="A770" t="str">
            <v>ｺﾝﾌｫｰﾄ用ﾌﾟﾘｽﾞﾑｶﾊﾞｰL121008</v>
          </cell>
          <cell r="C770">
            <v>1209.06</v>
          </cell>
        </row>
        <row r="771">
          <cell r="A771" t="str">
            <v>ｺﾝﾌｫｰﾄ用ﾌﾟﾘｽﾞﾑｶﾊﾞｰL121010</v>
          </cell>
          <cell r="C771">
            <v>1209.21</v>
          </cell>
        </row>
        <row r="772">
          <cell r="A772" t="str">
            <v>ｺﾝﾌｫｰﾄ用ﾌﾟﾘｽﾞﾑｶﾊﾞｰL121012</v>
          </cell>
          <cell r="C772">
            <v>1209.3699999999999</v>
          </cell>
        </row>
        <row r="773">
          <cell r="A773" t="str">
            <v>ｺﾝﾌｫｰﾄ用ﾌﾟﾘｽﾞﾑｶﾊﾞｰL121014</v>
          </cell>
          <cell r="C773">
            <v>1209.53</v>
          </cell>
        </row>
        <row r="774">
          <cell r="A774" t="str">
            <v>ｺﾝﾌｫｰﾄ用ﾌﾟﾘｽﾞﾑｶﾊﾞｰL121016</v>
          </cell>
          <cell r="C774">
            <v>1209.69</v>
          </cell>
        </row>
        <row r="775">
          <cell r="A775" t="str">
            <v>ｺﾝﾌｫｰﾄ用ﾌﾟﾘｽﾞﾑｶﾊﾞｰL121018</v>
          </cell>
          <cell r="C775">
            <v>1209.8900000000001</v>
          </cell>
        </row>
        <row r="776">
          <cell r="A776" t="str">
            <v>ｺﾝﾌｫｰﾄ用ﾌﾟﾘｽﾞﾑｶﾊﾞｰL121020</v>
          </cell>
          <cell r="C776">
            <v>1210</v>
          </cell>
        </row>
        <row r="777">
          <cell r="A777" t="str">
            <v>ｺﾝﾌｫｰﾄ用ﾌﾟﾘｽﾞﾑｶﾊﾞｰL121022</v>
          </cell>
          <cell r="C777">
            <v>1210.1600000000001</v>
          </cell>
        </row>
        <row r="778">
          <cell r="A778" t="str">
            <v>ｺﾝﾌｫｰﾄ用ﾌﾟﾘｽﾞﾑｶﾊﾞｰL121024</v>
          </cell>
          <cell r="C778">
            <v>1210.31</v>
          </cell>
        </row>
        <row r="779">
          <cell r="A779" t="str">
            <v>ｺﾝﾌｫｰﾄ用ﾌﾟﾘｽﾞﾑｶﾊﾞｰL121026</v>
          </cell>
          <cell r="C779">
            <v>1210.47</v>
          </cell>
        </row>
        <row r="780">
          <cell r="A780" t="str">
            <v>ｺﾝﾌｫｰﾄ用ﾌﾟﾘｽﾞﾑｶﾊﾞｰL121028</v>
          </cell>
          <cell r="C780">
            <v>1210.6300000000001</v>
          </cell>
        </row>
        <row r="781">
          <cell r="A781" t="str">
            <v>ｺﾝﾌｫｰﾄ用ﾌﾟﾘｽﾞﾑｶﾊﾞｰL121030</v>
          </cell>
          <cell r="C781">
            <v>1210.79</v>
          </cell>
        </row>
        <row r="782">
          <cell r="A782" t="str">
            <v>ｺﾝﾌｫｰﾄ用ﾌﾟﾘｽﾞﾑｶﾊﾞｰL121032</v>
          </cell>
          <cell r="C782">
            <v>1210.94</v>
          </cell>
        </row>
        <row r="783">
          <cell r="A783" t="str">
            <v>ｺﾝﾌｫｰﾄ用ﾌﾟﾘｽﾞﾑｶﾊﾞｰL121034</v>
          </cell>
          <cell r="C783">
            <v>1211.0999999999999</v>
          </cell>
        </row>
        <row r="784">
          <cell r="A784" t="str">
            <v>PK-59827 L=5005</v>
          </cell>
          <cell r="C784">
            <v>499.37</v>
          </cell>
        </row>
        <row r="785">
          <cell r="A785" t="str">
            <v>PK-59827 L=5007</v>
          </cell>
          <cell r="C785">
            <v>499.44</v>
          </cell>
        </row>
        <row r="786">
          <cell r="A786" t="str">
            <v>PK-59827 L=5009</v>
          </cell>
          <cell r="C786">
            <v>499.51</v>
          </cell>
        </row>
        <row r="787">
          <cell r="A787" t="str">
            <v>PK-59827 L=50011</v>
          </cell>
          <cell r="C787">
            <v>499.58</v>
          </cell>
        </row>
        <row r="788">
          <cell r="A788" t="str">
            <v>PK-59827 L=50013</v>
          </cell>
          <cell r="C788">
            <v>499.65</v>
          </cell>
        </row>
        <row r="789">
          <cell r="A789" t="str">
            <v>PK-59827 L=50015</v>
          </cell>
          <cell r="C789">
            <v>499.72</v>
          </cell>
        </row>
        <row r="790">
          <cell r="A790" t="str">
            <v>PK-59827 L=50017</v>
          </cell>
          <cell r="C790">
            <v>499.79</v>
          </cell>
        </row>
        <row r="791">
          <cell r="A791" t="str">
            <v>PK-59827 L=50019</v>
          </cell>
          <cell r="C791">
            <v>499.86</v>
          </cell>
        </row>
        <row r="792">
          <cell r="A792" t="str">
            <v>PK-59827 L=50021</v>
          </cell>
          <cell r="C792">
            <v>499.93</v>
          </cell>
        </row>
        <row r="793">
          <cell r="A793" t="str">
            <v>PK-59827 L=50023</v>
          </cell>
          <cell r="C793">
            <v>500</v>
          </cell>
        </row>
        <row r="794">
          <cell r="A794" t="str">
            <v>PK-59827 L=50025</v>
          </cell>
          <cell r="C794">
            <v>500.07</v>
          </cell>
        </row>
        <row r="795">
          <cell r="A795" t="str">
            <v>PK-59827 L=50027</v>
          </cell>
          <cell r="C795">
            <v>500.14</v>
          </cell>
        </row>
        <row r="796">
          <cell r="A796" t="str">
            <v>PK-59827 L=50029</v>
          </cell>
          <cell r="C796">
            <v>500.21</v>
          </cell>
        </row>
        <row r="797">
          <cell r="A797" t="str">
            <v>PK-59827 L=50031</v>
          </cell>
          <cell r="C797">
            <v>500.28</v>
          </cell>
        </row>
        <row r="798">
          <cell r="A798" t="str">
            <v>PK-59827 L=50033</v>
          </cell>
          <cell r="C798">
            <v>500.35</v>
          </cell>
        </row>
        <row r="799">
          <cell r="A799" t="str">
            <v>PK-59827 L=50035</v>
          </cell>
          <cell r="C799">
            <v>500.42</v>
          </cell>
        </row>
        <row r="800">
          <cell r="A800" t="str">
            <v>PK-59827 L=50037</v>
          </cell>
          <cell r="C800">
            <v>500.42</v>
          </cell>
        </row>
        <row r="801">
          <cell r="A801" t="str">
            <v>PK-59827 L=7005</v>
          </cell>
          <cell r="C801">
            <v>699.12</v>
          </cell>
        </row>
        <row r="802">
          <cell r="A802" t="str">
            <v>PK-59827 L=7007</v>
          </cell>
          <cell r="C802">
            <v>699.22</v>
          </cell>
        </row>
        <row r="803">
          <cell r="A803" t="str">
            <v>PK-59827 L=7009</v>
          </cell>
          <cell r="C803">
            <v>699.31</v>
          </cell>
        </row>
        <row r="804">
          <cell r="A804" t="str">
            <v>PK-59827 L=70011</v>
          </cell>
          <cell r="C804">
            <v>699.41</v>
          </cell>
        </row>
        <row r="805">
          <cell r="A805" t="str">
            <v>PK-59827 L=70013</v>
          </cell>
          <cell r="C805">
            <v>699.51</v>
          </cell>
        </row>
        <row r="806">
          <cell r="A806" t="str">
            <v>PK-59827 L=70015</v>
          </cell>
          <cell r="C806">
            <v>699.61</v>
          </cell>
        </row>
        <row r="807">
          <cell r="A807" t="str">
            <v>PK-59827 L=70017</v>
          </cell>
          <cell r="C807">
            <v>699.71</v>
          </cell>
        </row>
        <row r="808">
          <cell r="A808" t="str">
            <v>PK-59827 L=70019</v>
          </cell>
          <cell r="C808">
            <v>699.8</v>
          </cell>
        </row>
        <row r="809">
          <cell r="A809" t="str">
            <v>PK-59827 L=70021</v>
          </cell>
          <cell r="C809">
            <v>699.9</v>
          </cell>
        </row>
        <row r="810">
          <cell r="A810" t="str">
            <v>PK-59827 L=70023</v>
          </cell>
          <cell r="C810">
            <v>700</v>
          </cell>
        </row>
        <row r="811">
          <cell r="A811" t="str">
            <v>PK-59827 L=70025</v>
          </cell>
          <cell r="C811">
            <v>700.1</v>
          </cell>
        </row>
        <row r="812">
          <cell r="A812" t="str">
            <v>PK-59827 L=70027</v>
          </cell>
          <cell r="C812">
            <v>700.2</v>
          </cell>
        </row>
        <row r="813">
          <cell r="A813" t="str">
            <v>PK-59827 L=70029</v>
          </cell>
          <cell r="C813">
            <v>700.29</v>
          </cell>
        </row>
        <row r="814">
          <cell r="A814" t="str">
            <v>PK-59827 L=70031</v>
          </cell>
          <cell r="C814">
            <v>700.39</v>
          </cell>
        </row>
        <row r="815">
          <cell r="A815" t="str">
            <v>PK-59827 L=70033</v>
          </cell>
          <cell r="C815">
            <v>700.49</v>
          </cell>
        </row>
        <row r="816">
          <cell r="A816" t="str">
            <v>PK-59827 L=70035</v>
          </cell>
          <cell r="C816">
            <v>700.59</v>
          </cell>
        </row>
        <row r="817">
          <cell r="A817" t="str">
            <v>PK-59827 L=70037</v>
          </cell>
          <cell r="C817">
            <v>700.69</v>
          </cell>
        </row>
      </sheetData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2">
          <cell r="B2" t="str">
            <v>No</v>
          </cell>
          <cell r="C2" t="str">
            <v>品名</v>
          </cell>
          <cell r="P2" t="str">
            <v>温度２</v>
          </cell>
          <cell r="Q2" t="str">
            <v>温度３</v>
          </cell>
          <cell r="R2" t="str">
            <v>温度４</v>
          </cell>
          <cell r="S2" t="str">
            <v>温度５</v>
          </cell>
          <cell r="T2" t="str">
            <v>温度６</v>
          </cell>
          <cell r="U2" t="str">
            <v>温度７</v>
          </cell>
          <cell r="V2" t="str">
            <v>温度８</v>
          </cell>
          <cell r="W2" t="str">
            <v>寸法２</v>
          </cell>
          <cell r="X2" t="str">
            <v>寸法３</v>
          </cell>
          <cell r="Y2" t="str">
            <v>寸法４</v>
          </cell>
          <cell r="Z2" t="str">
            <v>寸法５</v>
          </cell>
          <cell r="AA2" t="str">
            <v>寸法６</v>
          </cell>
          <cell r="AB2" t="str">
            <v>寸法７</v>
          </cell>
          <cell r="AC2" t="str">
            <v>寸法８</v>
          </cell>
          <cell r="AD2" t="str">
            <v>加工数</v>
          </cell>
          <cell r="AE2" t="str">
            <v>基材
不良</v>
          </cell>
          <cell r="AF2" t="str">
            <v>製品
不良</v>
          </cell>
          <cell r="AG2" t="str">
            <v>基材
使用</v>
          </cell>
          <cell r="AH2" t="str">
            <v>ｷｽﾞ</v>
          </cell>
          <cell r="AI2" t="str">
            <v>凹み</v>
          </cell>
          <cell r="AJ2" t="str">
            <v>異物</v>
          </cell>
          <cell r="AK2" t="str">
            <v>ﾒﾔﾆ</v>
          </cell>
          <cell r="AL2" t="str">
            <v>欠け</v>
          </cell>
          <cell r="AM2" t="str">
            <v>ベコツキ</v>
          </cell>
          <cell r="AN2" t="str">
            <v>その他</v>
          </cell>
          <cell r="AO2" t="str">
            <v>端材</v>
          </cell>
          <cell r="AQ2" t="str">
            <v>加工日内訳</v>
          </cell>
          <cell r="BB2" t="str">
            <v>加工日1</v>
          </cell>
          <cell r="BC2" t="str">
            <v>加工日2</v>
          </cell>
          <cell r="BD2" t="str">
            <v>加工日3</v>
          </cell>
          <cell r="BE2" t="str">
            <v>加工日4</v>
          </cell>
          <cell r="BF2" t="str">
            <v>加工日5</v>
          </cell>
          <cell r="BG2" t="str">
            <v>加工日6</v>
          </cell>
          <cell r="BH2" t="str">
            <v>加工日7</v>
          </cell>
          <cell r="BI2" t="str">
            <v>加工日8</v>
          </cell>
          <cell r="BJ2" t="str">
            <v>Lot1</v>
          </cell>
          <cell r="BK2" t="str">
            <v>Lot2</v>
          </cell>
          <cell r="BL2" t="str">
            <v>Lot3</v>
          </cell>
          <cell r="BM2" t="str">
            <v>Lot4</v>
          </cell>
          <cell r="BN2" t="str">
            <v>Lot5</v>
          </cell>
          <cell r="BO2" t="str">
            <v>Lot6</v>
          </cell>
          <cell r="BP2" t="str">
            <v>Lot7</v>
          </cell>
          <cell r="BQ2" t="str">
            <v>Lot8</v>
          </cell>
          <cell r="BR2" t="str">
            <v>使1</v>
          </cell>
          <cell r="BS2" t="str">
            <v>使2</v>
          </cell>
          <cell r="BT2" t="str">
            <v>使3</v>
          </cell>
          <cell r="BU2" t="str">
            <v>使4</v>
          </cell>
          <cell r="BV2" t="str">
            <v>使5</v>
          </cell>
          <cell r="BW2" t="str">
            <v>使6</v>
          </cell>
          <cell r="BX2" t="str">
            <v>使7</v>
          </cell>
          <cell r="BY2" t="str">
            <v>使8</v>
          </cell>
          <cell r="CA2" t="str">
            <v>切断者</v>
          </cell>
          <cell r="CB2" t="str">
            <v>検査者</v>
          </cell>
        </row>
        <row r="3">
          <cell r="B3" t="str">
            <v>00754612</v>
          </cell>
          <cell r="C3" t="str">
            <v>灯具カバーPC IN 2130　L=908</v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>
            <v>176</v>
          </cell>
          <cell r="AE3">
            <v>27</v>
          </cell>
          <cell r="AF3">
            <v>27</v>
          </cell>
          <cell r="AG3">
            <v>203</v>
          </cell>
          <cell r="AH3">
            <v>7</v>
          </cell>
          <cell r="AI3">
            <v>19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Q3">
            <v>45806</v>
          </cell>
          <cell r="AR3">
            <v>2</v>
          </cell>
          <cell r="AS3">
            <v>45807</v>
          </cell>
          <cell r="AT3">
            <v>9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B3">
            <v>45768</v>
          </cell>
          <cell r="BC3">
            <v>45806</v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>25D10-01</v>
          </cell>
          <cell r="BK3" t="str">
            <v>25E17-01</v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>
            <v>3</v>
          </cell>
          <cell r="BS3">
            <v>200</v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CA3" t="str">
            <v>-</v>
          </cell>
          <cell r="CB3" t="str">
            <v>高森</v>
          </cell>
          <cell r="CD3" t="str">
            <v>000000000003339</v>
          </cell>
        </row>
        <row r="5">
          <cell r="C5">
            <v>176</v>
          </cell>
        </row>
        <row r="7">
          <cell r="C7">
            <v>45807</v>
          </cell>
        </row>
        <row r="11">
          <cell r="B11" t="str">
            <v>00754613</v>
          </cell>
          <cell r="C11" t="str">
            <v>灯具カバーPC IN 2050　L=1183.5</v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>
            <v>288</v>
          </cell>
          <cell r="AE11">
            <v>102</v>
          </cell>
          <cell r="AF11">
            <v>102</v>
          </cell>
          <cell r="AG11">
            <v>390</v>
          </cell>
          <cell r="AH11">
            <v>8</v>
          </cell>
          <cell r="AI11">
            <v>87</v>
          </cell>
          <cell r="AJ11">
            <v>7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Q11">
            <v>0</v>
          </cell>
          <cell r="AR11">
            <v>0</v>
          </cell>
          <cell r="AS11">
            <v>45807</v>
          </cell>
          <cell r="AT11">
            <v>7</v>
          </cell>
          <cell r="AU11">
            <v>45810</v>
          </cell>
          <cell r="AV11">
            <v>8</v>
          </cell>
          <cell r="AW11">
            <v>45811</v>
          </cell>
          <cell r="AX11">
            <v>3</v>
          </cell>
          <cell r="AY11">
            <v>0</v>
          </cell>
          <cell r="AZ11">
            <v>0</v>
          </cell>
          <cell r="BB11" t="str">
            <v>3/18/</v>
          </cell>
          <cell r="BC11">
            <v>45807</v>
          </cell>
          <cell r="BD11">
            <v>45810</v>
          </cell>
          <cell r="BE11">
            <v>45811</v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>25C11-01</v>
          </cell>
          <cell r="BK11" t="str">
            <v>25E17-01</v>
          </cell>
          <cell r="BL11" t="str">
            <v>25E20-02</v>
          </cell>
          <cell r="BM11" t="str">
            <v>25E20-02</v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>
            <v>3</v>
          </cell>
          <cell r="BS11">
            <v>200</v>
          </cell>
          <cell r="BT11">
            <v>187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CA11" t="str">
            <v>-</v>
          </cell>
          <cell r="CB11" t="str">
            <v>高森
水野・富田</v>
          </cell>
          <cell r="CD11" t="str">
            <v>000000000003340</v>
          </cell>
        </row>
        <row r="13">
          <cell r="C13">
            <v>288</v>
          </cell>
        </row>
        <row r="15">
          <cell r="C15">
            <v>45811</v>
          </cell>
        </row>
        <row r="19">
          <cell r="B19" t="str">
            <v>00758074</v>
          </cell>
          <cell r="C19" t="str">
            <v>特注　灯具カバーPC　L=503</v>
          </cell>
          <cell r="P19">
            <v>22</v>
          </cell>
          <cell r="Q19">
            <v>22</v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>
            <v>503.7</v>
          </cell>
          <cell r="X19">
            <v>503.7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>
            <v>10</v>
          </cell>
          <cell r="AE19" t="str">
            <v/>
          </cell>
          <cell r="AF19">
            <v>0</v>
          </cell>
          <cell r="AG19" t="str">
            <v/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10</v>
          </cell>
          <cell r="AQ19">
            <v>45806</v>
          </cell>
          <cell r="AR19">
            <v>10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B19" t="str">
            <v/>
          </cell>
          <cell r="BC19">
            <v>45806</v>
          </cell>
          <cell r="BD19">
            <v>45806</v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>25D11-01</v>
          </cell>
          <cell r="BL19" t="str">
            <v>25D11-01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0</v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CA19" t="str">
            <v>富田</v>
          </cell>
          <cell r="CB19" t="str">
            <v>高森</v>
          </cell>
          <cell r="CD19" t="str">
            <v>Z002</v>
          </cell>
        </row>
        <row r="21">
          <cell r="C21">
            <v>10</v>
          </cell>
        </row>
        <row r="23">
          <cell r="C23">
            <v>45806</v>
          </cell>
        </row>
        <row r="27">
          <cell r="B27" t="str">
            <v>00758073</v>
          </cell>
          <cell r="C27" t="str">
            <v>特注　灯具カバーPC　L=669</v>
          </cell>
          <cell r="P27">
            <v>22</v>
          </cell>
          <cell r="Q27">
            <v>22</v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>
            <v>670.15</v>
          </cell>
          <cell r="X27">
            <v>670.2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>
            <v>10</v>
          </cell>
          <cell r="AE27" t="str">
            <v/>
          </cell>
          <cell r="AF27">
            <v>0</v>
          </cell>
          <cell r="AG27" t="str">
            <v/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10</v>
          </cell>
          <cell r="AQ27">
            <v>45806</v>
          </cell>
          <cell r="AR27">
            <v>10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B27" t="str">
            <v/>
          </cell>
          <cell r="BC27">
            <v>45806</v>
          </cell>
          <cell r="BD27">
            <v>45806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>25D10-01</v>
          </cell>
          <cell r="BL27" t="str">
            <v>25D10-01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0</v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CA27" t="str">
            <v>富田</v>
          </cell>
          <cell r="CB27" t="str">
            <v>高森</v>
          </cell>
          <cell r="CD27" t="str">
            <v>Z001</v>
          </cell>
        </row>
        <row r="29">
          <cell r="C29">
            <v>10</v>
          </cell>
        </row>
        <row r="31">
          <cell r="C31">
            <v>45806</v>
          </cell>
        </row>
        <row r="35">
          <cell r="B35" t="str">
            <v>00757225</v>
          </cell>
          <cell r="C35" t="str">
            <v>001EGAW　715</v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CA35">
            <v>0</v>
          </cell>
          <cell r="CB35">
            <v>0</v>
          </cell>
          <cell r="CD35" t="str">
            <v>000000000003627</v>
          </cell>
        </row>
        <row r="37">
          <cell r="C37">
            <v>0</v>
          </cell>
        </row>
        <row r="39">
          <cell r="C39">
            <v>0</v>
          </cell>
        </row>
        <row r="43">
          <cell r="B43" t="str">
            <v>00757224</v>
          </cell>
          <cell r="C43" t="str">
            <v>001EGAW　665</v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CA43">
            <v>0</v>
          </cell>
          <cell r="CB43">
            <v>0</v>
          </cell>
          <cell r="CD43" t="str">
            <v>000000000003626</v>
          </cell>
        </row>
        <row r="45">
          <cell r="C45">
            <v>0</v>
          </cell>
        </row>
        <row r="47">
          <cell r="C47">
            <v>0</v>
          </cell>
        </row>
        <row r="51">
          <cell r="B51" t="str">
            <v>00757223</v>
          </cell>
          <cell r="C51" t="str">
            <v>001EGAW　652</v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CA51">
            <v>0</v>
          </cell>
          <cell r="CB51">
            <v>0</v>
          </cell>
          <cell r="CD51" t="str">
            <v>000000000003625</v>
          </cell>
        </row>
        <row r="53">
          <cell r="C53">
            <v>0</v>
          </cell>
        </row>
        <row r="55">
          <cell r="C55">
            <v>0</v>
          </cell>
        </row>
        <row r="59">
          <cell r="B59" t="str">
            <v>00757222</v>
          </cell>
          <cell r="C59" t="str">
            <v>001EGAW　633</v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B59" t="str">
            <v/>
          </cell>
          <cell r="BC59" t="str">
            <v/>
          </cell>
          <cell r="BD59" t="str">
            <v/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CA59">
            <v>0</v>
          </cell>
          <cell r="CB59">
            <v>0</v>
          </cell>
          <cell r="CD59" t="str">
            <v>000000000003624</v>
          </cell>
        </row>
        <row r="61">
          <cell r="C61">
            <v>0</v>
          </cell>
        </row>
        <row r="63">
          <cell r="C63">
            <v>0</v>
          </cell>
        </row>
        <row r="67">
          <cell r="B67" t="str">
            <v>00757221</v>
          </cell>
          <cell r="C67" t="str">
            <v>001EGAW　565</v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B67" t="str">
            <v/>
          </cell>
          <cell r="BC67" t="str">
            <v/>
          </cell>
          <cell r="BD67" t="str">
            <v/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CA67">
            <v>0</v>
          </cell>
          <cell r="CB67">
            <v>0</v>
          </cell>
          <cell r="CD67" t="str">
            <v>000000000003623</v>
          </cell>
        </row>
        <row r="69">
          <cell r="C69">
            <v>0</v>
          </cell>
        </row>
        <row r="71">
          <cell r="C71">
            <v>0</v>
          </cell>
        </row>
        <row r="75">
          <cell r="B75" t="str">
            <v>00757220</v>
          </cell>
          <cell r="C75" t="str">
            <v>001EGAW　508</v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B75" t="str">
            <v/>
          </cell>
          <cell r="BC75" t="str">
            <v/>
          </cell>
          <cell r="BD75" t="str">
            <v/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CA75">
            <v>0</v>
          </cell>
          <cell r="CB75">
            <v>0</v>
          </cell>
          <cell r="CD75" t="str">
            <v>000000000003622</v>
          </cell>
        </row>
        <row r="77">
          <cell r="C77">
            <v>0</v>
          </cell>
        </row>
        <row r="79">
          <cell r="C79">
            <v>0</v>
          </cell>
        </row>
        <row r="83">
          <cell r="B83" t="str">
            <v>00757219</v>
          </cell>
          <cell r="C83" t="str">
            <v>001EGAW　415</v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B83" t="str">
            <v/>
          </cell>
          <cell r="BC83" t="str">
            <v/>
          </cell>
          <cell r="BD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CA83">
            <v>0</v>
          </cell>
          <cell r="CB83">
            <v>0</v>
          </cell>
          <cell r="CD83" t="str">
            <v>000000000003621</v>
          </cell>
        </row>
        <row r="85">
          <cell r="C85">
            <v>0</v>
          </cell>
        </row>
        <row r="87">
          <cell r="C87">
            <v>0</v>
          </cell>
        </row>
        <row r="91">
          <cell r="B91" t="str">
            <v>00758109</v>
          </cell>
          <cell r="C91" t="str">
            <v>8FL281304 6110　L=1478</v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B91" t="str">
            <v/>
          </cell>
          <cell r="BC91" t="str">
            <v/>
          </cell>
          <cell r="BD91" t="str">
            <v/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CA91">
            <v>0</v>
          </cell>
          <cell r="CB91">
            <v>0</v>
          </cell>
          <cell r="CD91" t="str">
            <v>000000000003691</v>
          </cell>
        </row>
        <row r="93">
          <cell r="C93">
            <v>0</v>
          </cell>
        </row>
        <row r="95">
          <cell r="C95">
            <v>0</v>
          </cell>
        </row>
        <row r="99">
          <cell r="B99" t="str">
            <v>00758108</v>
          </cell>
          <cell r="C99" t="str">
            <v>8FL281304 4810　L=297</v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CA99">
            <v>0</v>
          </cell>
          <cell r="CB99">
            <v>0</v>
          </cell>
          <cell r="CD99" t="str">
            <v>000000000003690</v>
          </cell>
        </row>
        <row r="101">
          <cell r="C101">
            <v>0</v>
          </cell>
        </row>
        <row r="103">
          <cell r="C103">
            <v>0</v>
          </cell>
        </row>
        <row r="107">
          <cell r="B107" t="str">
            <v>00749887</v>
          </cell>
          <cell r="C107" t="str">
            <v>PK-59827 L=700</v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B107" t="str">
            <v/>
          </cell>
          <cell r="BC107" t="str">
            <v/>
          </cell>
          <cell r="BD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 t="str">
            <v/>
          </cell>
          <cell r="BK107" t="str">
            <v/>
          </cell>
          <cell r="BL107" t="str">
            <v/>
          </cell>
          <cell r="BM107" t="str">
            <v/>
          </cell>
          <cell r="BN107" t="str">
            <v/>
          </cell>
          <cell r="BO107" t="str">
            <v/>
          </cell>
          <cell r="BP107" t="str">
            <v/>
          </cell>
          <cell r="BQ107" t="str">
            <v/>
          </cell>
          <cell r="BR107" t="str">
            <v/>
          </cell>
          <cell r="BS107" t="str">
            <v/>
          </cell>
          <cell r="BT107" t="str">
            <v/>
          </cell>
          <cell r="BU107" t="str">
            <v/>
          </cell>
          <cell r="BV107" t="str">
            <v/>
          </cell>
          <cell r="BW107" t="str">
            <v/>
          </cell>
          <cell r="BX107" t="str">
            <v/>
          </cell>
          <cell r="BY107" t="str">
            <v/>
          </cell>
          <cell r="CA107">
            <v>0</v>
          </cell>
          <cell r="CB107">
            <v>0</v>
          </cell>
          <cell r="CD107" t="str">
            <v>000000000002883</v>
          </cell>
        </row>
        <row r="109">
          <cell r="C109">
            <v>0</v>
          </cell>
        </row>
        <row r="111">
          <cell r="C111">
            <v>0</v>
          </cell>
        </row>
        <row r="115">
          <cell r="B115" t="str">
            <v>00</v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  <cell r="BN115" t="str">
            <v/>
          </cell>
          <cell r="BO115" t="str">
            <v/>
          </cell>
          <cell r="BP115" t="str">
            <v/>
          </cell>
          <cell r="BQ115" t="str">
            <v/>
          </cell>
          <cell r="BR115" t="str">
            <v/>
          </cell>
          <cell r="BS115" t="str">
            <v/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CA115">
            <v>0</v>
          </cell>
          <cell r="CB115">
            <v>0</v>
          </cell>
          <cell r="CD115" t="str">
            <v/>
          </cell>
        </row>
        <row r="117">
          <cell r="C117">
            <v>0</v>
          </cell>
        </row>
        <row r="119">
          <cell r="C119">
            <v>0</v>
          </cell>
        </row>
        <row r="123">
          <cell r="B123" t="str">
            <v>00</v>
          </cell>
          <cell r="CD123" t="str">
            <v/>
          </cell>
        </row>
        <row r="131">
          <cell r="B131" t="str">
            <v>00</v>
          </cell>
          <cell r="CD131" t="str">
            <v/>
          </cell>
        </row>
        <row r="139">
          <cell r="B139" t="str">
            <v>00</v>
          </cell>
          <cell r="CD139" t="str">
            <v/>
          </cell>
        </row>
        <row r="147">
          <cell r="B147" t="str">
            <v>00</v>
          </cell>
          <cell r="CD147" t="str">
            <v/>
          </cell>
        </row>
        <row r="155">
          <cell r="B155" t="str">
            <v>00</v>
          </cell>
          <cell r="CD155" t="str">
            <v/>
          </cell>
        </row>
        <row r="163">
          <cell r="B163" t="str">
            <v>00</v>
          </cell>
          <cell r="CD163" t="str">
            <v/>
          </cell>
        </row>
        <row r="171">
          <cell r="B171" t="str">
            <v>00</v>
          </cell>
          <cell r="CD171" t="str">
            <v/>
          </cell>
        </row>
        <row r="179">
          <cell r="B179" t="str">
            <v>00</v>
          </cell>
          <cell r="CD179" t="str">
            <v/>
          </cell>
        </row>
        <row r="187">
          <cell r="B187" t="str">
            <v>00</v>
          </cell>
          <cell r="CD187" t="str">
            <v/>
          </cell>
        </row>
        <row r="195">
          <cell r="B195" t="str">
            <v>00</v>
          </cell>
          <cell r="CD195" t="str">
            <v/>
          </cell>
        </row>
        <row r="203">
          <cell r="B203" t="str">
            <v>00</v>
          </cell>
          <cell r="CD203" t="str">
            <v/>
          </cell>
        </row>
        <row r="211">
          <cell r="B211" t="str">
            <v>00</v>
          </cell>
          <cell r="CD211" t="str">
            <v/>
          </cell>
        </row>
        <row r="219">
          <cell r="B219" t="str">
            <v>00</v>
          </cell>
          <cell r="CD219" t="str">
            <v/>
          </cell>
        </row>
        <row r="227">
          <cell r="B227" t="str">
            <v>00</v>
          </cell>
          <cell r="CD227" t="str">
            <v/>
          </cell>
        </row>
        <row r="235">
          <cell r="B235" t="str">
            <v>00</v>
          </cell>
          <cell r="CD235" t="str">
            <v/>
          </cell>
        </row>
        <row r="243">
          <cell r="B243" t="str">
            <v>00</v>
          </cell>
          <cell r="CD243" t="str">
            <v/>
          </cell>
        </row>
        <row r="251">
          <cell r="B251" t="str">
            <v>00</v>
          </cell>
          <cell r="CD251" t="str">
            <v/>
          </cell>
        </row>
        <row r="259">
          <cell r="B259" t="str">
            <v>00</v>
          </cell>
          <cell r="CD259" t="str">
            <v/>
          </cell>
        </row>
        <row r="267">
          <cell r="B267" t="str">
            <v>00</v>
          </cell>
          <cell r="CD267" t="str">
            <v/>
          </cell>
        </row>
        <row r="275">
          <cell r="B275" t="str">
            <v>00</v>
          </cell>
          <cell r="CD275" t="str">
            <v/>
          </cell>
        </row>
        <row r="283">
          <cell r="B283" t="str">
            <v>00</v>
          </cell>
          <cell r="CD283" t="str">
            <v/>
          </cell>
        </row>
        <row r="291">
          <cell r="B291" t="str">
            <v>00</v>
          </cell>
          <cell r="CD291" t="str">
            <v/>
          </cell>
        </row>
        <row r="299">
          <cell r="B299" t="str">
            <v>00</v>
          </cell>
          <cell r="CD299" t="str">
            <v/>
          </cell>
        </row>
        <row r="307">
          <cell r="B307" t="str">
            <v>00</v>
          </cell>
          <cell r="CD307" t="str">
            <v/>
          </cell>
        </row>
        <row r="315">
          <cell r="B315" t="str">
            <v>00</v>
          </cell>
          <cell r="CD315" t="str">
            <v/>
          </cell>
        </row>
        <row r="323">
          <cell r="B323" t="str">
            <v>00</v>
          </cell>
          <cell r="CD323" t="str">
            <v/>
          </cell>
        </row>
        <row r="331">
          <cell r="B331" t="str">
            <v>00</v>
          </cell>
          <cell r="CD331" t="str">
            <v/>
          </cell>
        </row>
        <row r="339">
          <cell r="B339" t="str">
            <v>00</v>
          </cell>
          <cell r="CD339" t="str">
            <v/>
          </cell>
        </row>
        <row r="347">
          <cell r="B347" t="str">
            <v>00</v>
          </cell>
          <cell r="CD347" t="str">
            <v/>
          </cell>
        </row>
        <row r="355">
          <cell r="B355" t="str">
            <v>00</v>
          </cell>
          <cell r="CD355" t="str">
            <v/>
          </cell>
        </row>
        <row r="363">
          <cell r="B363" t="str">
            <v>00</v>
          </cell>
          <cell r="CD363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品名・温度</v>
          </cell>
          <cell r="C1" t="str">
            <v>C</v>
          </cell>
        </row>
        <row r="2">
          <cell r="A2" t="str">
            <v>灯具カバーPC　2070  L=196604</v>
          </cell>
          <cell r="C2">
            <v>1964</v>
          </cell>
        </row>
        <row r="3">
          <cell r="A3" t="str">
            <v>灯具カバーPC　2070  L=196606</v>
          </cell>
          <cell r="C3">
            <v>1964.2</v>
          </cell>
        </row>
        <row r="4">
          <cell r="A4" t="str">
            <v>灯具カバーPC　2070  L=196608</v>
          </cell>
          <cell r="C4">
            <v>1964.5</v>
          </cell>
        </row>
        <row r="5">
          <cell r="A5" t="str">
            <v>灯具カバーPC　2070  L=196610</v>
          </cell>
          <cell r="C5">
            <v>1964.7</v>
          </cell>
        </row>
        <row r="6">
          <cell r="A6" t="str">
            <v>灯具カバーPC　2070  L=196612</v>
          </cell>
          <cell r="C6">
            <v>1965</v>
          </cell>
        </row>
        <row r="7">
          <cell r="A7" t="str">
            <v>灯具カバーPC　2070  L=196614</v>
          </cell>
          <cell r="C7">
            <v>1965.2</v>
          </cell>
        </row>
        <row r="8">
          <cell r="A8" t="str">
            <v>灯具カバーPC　2070  L=196616</v>
          </cell>
          <cell r="C8">
            <v>1965.5</v>
          </cell>
        </row>
        <row r="9">
          <cell r="A9" t="str">
            <v>灯具カバーPC　2070  L=196618</v>
          </cell>
          <cell r="C9">
            <v>1965.7</v>
          </cell>
        </row>
        <row r="10">
          <cell r="A10" t="str">
            <v>灯具カバーPC　2070  L=196620</v>
          </cell>
          <cell r="C10">
            <v>1966</v>
          </cell>
        </row>
        <row r="11">
          <cell r="A11" t="str">
            <v>灯具カバーPC　2070  L=196622</v>
          </cell>
          <cell r="C11">
            <v>1966.3</v>
          </cell>
        </row>
        <row r="12">
          <cell r="A12" t="str">
            <v>灯具カバーPC　2070  L=196624</v>
          </cell>
          <cell r="C12">
            <v>1966.5</v>
          </cell>
        </row>
        <row r="13">
          <cell r="A13" t="str">
            <v>灯具カバーPC　2070  L=196626</v>
          </cell>
          <cell r="C13">
            <v>1966.8</v>
          </cell>
        </row>
        <row r="14">
          <cell r="A14" t="str">
            <v>灯具カバーPC　2070  L=196628</v>
          </cell>
          <cell r="C14">
            <v>1967</v>
          </cell>
        </row>
        <row r="15">
          <cell r="A15" t="str">
            <v>灯具カバーPC　2070  L=196630</v>
          </cell>
          <cell r="C15">
            <v>1967.3</v>
          </cell>
        </row>
        <row r="16">
          <cell r="A16" t="str">
            <v>灯具カバーPC　2070  L=196632</v>
          </cell>
          <cell r="C16">
            <v>1967.5</v>
          </cell>
        </row>
        <row r="17">
          <cell r="A17" t="str">
            <v>灯具カバーPC　2100  L=192304</v>
          </cell>
          <cell r="C17">
            <v>1921</v>
          </cell>
        </row>
        <row r="18">
          <cell r="A18" t="str">
            <v>灯具カバーPC　2100  L=192306</v>
          </cell>
          <cell r="C18">
            <v>1921.3</v>
          </cell>
        </row>
        <row r="19">
          <cell r="A19" t="str">
            <v>灯具カバーPC　2100  L=192308</v>
          </cell>
          <cell r="C19">
            <v>1921.5</v>
          </cell>
        </row>
        <row r="20">
          <cell r="A20" t="str">
            <v>灯具カバーPC　2100  L=192310</v>
          </cell>
          <cell r="C20">
            <v>1921.8</v>
          </cell>
        </row>
        <row r="21">
          <cell r="A21" t="str">
            <v>灯具カバーPC　2100  L=192312</v>
          </cell>
          <cell r="C21">
            <v>1922.1</v>
          </cell>
        </row>
        <row r="22">
          <cell r="A22" t="str">
            <v>灯具カバーPC　2100  L=192314</v>
          </cell>
          <cell r="C22">
            <v>1922.3</v>
          </cell>
        </row>
        <row r="23">
          <cell r="A23" t="str">
            <v>灯具カバーPC　2100  L=192316</v>
          </cell>
          <cell r="C23">
            <v>1922.5</v>
          </cell>
        </row>
        <row r="24">
          <cell r="A24" t="str">
            <v>灯具カバーPC　2100  L=192318</v>
          </cell>
          <cell r="C24">
            <v>1922.7</v>
          </cell>
        </row>
        <row r="25">
          <cell r="A25" t="str">
            <v>灯具カバーPC　2100  L=192320</v>
          </cell>
          <cell r="C25">
            <v>1923</v>
          </cell>
        </row>
        <row r="26">
          <cell r="A26" t="str">
            <v>灯具カバーPC　2100  L=192322</v>
          </cell>
          <cell r="C26">
            <v>1923.2</v>
          </cell>
        </row>
        <row r="27">
          <cell r="A27" t="str">
            <v>灯具カバーPC　2100  L=192324</v>
          </cell>
          <cell r="C27">
            <v>1923.5</v>
          </cell>
        </row>
        <row r="28">
          <cell r="A28" t="str">
            <v>灯具カバーPC　2100  L=192326</v>
          </cell>
          <cell r="C28">
            <v>1923.7</v>
          </cell>
        </row>
        <row r="29">
          <cell r="A29" t="str">
            <v>灯具カバーPC　2100  L=192328</v>
          </cell>
          <cell r="C29">
            <v>1924</v>
          </cell>
        </row>
        <row r="30">
          <cell r="A30" t="str">
            <v>灯具カバーPC　2100  L=192330</v>
          </cell>
          <cell r="C30">
            <v>1924.2</v>
          </cell>
        </row>
        <row r="31">
          <cell r="A31" t="str">
            <v>灯具カバーPC　2100  L=192332</v>
          </cell>
          <cell r="C31">
            <v>1924.5</v>
          </cell>
        </row>
        <row r="32">
          <cell r="A32" t="str">
            <v>灯具カバーPC　2110  L=181504</v>
          </cell>
          <cell r="C32">
            <v>1812.9</v>
          </cell>
        </row>
        <row r="33">
          <cell r="A33" t="str">
            <v>灯具カバーPC　2110  L=181506</v>
          </cell>
          <cell r="C33">
            <v>1813.1</v>
          </cell>
        </row>
        <row r="34">
          <cell r="A34" t="str">
            <v>灯具カバーPC　2110  L=181508</v>
          </cell>
          <cell r="C34">
            <v>1813.3</v>
          </cell>
        </row>
        <row r="35">
          <cell r="A35" t="str">
            <v>灯具カバーPC　2110  L=181510</v>
          </cell>
          <cell r="C35">
            <v>1813.5</v>
          </cell>
        </row>
        <row r="36">
          <cell r="A36" t="str">
            <v>灯具カバーPC　2110  L=181512</v>
          </cell>
          <cell r="C36">
            <v>1813.8</v>
          </cell>
        </row>
        <row r="37">
          <cell r="A37" t="str">
            <v>灯具カバーPC　2110  L=181514</v>
          </cell>
          <cell r="C37">
            <v>1814.1</v>
          </cell>
        </row>
        <row r="38">
          <cell r="A38" t="str">
            <v>灯具カバーPC　2110  L=181516</v>
          </cell>
          <cell r="C38">
            <v>1814.3</v>
          </cell>
        </row>
        <row r="39">
          <cell r="A39" t="str">
            <v>灯具カバーPC　2110  L=181518</v>
          </cell>
          <cell r="C39">
            <v>1814.8</v>
          </cell>
        </row>
        <row r="40">
          <cell r="A40" t="str">
            <v>灯具カバーPC　2110  L=181520</v>
          </cell>
          <cell r="C40">
            <v>1815</v>
          </cell>
        </row>
        <row r="41">
          <cell r="A41" t="str">
            <v>灯具カバーPC　2110  L=181522</v>
          </cell>
          <cell r="C41">
            <v>1815.2</v>
          </cell>
        </row>
        <row r="42">
          <cell r="A42" t="str">
            <v>灯具カバーPC　2110  L=181524</v>
          </cell>
          <cell r="C42">
            <v>1815.5</v>
          </cell>
        </row>
        <row r="43">
          <cell r="A43" t="str">
            <v>灯具カバーPC　2110  L=181526</v>
          </cell>
          <cell r="C43">
            <v>1815.7</v>
          </cell>
        </row>
        <row r="44">
          <cell r="A44" t="str">
            <v>灯具カバーPC　2110  L=181528</v>
          </cell>
          <cell r="C44">
            <v>1815.9</v>
          </cell>
        </row>
        <row r="45">
          <cell r="A45" t="str">
            <v>灯具カバーPC　2110  L=181530</v>
          </cell>
          <cell r="C45">
            <v>1816.2</v>
          </cell>
        </row>
        <row r="46">
          <cell r="A46" t="str">
            <v>灯具カバーPC　2110  L=181532</v>
          </cell>
          <cell r="C46">
            <v>1816.4</v>
          </cell>
        </row>
        <row r="47">
          <cell r="A47" t="str">
            <v>灯具カバーPC　2080  L=154004</v>
          </cell>
          <cell r="C47">
            <v>1538.4</v>
          </cell>
        </row>
        <row r="48">
          <cell r="A48" t="str">
            <v>灯具カバーPC　2080  L=154006</v>
          </cell>
          <cell r="C48">
            <v>1538.6</v>
          </cell>
        </row>
        <row r="49">
          <cell r="A49" t="str">
            <v>灯具カバーPC　2080  L=154008</v>
          </cell>
          <cell r="C49">
            <v>1538.8</v>
          </cell>
        </row>
        <row r="50">
          <cell r="A50" t="str">
            <v>灯具カバーPC　2080  L=154010</v>
          </cell>
          <cell r="C50">
            <v>1539</v>
          </cell>
        </row>
        <row r="51">
          <cell r="A51" t="str">
            <v>灯具カバーPC　2080  L=154012</v>
          </cell>
          <cell r="C51">
            <v>1539.2</v>
          </cell>
        </row>
        <row r="52">
          <cell r="A52" t="str">
            <v>灯具カバーPC　2080  L=154014</v>
          </cell>
          <cell r="C52">
            <v>1539.4</v>
          </cell>
        </row>
        <row r="53">
          <cell r="A53" t="str">
            <v>灯具カバーPC　2080  L=154016</v>
          </cell>
          <cell r="C53">
            <v>1539.6</v>
          </cell>
        </row>
        <row r="54">
          <cell r="A54" t="str">
            <v>灯具カバーPC　2080  L=154018</v>
          </cell>
          <cell r="C54">
            <v>1539.8</v>
          </cell>
        </row>
        <row r="55">
          <cell r="A55" t="str">
            <v>灯具カバーPC　2080  L=154020</v>
          </cell>
          <cell r="C55">
            <v>1540</v>
          </cell>
        </row>
        <row r="56">
          <cell r="A56" t="str">
            <v>灯具カバーPC　2080  L=154022</v>
          </cell>
          <cell r="C56">
            <v>1540.2</v>
          </cell>
        </row>
        <row r="57">
          <cell r="A57" t="str">
            <v>灯具カバーPC　2080  L=154024</v>
          </cell>
          <cell r="C57">
            <v>1540.4</v>
          </cell>
        </row>
        <row r="58">
          <cell r="A58" t="str">
            <v>灯具カバーPC　2080  L=154026</v>
          </cell>
          <cell r="C58">
            <v>1540.6</v>
          </cell>
        </row>
        <row r="59">
          <cell r="A59" t="str">
            <v>灯具カバーPC　2080  L=154028</v>
          </cell>
          <cell r="C59">
            <v>1540.8</v>
          </cell>
        </row>
        <row r="60">
          <cell r="A60" t="str">
            <v>灯具カバーPC　2080  L=154030</v>
          </cell>
          <cell r="C60">
            <v>1541</v>
          </cell>
        </row>
        <row r="61">
          <cell r="A61" t="str">
            <v>灯具カバーPC　2080  L=154032</v>
          </cell>
          <cell r="C61">
            <v>1541.2</v>
          </cell>
        </row>
        <row r="62">
          <cell r="A62" t="str">
            <v>灯具カバーPC　2060  L=1258.502</v>
          </cell>
          <cell r="C62">
            <v>1257</v>
          </cell>
        </row>
        <row r="63">
          <cell r="A63" t="str">
            <v>灯具カバーPC　2060  L=1258.504</v>
          </cell>
          <cell r="C63">
            <v>1257.2</v>
          </cell>
        </row>
        <row r="64">
          <cell r="A64" t="str">
            <v>灯具カバーPC　2060  L=1258.506</v>
          </cell>
          <cell r="C64">
            <v>1257.3</v>
          </cell>
        </row>
        <row r="65">
          <cell r="A65" t="str">
            <v>灯具カバーPC　2060  L=1258.508</v>
          </cell>
          <cell r="C65">
            <v>1257.5</v>
          </cell>
        </row>
        <row r="66">
          <cell r="A66" t="str">
            <v>灯具カバーPC　2060  L=1258.510</v>
          </cell>
          <cell r="C66">
            <v>1257.7</v>
          </cell>
        </row>
        <row r="67">
          <cell r="A67" t="str">
            <v>灯具カバーPC　2060  L=1258.512</v>
          </cell>
          <cell r="C67">
            <v>1257.8</v>
          </cell>
        </row>
        <row r="68">
          <cell r="A68" t="str">
            <v>灯具カバーPC　2060  L=1258.514</v>
          </cell>
          <cell r="C68">
            <v>1258</v>
          </cell>
        </row>
        <row r="69">
          <cell r="A69" t="str">
            <v>灯具カバーPC　2060  L=1258.516</v>
          </cell>
          <cell r="C69">
            <v>1258.2</v>
          </cell>
        </row>
        <row r="70">
          <cell r="A70" t="str">
            <v>灯具カバーPC　2060  L=1258.518</v>
          </cell>
          <cell r="C70">
            <v>1258.4000000000001</v>
          </cell>
        </row>
        <row r="71">
          <cell r="A71" t="str">
            <v>灯具カバーPC　2060  L=1258.520</v>
          </cell>
          <cell r="C71">
            <v>1258.5</v>
          </cell>
        </row>
        <row r="72">
          <cell r="A72" t="str">
            <v>灯具カバーPC　2060  L=1258.522</v>
          </cell>
          <cell r="C72">
            <v>1258.7</v>
          </cell>
        </row>
        <row r="73">
          <cell r="A73" t="str">
            <v>灯具カバーPC　2060  L=1258.524</v>
          </cell>
          <cell r="C73">
            <v>1258.8</v>
          </cell>
        </row>
        <row r="74">
          <cell r="A74" t="str">
            <v>灯具カバーPC　2060  L=1258.526</v>
          </cell>
          <cell r="C74">
            <v>1259</v>
          </cell>
        </row>
        <row r="75">
          <cell r="A75" t="str">
            <v>灯具カバーPC　2060  L=1258.528</v>
          </cell>
          <cell r="C75">
            <v>1259.2</v>
          </cell>
        </row>
        <row r="76">
          <cell r="A76" t="str">
            <v>灯具カバーPC　2060  L=1258.530</v>
          </cell>
          <cell r="C76">
            <v>1259.3</v>
          </cell>
        </row>
        <row r="77">
          <cell r="A77" t="str">
            <v>灯具カバーPC　2060  L=1258.532</v>
          </cell>
          <cell r="C77">
            <v>1259.5</v>
          </cell>
        </row>
        <row r="78">
          <cell r="A78" t="str">
            <v>灯具カバーPC　2050  L=1183.502</v>
          </cell>
          <cell r="C78">
            <v>1182.0999999999999</v>
          </cell>
        </row>
        <row r="79">
          <cell r="A79" t="str">
            <v>灯具カバーPC　2050  L=1183.504</v>
          </cell>
          <cell r="C79">
            <v>1182.3</v>
          </cell>
        </row>
        <row r="80">
          <cell r="A80" t="str">
            <v>灯具カバーPC　2050  L=1183.506</v>
          </cell>
          <cell r="C80">
            <v>1182.4000000000001</v>
          </cell>
        </row>
        <row r="81">
          <cell r="A81" t="str">
            <v>灯具カバーPC　2050  L=1183.508</v>
          </cell>
          <cell r="C81">
            <v>1182.5999999999999</v>
          </cell>
        </row>
        <row r="82">
          <cell r="A82" t="str">
            <v>灯具カバーPC　2050  L=1183.510</v>
          </cell>
          <cell r="C82">
            <v>1182.7</v>
          </cell>
        </row>
        <row r="83">
          <cell r="A83" t="str">
            <v>灯具カバーPC　2050  L=1183.512</v>
          </cell>
          <cell r="C83">
            <v>1182.9000000000001</v>
          </cell>
        </row>
        <row r="84">
          <cell r="A84" t="str">
            <v>灯具カバーPC　2050  L=1183.514</v>
          </cell>
          <cell r="C84">
            <v>1183</v>
          </cell>
        </row>
        <row r="85">
          <cell r="A85" t="str">
            <v>灯具カバーPC　2050  L=1183.516</v>
          </cell>
          <cell r="C85">
            <v>1183.2</v>
          </cell>
        </row>
        <row r="86">
          <cell r="A86" t="str">
            <v>灯具カバーPC　2050  L=1183.518</v>
          </cell>
          <cell r="C86">
            <v>1183.3</v>
          </cell>
        </row>
        <row r="87">
          <cell r="A87" t="str">
            <v>灯具カバーPC　2050  L=1183.520</v>
          </cell>
          <cell r="C87">
            <v>1183.5</v>
          </cell>
        </row>
        <row r="88">
          <cell r="A88" t="str">
            <v>灯具カバーPC　2050  L=1183.522</v>
          </cell>
          <cell r="C88">
            <v>1183.7</v>
          </cell>
        </row>
        <row r="89">
          <cell r="A89" t="str">
            <v>灯具カバーPC　2050  L=1183.524</v>
          </cell>
          <cell r="C89">
            <v>1183.8</v>
          </cell>
        </row>
        <row r="90">
          <cell r="A90" t="str">
            <v>灯具カバーPC　2050  L=1183.526</v>
          </cell>
          <cell r="C90">
            <v>1184</v>
          </cell>
        </row>
        <row r="91">
          <cell r="A91" t="str">
            <v>灯具カバーPC　2050  L=1183.528</v>
          </cell>
          <cell r="C91">
            <v>1184.0999999999999</v>
          </cell>
        </row>
        <row r="92">
          <cell r="A92" t="str">
            <v>灯具カバーPC　2050  L=1183.530</v>
          </cell>
          <cell r="C92">
            <v>1184.3</v>
          </cell>
        </row>
        <row r="93">
          <cell r="A93" t="str">
            <v>灯具カバーPC　2050  L=1183.532</v>
          </cell>
          <cell r="C93">
            <v>1184.4000000000001</v>
          </cell>
        </row>
        <row r="94">
          <cell r="A94" t="str">
            <v>灯具カバーPC　2130  L=90804</v>
          </cell>
          <cell r="C94">
            <v>907.1</v>
          </cell>
        </row>
        <row r="95">
          <cell r="A95" t="str">
            <v>灯具カバーPC　2130  L=90806</v>
          </cell>
          <cell r="C95">
            <v>907.2</v>
          </cell>
        </row>
        <row r="96">
          <cell r="A96" t="str">
            <v>灯具カバーPC　2130  L=90808</v>
          </cell>
          <cell r="C96">
            <v>907.3</v>
          </cell>
        </row>
        <row r="97">
          <cell r="A97" t="str">
            <v>灯具カバーPC　2130  L=90810</v>
          </cell>
          <cell r="C97">
            <v>907.4</v>
          </cell>
        </row>
        <row r="98">
          <cell r="A98" t="str">
            <v>灯具カバーPC　2130  L=90812</v>
          </cell>
          <cell r="C98">
            <v>907.5</v>
          </cell>
        </row>
        <row r="99">
          <cell r="A99" t="str">
            <v>灯具カバーPC　2130  L=90814</v>
          </cell>
          <cell r="C99">
            <v>907.6</v>
          </cell>
        </row>
        <row r="100">
          <cell r="A100" t="str">
            <v>灯具カバーPC　2130  L=90816</v>
          </cell>
          <cell r="C100">
            <v>907.8</v>
          </cell>
        </row>
        <row r="101">
          <cell r="A101" t="str">
            <v>灯具カバーPC　2130  L=90818</v>
          </cell>
          <cell r="C101">
            <v>907.9</v>
          </cell>
        </row>
        <row r="102">
          <cell r="A102" t="str">
            <v>灯具カバーPC　2130  L=90820</v>
          </cell>
          <cell r="C102">
            <v>908</v>
          </cell>
        </row>
        <row r="103">
          <cell r="A103" t="str">
            <v>灯具カバーPC　2130  L=90822</v>
          </cell>
          <cell r="C103">
            <v>908.1</v>
          </cell>
        </row>
        <row r="104">
          <cell r="A104" t="str">
            <v>灯具カバーPC　2130  L=90824</v>
          </cell>
          <cell r="C104">
            <v>908.2</v>
          </cell>
        </row>
        <row r="105">
          <cell r="A105" t="str">
            <v>灯具カバーPC　2130  L=90826</v>
          </cell>
          <cell r="C105">
            <v>908.4</v>
          </cell>
        </row>
        <row r="106">
          <cell r="A106" t="str">
            <v>灯具カバーPC　2130  L=90828</v>
          </cell>
          <cell r="C106">
            <v>908.5</v>
          </cell>
        </row>
        <row r="107">
          <cell r="A107" t="str">
            <v>灯具カバーPC　2130  L=90830</v>
          </cell>
          <cell r="C107">
            <v>908.6</v>
          </cell>
        </row>
        <row r="108">
          <cell r="A108" t="str">
            <v>灯具カバーPC　2130  L=90832</v>
          </cell>
          <cell r="C108">
            <v>908.7</v>
          </cell>
        </row>
        <row r="109">
          <cell r="A109" t="str">
            <v>灯具カバーPC　2090  L=84004</v>
          </cell>
          <cell r="C109">
            <v>839.1</v>
          </cell>
        </row>
        <row r="110">
          <cell r="A110" t="str">
            <v>灯具カバーPC　2090  L=84006</v>
          </cell>
          <cell r="C110">
            <v>839.2</v>
          </cell>
        </row>
        <row r="111">
          <cell r="A111" t="str">
            <v>灯具カバーPC　2090  L=84008</v>
          </cell>
          <cell r="C111">
            <v>839.3</v>
          </cell>
        </row>
        <row r="112">
          <cell r="A112" t="str">
            <v>灯具カバーPC　2090  L=84010</v>
          </cell>
          <cell r="C112">
            <v>839.4</v>
          </cell>
        </row>
        <row r="113">
          <cell r="A113" t="str">
            <v>灯具カバーPC　2090  L=84012</v>
          </cell>
          <cell r="C113">
            <v>839.5</v>
          </cell>
        </row>
        <row r="114">
          <cell r="A114" t="str">
            <v>灯具カバーPC　2090  L=84014</v>
          </cell>
          <cell r="C114">
            <v>839.6</v>
          </cell>
        </row>
        <row r="115">
          <cell r="A115" t="str">
            <v>灯具カバーPC　2090  L=84016</v>
          </cell>
          <cell r="C115">
            <v>839.8</v>
          </cell>
        </row>
        <row r="116">
          <cell r="A116" t="str">
            <v>灯具カバーPC　2090  L=84018</v>
          </cell>
          <cell r="C116">
            <v>839.9</v>
          </cell>
        </row>
        <row r="117">
          <cell r="A117" t="str">
            <v>灯具カバーPC　2090  L=84020</v>
          </cell>
          <cell r="C117">
            <v>840</v>
          </cell>
        </row>
        <row r="118">
          <cell r="A118" t="str">
            <v>灯具カバーPC　2090  L=84022</v>
          </cell>
          <cell r="C118">
            <v>840.1</v>
          </cell>
        </row>
        <row r="119">
          <cell r="A119" t="str">
            <v>灯具カバーPC　2090  L=84024</v>
          </cell>
          <cell r="C119">
            <v>840.2</v>
          </cell>
        </row>
        <row r="120">
          <cell r="A120" t="str">
            <v>灯具カバーPC　2090  L=84026</v>
          </cell>
          <cell r="C120">
            <v>840.3</v>
          </cell>
        </row>
        <row r="121">
          <cell r="A121" t="str">
            <v>灯具カバーPC　2090  L=84028</v>
          </cell>
          <cell r="C121">
            <v>840.4</v>
          </cell>
        </row>
        <row r="122">
          <cell r="A122" t="str">
            <v>灯具カバーPC　2090  L=84030</v>
          </cell>
          <cell r="C122">
            <v>840.5</v>
          </cell>
        </row>
        <row r="123">
          <cell r="A123" t="str">
            <v>灯具カバーPC　2090  L=84032</v>
          </cell>
          <cell r="C123">
            <v>840.7</v>
          </cell>
        </row>
        <row r="124">
          <cell r="A124" t="str">
            <v>灯具カバーPC　2140  L=54704</v>
          </cell>
          <cell r="C124">
            <v>546.4</v>
          </cell>
        </row>
        <row r="125">
          <cell r="A125" t="str">
            <v>灯具カバーPC　2140  L=54706</v>
          </cell>
          <cell r="C125">
            <v>546.5</v>
          </cell>
        </row>
        <row r="126">
          <cell r="A126" t="str">
            <v>灯具カバーPC　2140  L=54708</v>
          </cell>
          <cell r="C126">
            <v>546.6</v>
          </cell>
        </row>
        <row r="127">
          <cell r="A127" t="str">
            <v>灯具カバーPC　2140  L=54710</v>
          </cell>
          <cell r="C127">
            <v>546.6</v>
          </cell>
        </row>
        <row r="128">
          <cell r="A128" t="str">
            <v>灯具カバーPC　2140  L=54712</v>
          </cell>
          <cell r="C128">
            <v>546.70000000000005</v>
          </cell>
        </row>
        <row r="129">
          <cell r="A129" t="str">
            <v>灯具カバーPC　2140  L=54714</v>
          </cell>
          <cell r="C129">
            <v>546.79999999999995</v>
          </cell>
        </row>
        <row r="130">
          <cell r="A130" t="str">
            <v>灯具カバーPC　2140  L=54716</v>
          </cell>
          <cell r="C130">
            <v>546.9</v>
          </cell>
        </row>
        <row r="131">
          <cell r="A131" t="str">
            <v>灯具カバーPC　2140  L=54718</v>
          </cell>
          <cell r="C131">
            <v>547</v>
          </cell>
        </row>
        <row r="132">
          <cell r="A132" t="str">
            <v>灯具カバーPC　2140  L=54720</v>
          </cell>
          <cell r="C132">
            <v>547.1</v>
          </cell>
        </row>
        <row r="133">
          <cell r="A133" t="str">
            <v>灯具カバーPC　2140  L=54722</v>
          </cell>
          <cell r="C133">
            <v>547.20000000000005</v>
          </cell>
        </row>
        <row r="134">
          <cell r="A134" t="str">
            <v>灯具カバーPC　2140  L=54724</v>
          </cell>
          <cell r="C134">
            <v>547.1</v>
          </cell>
        </row>
        <row r="135">
          <cell r="A135" t="str">
            <v>灯具カバーPC　2140  L=54726</v>
          </cell>
          <cell r="C135">
            <v>547.20000000000005</v>
          </cell>
        </row>
        <row r="136">
          <cell r="A136" t="str">
            <v>灯具カバーPC　2140  L=54728</v>
          </cell>
          <cell r="C136">
            <v>547.29999999999995</v>
          </cell>
        </row>
        <row r="137">
          <cell r="A137" t="str">
            <v>灯具カバーPC　2140  L=54730</v>
          </cell>
          <cell r="C137">
            <v>547.4</v>
          </cell>
        </row>
        <row r="138">
          <cell r="A138" t="str">
            <v>灯具カバーPC　2140  L=54732</v>
          </cell>
          <cell r="C138">
            <v>547.4</v>
          </cell>
        </row>
        <row r="139">
          <cell r="A139" t="str">
            <v>灯具カバーPC　7520  L=133404</v>
          </cell>
          <cell r="C139">
            <v>1331.9</v>
          </cell>
        </row>
        <row r="140">
          <cell r="A140" t="str">
            <v>灯具カバーPC　7520  L=133406</v>
          </cell>
          <cell r="C140">
            <v>1332.2</v>
          </cell>
        </row>
        <row r="141">
          <cell r="A141" t="str">
            <v>灯具カバーPC　7520  L=133408</v>
          </cell>
          <cell r="C141">
            <v>1332.4</v>
          </cell>
        </row>
        <row r="142">
          <cell r="A142" t="str">
            <v>灯具カバーPC　7520  L=133410</v>
          </cell>
          <cell r="C142">
            <v>1332.7</v>
          </cell>
        </row>
        <row r="143">
          <cell r="A143" t="str">
            <v>灯具カバーPC　7520  L=133412</v>
          </cell>
          <cell r="C143">
            <v>1333</v>
          </cell>
        </row>
        <row r="144">
          <cell r="A144" t="str">
            <v>灯具カバーPC　7520  L=133414</v>
          </cell>
          <cell r="C144">
            <v>1333.2</v>
          </cell>
        </row>
        <row r="145">
          <cell r="A145" t="str">
            <v>灯具カバーPC　7520  L=133416</v>
          </cell>
          <cell r="C145">
            <v>1333.5</v>
          </cell>
        </row>
        <row r="146">
          <cell r="A146" t="str">
            <v>灯具カバーPC　7520  L=133418</v>
          </cell>
          <cell r="C146">
            <v>1333.7</v>
          </cell>
        </row>
        <row r="147">
          <cell r="A147" t="str">
            <v>灯具カバーPC　7520  L=133420</v>
          </cell>
          <cell r="C147">
            <v>1334</v>
          </cell>
        </row>
        <row r="148">
          <cell r="A148" t="str">
            <v>灯具カバーPC　7520  L=133422</v>
          </cell>
          <cell r="C148">
            <v>1334.3</v>
          </cell>
        </row>
        <row r="149">
          <cell r="A149" t="str">
            <v>灯具カバーPC　7520  L=133424</v>
          </cell>
          <cell r="C149">
            <v>1334.5</v>
          </cell>
        </row>
        <row r="150">
          <cell r="A150" t="str">
            <v>灯具カバーPC　7520  L=133426</v>
          </cell>
          <cell r="C150">
            <v>1334.8</v>
          </cell>
        </row>
        <row r="151">
          <cell r="A151" t="str">
            <v>灯具カバーPC　7520  L=133428</v>
          </cell>
          <cell r="C151">
            <v>1335</v>
          </cell>
        </row>
        <row r="152">
          <cell r="A152" t="str">
            <v>灯具カバーPC　7520  L=133430</v>
          </cell>
          <cell r="C152">
            <v>1335.3</v>
          </cell>
        </row>
        <row r="153">
          <cell r="A153" t="str">
            <v>灯具カバーPC　7520  L=133432</v>
          </cell>
          <cell r="C153">
            <v>1335.6</v>
          </cell>
        </row>
        <row r="154">
          <cell r="A154" t="str">
            <v>灯具カバーPC　2180  L=1309.504</v>
          </cell>
          <cell r="C154">
            <v>1307.0999999999999</v>
          </cell>
        </row>
        <row r="155">
          <cell r="A155" t="str">
            <v>灯具カバーPC　2180  L=1309.506</v>
          </cell>
          <cell r="C155">
            <v>1308.3</v>
          </cell>
        </row>
        <row r="156">
          <cell r="A156" t="str">
            <v>灯具カバーPC　2180  L=1309.508</v>
          </cell>
          <cell r="C156">
            <v>1308.5</v>
          </cell>
        </row>
        <row r="157">
          <cell r="A157" t="str">
            <v>灯具カバーPC　2180  L=1309.510</v>
          </cell>
          <cell r="C157">
            <v>1308.5999999999999</v>
          </cell>
        </row>
        <row r="158">
          <cell r="A158" t="str">
            <v>灯具カバーPC　2180  L=1309.512</v>
          </cell>
          <cell r="C158">
            <v>1308.8</v>
          </cell>
        </row>
        <row r="159">
          <cell r="A159" t="str">
            <v>灯具カバーPC　2180  L=1309.514</v>
          </cell>
          <cell r="C159">
            <v>1309</v>
          </cell>
        </row>
        <row r="160">
          <cell r="A160" t="str">
            <v>灯具カバーPC　2180  L=1309.516</v>
          </cell>
          <cell r="C160">
            <v>1309.2</v>
          </cell>
        </row>
        <row r="161">
          <cell r="A161" t="str">
            <v>灯具カバーPC　2180  L=1309.518</v>
          </cell>
          <cell r="C161">
            <v>1309.3</v>
          </cell>
        </row>
        <row r="162">
          <cell r="A162" t="str">
            <v>灯具カバーPC　2180  L=1309.520</v>
          </cell>
          <cell r="C162">
            <v>1309.5</v>
          </cell>
        </row>
        <row r="163">
          <cell r="A163" t="str">
            <v>灯具カバーPC　2180  L=1309.522</v>
          </cell>
          <cell r="C163">
            <v>1309.7</v>
          </cell>
        </row>
        <row r="164">
          <cell r="A164" t="str">
            <v>灯具カバーPC　2180  L=1309.524</v>
          </cell>
          <cell r="C164">
            <v>1309.8</v>
          </cell>
        </row>
        <row r="165">
          <cell r="A165" t="str">
            <v>灯具カバーPC　2180  L=1309.526</v>
          </cell>
          <cell r="C165">
            <v>1310</v>
          </cell>
        </row>
        <row r="166">
          <cell r="A166" t="str">
            <v>灯具カバーPC　2180  L=1309.528</v>
          </cell>
          <cell r="C166">
            <v>1310.2</v>
          </cell>
        </row>
        <row r="167">
          <cell r="A167" t="str">
            <v>灯具カバーPC　2180  L=1309.530</v>
          </cell>
          <cell r="C167">
            <v>1310.4000000000001</v>
          </cell>
        </row>
        <row r="168">
          <cell r="A168" t="str">
            <v>灯具カバーPC　2180  L=1309.532</v>
          </cell>
          <cell r="C168">
            <v>1010.5</v>
          </cell>
        </row>
        <row r="169">
          <cell r="A169" t="str">
            <v>灯具カバーPC　2170  L=127904</v>
          </cell>
          <cell r="C169">
            <v>1277.7</v>
          </cell>
        </row>
        <row r="170">
          <cell r="A170" t="str">
            <v>灯具カバーPC　2170  L=127906</v>
          </cell>
          <cell r="C170">
            <v>1277.8</v>
          </cell>
        </row>
        <row r="171">
          <cell r="A171" t="str">
            <v>灯具カバーPC　2170  L=127908</v>
          </cell>
          <cell r="C171">
            <v>1278</v>
          </cell>
        </row>
        <row r="172">
          <cell r="A172" t="str">
            <v>灯具カバーPC　2170  L=127910</v>
          </cell>
          <cell r="C172">
            <v>1278.2</v>
          </cell>
        </row>
        <row r="173">
          <cell r="A173" t="str">
            <v>灯具カバーPC　2170  L=127912</v>
          </cell>
          <cell r="C173">
            <v>1278.3</v>
          </cell>
        </row>
        <row r="174">
          <cell r="A174" t="str">
            <v>灯具カバーPC　2170  L=127914</v>
          </cell>
          <cell r="C174">
            <v>1278.5</v>
          </cell>
        </row>
        <row r="175">
          <cell r="A175" t="str">
            <v>灯具カバーPC　2170  L=127916</v>
          </cell>
          <cell r="C175">
            <v>1278.7</v>
          </cell>
        </row>
        <row r="176">
          <cell r="A176" t="str">
            <v>灯具カバーPC　2170  L=127918</v>
          </cell>
          <cell r="C176">
            <v>1278.8</v>
          </cell>
        </row>
        <row r="177">
          <cell r="A177" t="str">
            <v>灯具カバーPC　2170  L=127920</v>
          </cell>
          <cell r="C177">
            <v>1279</v>
          </cell>
        </row>
        <row r="178">
          <cell r="A178" t="str">
            <v>灯具カバーPC　2170  L=127922</v>
          </cell>
          <cell r="C178">
            <v>1279.2</v>
          </cell>
        </row>
        <row r="179">
          <cell r="A179" t="str">
            <v>灯具カバーPC　2170  L=127924</v>
          </cell>
          <cell r="C179">
            <v>1279.3</v>
          </cell>
        </row>
        <row r="180">
          <cell r="A180" t="str">
            <v>灯具カバーPC　2170  L=127926</v>
          </cell>
          <cell r="C180">
            <v>1279.5</v>
          </cell>
        </row>
        <row r="181">
          <cell r="A181" t="str">
            <v>灯具カバーPC　2170  L=127928</v>
          </cell>
          <cell r="C181">
            <v>1279.7</v>
          </cell>
        </row>
        <row r="182">
          <cell r="A182" t="str">
            <v>灯具カバーPC　2170  L=127930</v>
          </cell>
          <cell r="C182">
            <v>1279.8</v>
          </cell>
        </row>
        <row r="183">
          <cell r="A183" t="str">
            <v>灯具カバーPC　2170  L=127932</v>
          </cell>
          <cell r="C183">
            <v>1278</v>
          </cell>
        </row>
        <row r="184">
          <cell r="A184" t="str">
            <v>灯具カバーPC　2190  L=124004</v>
          </cell>
          <cell r="C184">
            <v>1238.7</v>
          </cell>
        </row>
        <row r="185">
          <cell r="A185" t="str">
            <v>灯具カバーPC　2190  L=124006</v>
          </cell>
          <cell r="C185">
            <v>1238.9000000000001</v>
          </cell>
        </row>
        <row r="186">
          <cell r="A186" t="str">
            <v>灯具カバーPC　2190  L=124008</v>
          </cell>
          <cell r="C186">
            <v>1239</v>
          </cell>
        </row>
        <row r="187">
          <cell r="A187" t="str">
            <v>灯具カバーPC　2190  L=124010</v>
          </cell>
          <cell r="C187">
            <v>1239.2</v>
          </cell>
        </row>
        <row r="188">
          <cell r="A188" t="str">
            <v>灯具カバーPC　2190  L=124012</v>
          </cell>
          <cell r="C188">
            <v>1239.4000000000001</v>
          </cell>
        </row>
        <row r="189">
          <cell r="A189" t="str">
            <v>灯具カバーPC　2190  L=124014</v>
          </cell>
          <cell r="C189">
            <v>1239.5</v>
          </cell>
        </row>
        <row r="190">
          <cell r="A190" t="str">
            <v>灯具カバーPC　2190  L=124016</v>
          </cell>
          <cell r="C190">
            <v>1239.7</v>
          </cell>
        </row>
        <row r="191">
          <cell r="A191" t="str">
            <v>灯具カバーPC　2190  L=124018</v>
          </cell>
          <cell r="C191">
            <v>1239.8</v>
          </cell>
        </row>
        <row r="192">
          <cell r="A192" t="str">
            <v>灯具カバーPC　2190  L=124020</v>
          </cell>
          <cell r="C192">
            <v>1240</v>
          </cell>
        </row>
        <row r="193">
          <cell r="A193" t="str">
            <v>灯具カバーPC　2190  L=124022</v>
          </cell>
          <cell r="C193">
            <v>1240.2</v>
          </cell>
        </row>
        <row r="194">
          <cell r="A194" t="str">
            <v>灯具カバーPC　2190  L=124024</v>
          </cell>
          <cell r="C194">
            <v>1240.3</v>
          </cell>
        </row>
        <row r="195">
          <cell r="A195" t="str">
            <v>灯具カバーPC　2190  L=124026</v>
          </cell>
          <cell r="C195">
            <v>1240.5</v>
          </cell>
        </row>
        <row r="196">
          <cell r="A196" t="str">
            <v>灯具カバーPC　2190  L=124028</v>
          </cell>
          <cell r="C196">
            <v>1240.5999999999999</v>
          </cell>
        </row>
        <row r="197">
          <cell r="A197" t="str">
            <v>灯具カバーPC　2190  L=124030</v>
          </cell>
          <cell r="C197">
            <v>1240.8</v>
          </cell>
        </row>
        <row r="198">
          <cell r="A198" t="str">
            <v>灯具カバーPC　2190  L=124032</v>
          </cell>
          <cell r="C198">
            <v>1241</v>
          </cell>
        </row>
        <row r="199">
          <cell r="A199" t="str">
            <v>灯具カバーPC　2160  L=613.304</v>
          </cell>
          <cell r="C199">
            <v>612.5</v>
          </cell>
        </row>
        <row r="200">
          <cell r="A200" t="str">
            <v>灯具カバーPC　2160  L=613.306</v>
          </cell>
          <cell r="C200">
            <v>612.6</v>
          </cell>
        </row>
        <row r="201">
          <cell r="A201" t="str">
            <v>灯具カバーPC　2160  L=613.308</v>
          </cell>
          <cell r="C201">
            <v>612.70000000000005</v>
          </cell>
        </row>
        <row r="202">
          <cell r="A202" t="str">
            <v>灯具カバーPC　2160  L=613.310</v>
          </cell>
          <cell r="C202">
            <v>612.79999999999995</v>
          </cell>
        </row>
        <row r="203">
          <cell r="A203" t="str">
            <v>灯具カバーPC　2160  L=613.312</v>
          </cell>
          <cell r="C203">
            <v>612.9</v>
          </cell>
        </row>
        <row r="204">
          <cell r="A204" t="str">
            <v>灯具カバーPC　2160  L=613.314</v>
          </cell>
          <cell r="C204">
            <v>613</v>
          </cell>
        </row>
        <row r="205">
          <cell r="A205" t="str">
            <v>灯具カバーPC　2160  L=613.316</v>
          </cell>
          <cell r="C205">
            <v>613.1</v>
          </cell>
        </row>
        <row r="206">
          <cell r="A206" t="str">
            <v>灯具カバーPC　2160  L=613.318</v>
          </cell>
          <cell r="C206">
            <v>613.20000000000005</v>
          </cell>
        </row>
        <row r="207">
          <cell r="A207" t="str">
            <v>灯具カバーPC　2160  L=613.320</v>
          </cell>
          <cell r="C207">
            <v>613.29999999999995</v>
          </cell>
        </row>
        <row r="208">
          <cell r="A208" t="str">
            <v>灯具カバーPC　2160  L=613.322</v>
          </cell>
          <cell r="C208">
            <v>613.4</v>
          </cell>
        </row>
        <row r="209">
          <cell r="A209" t="str">
            <v>灯具カバーPC　2160  L=613.324</v>
          </cell>
          <cell r="C209">
            <v>613.5</v>
          </cell>
        </row>
        <row r="210">
          <cell r="A210" t="str">
            <v>灯具カバーPC　2160  L=613.326</v>
          </cell>
          <cell r="C210">
            <v>613.6</v>
          </cell>
        </row>
        <row r="211">
          <cell r="A211" t="str">
            <v>灯具カバーPC　2160  L=613.328</v>
          </cell>
          <cell r="C211">
            <v>613.70000000000005</v>
          </cell>
        </row>
        <row r="212">
          <cell r="A212" t="str">
            <v>灯具カバーPC　2160  L=613.330</v>
          </cell>
          <cell r="C212">
            <v>613.79999999999995</v>
          </cell>
        </row>
        <row r="213">
          <cell r="A213" t="str">
            <v>灯具カバーPC　2160  L=613.332</v>
          </cell>
          <cell r="C213">
            <v>613.9</v>
          </cell>
        </row>
        <row r="214">
          <cell r="A214" t="str">
            <v>灯具カバーPC　7530  L=56504</v>
          </cell>
          <cell r="C214">
            <v>564.20000000000005</v>
          </cell>
        </row>
        <row r="215">
          <cell r="A215" t="str">
            <v>灯具カバーPC　7530  L=56506</v>
          </cell>
          <cell r="C215">
            <v>564.29999999999995</v>
          </cell>
        </row>
        <row r="216">
          <cell r="A216" t="str">
            <v>灯具カバーPC　7530  L=56508</v>
          </cell>
          <cell r="C216">
            <v>564.5</v>
          </cell>
        </row>
        <row r="217">
          <cell r="A217" t="str">
            <v>灯具カバーPC　7530  L=56510</v>
          </cell>
          <cell r="C217">
            <v>564.6</v>
          </cell>
        </row>
        <row r="218">
          <cell r="A218" t="str">
            <v>灯具カバーPC　7530  L=56512</v>
          </cell>
          <cell r="C218">
            <v>564.70000000000005</v>
          </cell>
        </row>
        <row r="219">
          <cell r="A219" t="str">
            <v>灯具カバーPC　7530  L=56514</v>
          </cell>
          <cell r="C219">
            <v>564.79999999999995</v>
          </cell>
        </row>
        <row r="220">
          <cell r="A220" t="str">
            <v>灯具カバーPC　7530  L=56516</v>
          </cell>
          <cell r="C220">
            <v>564.9</v>
          </cell>
        </row>
        <row r="221">
          <cell r="A221" t="str">
            <v>灯具カバーPC　7530  L=56518</v>
          </cell>
          <cell r="C221">
            <v>565</v>
          </cell>
        </row>
        <row r="222">
          <cell r="A222" t="str">
            <v>灯具カバーPC　7530  L=56520</v>
          </cell>
          <cell r="C222">
            <v>565</v>
          </cell>
        </row>
        <row r="223">
          <cell r="A223" t="str">
            <v>灯具カバーPC　7530  L=56522</v>
          </cell>
          <cell r="C223">
            <v>565.1</v>
          </cell>
        </row>
        <row r="224">
          <cell r="A224" t="str">
            <v>灯具カバーPC　7530  L=56524</v>
          </cell>
          <cell r="C224">
            <v>565.20000000000005</v>
          </cell>
        </row>
        <row r="225">
          <cell r="A225" t="str">
            <v>灯具カバーPC　7530  L=56526</v>
          </cell>
          <cell r="C225">
            <v>565.4</v>
          </cell>
        </row>
        <row r="226">
          <cell r="A226" t="str">
            <v>灯具カバーPC　7530  L=56528</v>
          </cell>
          <cell r="C226">
            <v>565.6</v>
          </cell>
        </row>
        <row r="227">
          <cell r="A227" t="str">
            <v>灯具カバーPC　7530  L=56530</v>
          </cell>
          <cell r="C227">
            <v>565.70000000000005</v>
          </cell>
        </row>
        <row r="228">
          <cell r="A228" t="str">
            <v>灯具カバーPC　7530  L=56532</v>
          </cell>
          <cell r="C228">
            <v>565.70000000000005</v>
          </cell>
        </row>
        <row r="229">
          <cell r="A229" t="str">
            <v>灯具カバーPC　2200  L=221.804</v>
          </cell>
          <cell r="C229">
            <v>220.6</v>
          </cell>
        </row>
        <row r="230">
          <cell r="A230" t="str">
            <v>灯具カバーPC　2200  L=221.806</v>
          </cell>
          <cell r="C230">
            <v>220.8</v>
          </cell>
        </row>
        <row r="231">
          <cell r="A231" t="str">
            <v>灯具カバーPC　2200  L=221.808</v>
          </cell>
          <cell r="C231">
            <v>220.9</v>
          </cell>
        </row>
        <row r="232">
          <cell r="A232" t="str">
            <v>灯具カバーPC　2200  L=221.810</v>
          </cell>
          <cell r="C232">
            <v>221.1</v>
          </cell>
        </row>
        <row r="233">
          <cell r="A233" t="str">
            <v>灯具カバーPC　2200  L=221.812</v>
          </cell>
          <cell r="C233">
            <v>221.2</v>
          </cell>
        </row>
        <row r="234">
          <cell r="A234" t="str">
            <v>灯具カバーPC　2200  L=221.814</v>
          </cell>
          <cell r="C234">
            <v>221.4</v>
          </cell>
        </row>
        <row r="235">
          <cell r="A235" t="str">
            <v>灯具カバーPC　2200  L=221.816</v>
          </cell>
          <cell r="C235">
            <v>221.5</v>
          </cell>
        </row>
        <row r="236">
          <cell r="A236" t="str">
            <v>灯具カバーPC　2200  L=221.818</v>
          </cell>
          <cell r="C236">
            <v>221.7</v>
          </cell>
        </row>
        <row r="237">
          <cell r="A237" t="str">
            <v>灯具カバーPC　2200  L=221.820</v>
          </cell>
          <cell r="C237">
            <v>221.8</v>
          </cell>
        </row>
        <row r="238">
          <cell r="A238" t="str">
            <v>灯具カバーPC　2200  L=221.822</v>
          </cell>
          <cell r="C238">
            <v>222</v>
          </cell>
        </row>
        <row r="239">
          <cell r="A239" t="str">
            <v>灯具カバーPC　2200  L=221.824</v>
          </cell>
          <cell r="C239">
            <v>222.2</v>
          </cell>
        </row>
        <row r="240">
          <cell r="A240" t="str">
            <v>灯具カバーPC　2200  L=221.826</v>
          </cell>
          <cell r="C240">
            <v>222.3</v>
          </cell>
        </row>
        <row r="241">
          <cell r="A241" t="str">
            <v>灯具カバーPC　2200  L=221.828</v>
          </cell>
          <cell r="C241">
            <v>222.5</v>
          </cell>
        </row>
        <row r="242">
          <cell r="A242" t="str">
            <v>灯具カバーPC　2200  L=221.830</v>
          </cell>
          <cell r="C242">
            <v>222.6</v>
          </cell>
        </row>
        <row r="243">
          <cell r="A243" t="str">
            <v>灯具カバーPC　2200  L=221.832</v>
          </cell>
          <cell r="C243">
            <v>222.8</v>
          </cell>
        </row>
        <row r="244">
          <cell r="A244" t="str">
            <v>採光ルーバーパネルA　L=199604</v>
          </cell>
          <cell r="C244">
            <v>1994.92</v>
          </cell>
        </row>
        <row r="245">
          <cell r="A245" t="str">
            <v>採光ルーバーパネルA　L=199606</v>
          </cell>
          <cell r="C245">
            <v>1995.18</v>
          </cell>
        </row>
        <row r="246">
          <cell r="A246" t="str">
            <v>採光ルーバーパネルA　L=199608</v>
          </cell>
          <cell r="C246">
            <v>1995.44</v>
          </cell>
        </row>
        <row r="247">
          <cell r="A247" t="str">
            <v>採光ルーバーパネルA　L=199610</v>
          </cell>
          <cell r="C247">
            <v>1995.7</v>
          </cell>
        </row>
        <row r="248">
          <cell r="A248" t="str">
            <v>採光ルーバーパネルA　L=199612</v>
          </cell>
          <cell r="C248">
            <v>1995.96</v>
          </cell>
        </row>
        <row r="249">
          <cell r="A249" t="str">
            <v>採光ルーバーパネルA　L=199614</v>
          </cell>
          <cell r="C249">
            <v>1996.22</v>
          </cell>
        </row>
        <row r="250">
          <cell r="A250" t="str">
            <v>採光ルーバーパネルA　L=199616</v>
          </cell>
          <cell r="C250">
            <v>1996.48</v>
          </cell>
        </row>
        <row r="251">
          <cell r="A251" t="str">
            <v>採光ルーバーパネルA　L=199618</v>
          </cell>
          <cell r="C251">
            <v>1996.74</v>
          </cell>
        </row>
        <row r="252">
          <cell r="A252" t="str">
            <v>採光ルーバーパネルA　L=199620</v>
          </cell>
          <cell r="C252">
            <v>1997</v>
          </cell>
        </row>
        <row r="253">
          <cell r="A253" t="str">
            <v>採光ルーバーパネルA　L=199622</v>
          </cell>
          <cell r="C253">
            <v>1997.26</v>
          </cell>
        </row>
        <row r="254">
          <cell r="A254" t="str">
            <v>採光ルーバーパネルA　L=199624</v>
          </cell>
          <cell r="C254">
            <v>1997.52</v>
          </cell>
        </row>
        <row r="255">
          <cell r="A255" t="str">
            <v>採光ルーバーパネルA　L=199626</v>
          </cell>
          <cell r="C255">
            <v>1997.78</v>
          </cell>
        </row>
        <row r="256">
          <cell r="A256" t="str">
            <v>採光ルーバーパネルA　L=199628</v>
          </cell>
          <cell r="C256">
            <v>1998.04</v>
          </cell>
        </row>
        <row r="257">
          <cell r="A257" t="str">
            <v>採光ルーバーパネルA　L=199630</v>
          </cell>
          <cell r="C257">
            <v>1998.3</v>
          </cell>
        </row>
        <row r="258">
          <cell r="A258" t="str">
            <v>採光ルーバーパネルA　L=199632</v>
          </cell>
          <cell r="C258">
            <v>1998.56</v>
          </cell>
        </row>
        <row r="259">
          <cell r="A259" t="str">
            <v>採光ルーバーパネルB　L=199604</v>
          </cell>
          <cell r="C259">
            <v>1994.92</v>
          </cell>
        </row>
        <row r="260">
          <cell r="A260" t="str">
            <v>採光ルーバーパネルB　L=199606</v>
          </cell>
          <cell r="C260">
            <v>1995.18</v>
          </cell>
        </row>
        <row r="261">
          <cell r="A261" t="str">
            <v>採光ルーバーパネルB　L=199608</v>
          </cell>
          <cell r="C261">
            <v>1995.44</v>
          </cell>
        </row>
        <row r="262">
          <cell r="A262" t="str">
            <v>採光ルーバーパネルB　L=199610</v>
          </cell>
          <cell r="C262">
            <v>1995.7</v>
          </cell>
        </row>
        <row r="263">
          <cell r="A263" t="str">
            <v>採光ルーバーパネルB　L=199612</v>
          </cell>
          <cell r="C263">
            <v>1995.96</v>
          </cell>
        </row>
        <row r="264">
          <cell r="A264" t="str">
            <v>採光ルーバーパネルB　L=199614</v>
          </cell>
          <cell r="C264">
            <v>1996.22</v>
          </cell>
        </row>
        <row r="265">
          <cell r="A265" t="str">
            <v>採光ルーバーパネルB　L=199616</v>
          </cell>
          <cell r="C265">
            <v>1996.48</v>
          </cell>
        </row>
        <row r="266">
          <cell r="A266" t="str">
            <v>採光ルーバーパネルB　L=199618</v>
          </cell>
          <cell r="C266">
            <v>1996.74</v>
          </cell>
        </row>
        <row r="267">
          <cell r="A267" t="str">
            <v>採光ルーバーパネルB　L=199620</v>
          </cell>
          <cell r="C267">
            <v>1997</v>
          </cell>
        </row>
        <row r="268">
          <cell r="A268" t="str">
            <v>採光ルーバーパネルB　L=199622</v>
          </cell>
          <cell r="C268">
            <v>1997.26</v>
          </cell>
        </row>
        <row r="269">
          <cell r="A269" t="str">
            <v>採光ルーバーパネルB　L=199624</v>
          </cell>
          <cell r="C269">
            <v>1997.52</v>
          </cell>
        </row>
        <row r="270">
          <cell r="A270" t="str">
            <v>採光ルーバーパネルB　L=199626</v>
          </cell>
          <cell r="C270">
            <v>1997.78</v>
          </cell>
        </row>
        <row r="271">
          <cell r="A271" t="str">
            <v>採光ルーバーパネルB　L=199628</v>
          </cell>
          <cell r="C271">
            <v>1998.04</v>
          </cell>
        </row>
        <row r="272">
          <cell r="A272" t="str">
            <v>採光ルーバーパネルB　L=199630</v>
          </cell>
          <cell r="C272">
            <v>1998.3</v>
          </cell>
        </row>
        <row r="273">
          <cell r="A273" t="str">
            <v>採光ルーバーパネルB　L=199632</v>
          </cell>
          <cell r="C273">
            <v>1998.56</v>
          </cell>
        </row>
        <row r="274">
          <cell r="A274" t="str">
            <v>採光ルーバーパネルB　L=199634</v>
          </cell>
          <cell r="C274">
            <v>1998.82</v>
          </cell>
        </row>
        <row r="275">
          <cell r="A275" t="str">
            <v>採光ルーバーパネルB　L=199636</v>
          </cell>
          <cell r="C275">
            <v>1999.08</v>
          </cell>
        </row>
        <row r="276">
          <cell r="A276" t="str">
            <v>8FL281304 4810　L=29704</v>
          </cell>
          <cell r="C276">
            <v>269.69</v>
          </cell>
        </row>
        <row r="277">
          <cell r="A277" t="str">
            <v>8FL281304 4810　L=29706</v>
          </cell>
          <cell r="C277">
            <v>296.73</v>
          </cell>
        </row>
        <row r="278">
          <cell r="A278" t="str">
            <v>8FL281304 4810　L=29708</v>
          </cell>
          <cell r="C278">
            <v>296.77</v>
          </cell>
        </row>
        <row r="279">
          <cell r="A279" t="str">
            <v>8FL281304 4810　L=29710</v>
          </cell>
          <cell r="C279">
            <v>296.81</v>
          </cell>
        </row>
        <row r="280">
          <cell r="A280" t="str">
            <v>8FL281304 4810　L=29712</v>
          </cell>
          <cell r="C280">
            <v>296.85000000000002</v>
          </cell>
        </row>
        <row r="281">
          <cell r="A281" t="str">
            <v>8FL281304 4810　L=29714</v>
          </cell>
          <cell r="C281">
            <v>296.88</v>
          </cell>
        </row>
        <row r="282">
          <cell r="A282" t="str">
            <v>8FL281304 4810　L=29716</v>
          </cell>
          <cell r="C282">
            <v>296.92</v>
          </cell>
        </row>
        <row r="283">
          <cell r="A283" t="str">
            <v>8FL281304 4810　L=29718</v>
          </cell>
          <cell r="C283">
            <v>296.95999999999998</v>
          </cell>
        </row>
        <row r="284">
          <cell r="A284" t="str">
            <v>8FL281304 4810　L=29720</v>
          </cell>
          <cell r="C284">
            <v>297</v>
          </cell>
        </row>
        <row r="285">
          <cell r="A285" t="str">
            <v>8FL281304 4810　L=29722</v>
          </cell>
          <cell r="C285">
            <v>297.04000000000002</v>
          </cell>
        </row>
        <row r="286">
          <cell r="A286" t="str">
            <v>8FL281304 4810　L=29724</v>
          </cell>
          <cell r="C286">
            <v>297.08</v>
          </cell>
        </row>
        <row r="287">
          <cell r="A287" t="str">
            <v>8FL281304 4810　L=29726</v>
          </cell>
          <cell r="C287">
            <v>297.12</v>
          </cell>
        </row>
        <row r="288">
          <cell r="A288" t="str">
            <v>8FL281304 4810　L=29728</v>
          </cell>
          <cell r="C288">
            <v>297.14999999999998</v>
          </cell>
        </row>
        <row r="289">
          <cell r="A289" t="str">
            <v>8FL281304 4810　L=29730</v>
          </cell>
          <cell r="C289">
            <v>297.19</v>
          </cell>
        </row>
        <row r="290">
          <cell r="A290" t="str">
            <v>8FL281304 4810　L=29732</v>
          </cell>
          <cell r="C290">
            <v>297.23</v>
          </cell>
        </row>
        <row r="291">
          <cell r="A291" t="str">
            <v>8FL281304 8110　L=44404</v>
          </cell>
          <cell r="C291">
            <v>443.04</v>
          </cell>
        </row>
        <row r="292">
          <cell r="A292" t="str">
            <v>8FL281304 8110　L=44406</v>
          </cell>
          <cell r="C292">
            <v>443.1</v>
          </cell>
        </row>
        <row r="293">
          <cell r="A293" t="str">
            <v>8FL281304 8110　L=44408</v>
          </cell>
          <cell r="C293">
            <v>443.15</v>
          </cell>
        </row>
        <row r="294">
          <cell r="A294" t="str">
            <v>8FL281304 8110　L=44410</v>
          </cell>
          <cell r="C294">
            <v>443.21</v>
          </cell>
        </row>
        <row r="295">
          <cell r="A295" t="str">
            <v>8FL281304 8110　L=44412</v>
          </cell>
          <cell r="C295">
            <v>443.27</v>
          </cell>
        </row>
        <row r="296">
          <cell r="A296" t="str">
            <v>8FL281304 8110　L=44414</v>
          </cell>
          <cell r="C296">
            <v>443.33</v>
          </cell>
        </row>
        <row r="297">
          <cell r="A297" t="str">
            <v>8FL281304 8110　L=44416</v>
          </cell>
          <cell r="C297">
            <v>443.38</v>
          </cell>
        </row>
        <row r="298">
          <cell r="A298" t="str">
            <v>8FL281304 8110　L=44418</v>
          </cell>
          <cell r="C298">
            <v>443.44</v>
          </cell>
        </row>
        <row r="299">
          <cell r="A299" t="str">
            <v>8FL281304 8110　L=44420</v>
          </cell>
          <cell r="C299">
            <v>443.5</v>
          </cell>
        </row>
        <row r="300">
          <cell r="A300" t="str">
            <v>8FL281304 8110　L=44422</v>
          </cell>
          <cell r="C300">
            <v>443.56</v>
          </cell>
        </row>
        <row r="301">
          <cell r="A301" t="str">
            <v>8FL281304 8110　L=44424</v>
          </cell>
          <cell r="C301">
            <v>443.62</v>
          </cell>
        </row>
        <row r="302">
          <cell r="A302" t="str">
            <v>8FL281304 8110　L=44426</v>
          </cell>
          <cell r="C302">
            <v>443.67</v>
          </cell>
        </row>
        <row r="303">
          <cell r="A303" t="str">
            <v>8FL281304 8110　L=44428</v>
          </cell>
          <cell r="C303">
            <v>443.73</v>
          </cell>
        </row>
        <row r="304">
          <cell r="A304" t="str">
            <v>8FL281304 8110　L=44430</v>
          </cell>
          <cell r="C304">
            <v>443.79</v>
          </cell>
        </row>
        <row r="305">
          <cell r="A305" t="str">
            <v>8FL281304 8110　L=44432</v>
          </cell>
          <cell r="C305">
            <v>443.85</v>
          </cell>
        </row>
        <row r="306">
          <cell r="A306" t="str">
            <v>8FL281304 4910　L=59204</v>
          </cell>
          <cell r="C306">
            <v>590.88</v>
          </cell>
        </row>
        <row r="307">
          <cell r="A307" t="str">
            <v>8FL281304 4910　L=59206</v>
          </cell>
          <cell r="C307">
            <v>590.96</v>
          </cell>
        </row>
        <row r="308">
          <cell r="A308" t="str">
            <v>8FL281304 4910　L=59208</v>
          </cell>
          <cell r="C308">
            <v>591.04</v>
          </cell>
        </row>
        <row r="309">
          <cell r="A309" t="str">
            <v>8FL281304 4910　L=59210</v>
          </cell>
          <cell r="C309">
            <v>591.12</v>
          </cell>
        </row>
        <row r="310">
          <cell r="A310" t="str">
            <v>8FL281304 4910　L=59212</v>
          </cell>
          <cell r="C310">
            <v>591.19000000000005</v>
          </cell>
        </row>
        <row r="311">
          <cell r="A311" t="str">
            <v>8FL281304 4910　L=59214</v>
          </cell>
          <cell r="C311">
            <v>591.27</v>
          </cell>
        </row>
        <row r="312">
          <cell r="A312" t="str">
            <v>8FL281304 4910　L=59216</v>
          </cell>
          <cell r="C312">
            <v>591.35</v>
          </cell>
        </row>
        <row r="313">
          <cell r="A313" t="str">
            <v>8FL281304 4910　L=59218</v>
          </cell>
          <cell r="C313">
            <v>591.41999999999996</v>
          </cell>
        </row>
        <row r="314">
          <cell r="A314" t="str">
            <v>8FL281304 4910　L=59220</v>
          </cell>
          <cell r="C314">
            <v>591.5</v>
          </cell>
        </row>
        <row r="315">
          <cell r="A315" t="str">
            <v>8FL281304 4910　L=59222</v>
          </cell>
          <cell r="C315">
            <v>591.58000000000004</v>
          </cell>
        </row>
        <row r="316">
          <cell r="A316" t="str">
            <v>8FL281304 4910　L=59224</v>
          </cell>
          <cell r="C316">
            <v>591.65</v>
          </cell>
        </row>
        <row r="317">
          <cell r="A317" t="str">
            <v>8FL281304 4910　L=59226</v>
          </cell>
          <cell r="C317">
            <v>591.73</v>
          </cell>
        </row>
        <row r="318">
          <cell r="A318" t="str">
            <v>8FL281304 4910　L=59228</v>
          </cell>
          <cell r="C318">
            <v>591.80999999999995</v>
          </cell>
        </row>
        <row r="319">
          <cell r="A319" t="str">
            <v>8FL281304 4910　L=59230</v>
          </cell>
          <cell r="C319">
            <v>591.88</v>
          </cell>
        </row>
        <row r="320">
          <cell r="A320" t="str">
            <v>8FL281304 4910　L=59232</v>
          </cell>
          <cell r="C320">
            <v>591.96</v>
          </cell>
        </row>
        <row r="321">
          <cell r="A321" t="str">
            <v>8FL281304 8310　L=74804</v>
          </cell>
          <cell r="C321">
            <v>747.22</v>
          </cell>
        </row>
        <row r="322">
          <cell r="A322" t="str">
            <v>8FL281304 8310　L=74806</v>
          </cell>
          <cell r="C322">
            <v>747.32</v>
          </cell>
        </row>
        <row r="323">
          <cell r="A323" t="str">
            <v>8FL281304 8310　L=74808</v>
          </cell>
          <cell r="C323">
            <v>747.42</v>
          </cell>
        </row>
        <row r="324">
          <cell r="A324" t="str">
            <v>8FL281304 8310　L=74810</v>
          </cell>
          <cell r="C324">
            <v>747.51</v>
          </cell>
        </row>
        <row r="325">
          <cell r="A325" t="str">
            <v>8FL281304 8310　L=74812</v>
          </cell>
          <cell r="C325">
            <v>747.61</v>
          </cell>
        </row>
        <row r="326">
          <cell r="A326" t="str">
            <v>8FL281304 8310　L=74814</v>
          </cell>
          <cell r="C326">
            <v>747.71</v>
          </cell>
        </row>
        <row r="327">
          <cell r="A327" t="str">
            <v>8FL281304 8310　L=74816</v>
          </cell>
          <cell r="C327">
            <v>747.81</v>
          </cell>
        </row>
        <row r="328">
          <cell r="A328" t="str">
            <v>8FL281304 8310　L=74818</v>
          </cell>
          <cell r="C328">
            <v>747.9</v>
          </cell>
        </row>
        <row r="329">
          <cell r="A329" t="str">
            <v>8FL281304 8310　L=74820</v>
          </cell>
          <cell r="C329">
            <v>748</v>
          </cell>
        </row>
        <row r="330">
          <cell r="A330" t="str">
            <v>8FL281304 8310　L=74822</v>
          </cell>
          <cell r="C330">
            <v>748.1</v>
          </cell>
        </row>
        <row r="331">
          <cell r="A331" t="str">
            <v>8FL281304 8310　L=74824</v>
          </cell>
          <cell r="C331">
            <v>748.19</v>
          </cell>
        </row>
        <row r="332">
          <cell r="A332" t="str">
            <v>8FL281304 8310　L=74826</v>
          </cell>
          <cell r="C332">
            <v>748.29</v>
          </cell>
        </row>
        <row r="333">
          <cell r="A333" t="str">
            <v>8FL281304 8310　L=74828</v>
          </cell>
          <cell r="C333">
            <v>748.39</v>
          </cell>
        </row>
        <row r="334">
          <cell r="A334" t="str">
            <v>8FL281304 8310　L=74830</v>
          </cell>
          <cell r="C334">
            <v>748.49</v>
          </cell>
        </row>
        <row r="335">
          <cell r="A335" t="str">
            <v>8FL281304 8310　L=74832</v>
          </cell>
          <cell r="C335">
            <v>748.58</v>
          </cell>
        </row>
        <row r="336">
          <cell r="A336" t="str">
            <v>8FL281304 5010　L=88804</v>
          </cell>
          <cell r="C336">
            <v>887.08</v>
          </cell>
        </row>
        <row r="337">
          <cell r="A337" t="str">
            <v>8FL281304 5010　L=88806</v>
          </cell>
          <cell r="C337">
            <v>887.19</v>
          </cell>
        </row>
        <row r="338">
          <cell r="A338" t="str">
            <v>8FL281304 5010　L=88808</v>
          </cell>
          <cell r="C338">
            <v>887.31</v>
          </cell>
        </row>
        <row r="339">
          <cell r="A339" t="str">
            <v>8FL281304 5010　L=88810</v>
          </cell>
          <cell r="C339">
            <v>887.42</v>
          </cell>
        </row>
        <row r="340">
          <cell r="A340" t="str">
            <v>8FL281304 5010　L=88812</v>
          </cell>
          <cell r="C340">
            <v>887.54</v>
          </cell>
        </row>
        <row r="341">
          <cell r="A341" t="str">
            <v>8FL281304 5010　L=88814</v>
          </cell>
          <cell r="C341">
            <v>887.65</v>
          </cell>
        </row>
        <row r="342">
          <cell r="A342" t="str">
            <v>8FL281304 5010　L=88816</v>
          </cell>
          <cell r="C342">
            <v>887.77</v>
          </cell>
        </row>
        <row r="343">
          <cell r="A343" t="str">
            <v>8FL281304 5010　L=88818</v>
          </cell>
          <cell r="C343">
            <v>887.88</v>
          </cell>
        </row>
        <row r="344">
          <cell r="A344" t="str">
            <v>8FL281304 5010　L=88820</v>
          </cell>
          <cell r="C344">
            <v>888</v>
          </cell>
        </row>
        <row r="345">
          <cell r="A345" t="str">
            <v>8FL281304 5010　L=88822</v>
          </cell>
          <cell r="C345">
            <v>888.12</v>
          </cell>
        </row>
        <row r="346">
          <cell r="A346" t="str">
            <v>8FL281304 5010　L=88824</v>
          </cell>
          <cell r="C346">
            <v>888.23</v>
          </cell>
        </row>
        <row r="347">
          <cell r="A347" t="str">
            <v>8FL281304 5010　L=88826</v>
          </cell>
          <cell r="C347">
            <v>888.35</v>
          </cell>
        </row>
        <row r="348">
          <cell r="A348" t="str">
            <v>8FL281304 5010　L=88828</v>
          </cell>
          <cell r="C348">
            <v>888.46</v>
          </cell>
        </row>
        <row r="349">
          <cell r="A349" t="str">
            <v>8FL281304 5010　L=88830</v>
          </cell>
          <cell r="C349">
            <v>888.58</v>
          </cell>
        </row>
        <row r="350">
          <cell r="A350" t="str">
            <v>8FL281304 5010　L=88832</v>
          </cell>
          <cell r="C350">
            <v>888.69</v>
          </cell>
        </row>
        <row r="351">
          <cell r="A351" t="str">
            <v>8FL281304 5110　L=118304</v>
          </cell>
          <cell r="C351">
            <v>1181.77</v>
          </cell>
        </row>
        <row r="352">
          <cell r="A352" t="str">
            <v>8FL281304 5110　L=118306</v>
          </cell>
          <cell r="C352">
            <v>1181.92</v>
          </cell>
        </row>
        <row r="353">
          <cell r="A353" t="str">
            <v>8FL281304 5110　L=118308</v>
          </cell>
          <cell r="C353">
            <v>1182.08</v>
          </cell>
        </row>
        <row r="354">
          <cell r="A354" t="str">
            <v>8FL281304 5110　L=118310</v>
          </cell>
          <cell r="C354">
            <v>1182.23</v>
          </cell>
        </row>
        <row r="355">
          <cell r="A355" t="str">
            <v>8FL281304 5110　L=118312</v>
          </cell>
          <cell r="C355">
            <v>1182.3800000000001</v>
          </cell>
        </row>
        <row r="356">
          <cell r="A356" t="str">
            <v>8FL281304 5110　L=118314</v>
          </cell>
          <cell r="C356">
            <v>1182.54</v>
          </cell>
        </row>
        <row r="357">
          <cell r="A357" t="str">
            <v>8FL281304 5110　L=118316</v>
          </cell>
          <cell r="C357">
            <v>1182.69</v>
          </cell>
        </row>
        <row r="358">
          <cell r="A358" t="str">
            <v>8FL281304 5110　L=118318</v>
          </cell>
          <cell r="C358">
            <v>1182.8499999999999</v>
          </cell>
        </row>
        <row r="359">
          <cell r="A359" t="str">
            <v>8FL281304 5110　L=118320</v>
          </cell>
          <cell r="C359">
            <v>1183</v>
          </cell>
        </row>
        <row r="360">
          <cell r="A360" t="str">
            <v>8FL281304 5110　L=118322</v>
          </cell>
          <cell r="C360">
            <v>1183.1500000000001</v>
          </cell>
        </row>
        <row r="361">
          <cell r="A361" t="str">
            <v>8FL281304 5110　L=118324</v>
          </cell>
          <cell r="C361">
            <v>1183.31</v>
          </cell>
        </row>
        <row r="362">
          <cell r="A362" t="str">
            <v>8FL281304 5110　L=118326</v>
          </cell>
          <cell r="C362">
            <v>1183.46</v>
          </cell>
        </row>
        <row r="363">
          <cell r="A363" t="str">
            <v>8FL281304 5110　L=118328</v>
          </cell>
          <cell r="C363">
            <v>4483.62</v>
          </cell>
        </row>
        <row r="364">
          <cell r="A364" t="str">
            <v>8FL281304 5110　L=118330</v>
          </cell>
          <cell r="C364">
            <v>1183.77</v>
          </cell>
        </row>
        <row r="365">
          <cell r="A365" t="str">
            <v>8FL281304 5110　L=118332</v>
          </cell>
          <cell r="C365">
            <v>1183.92</v>
          </cell>
        </row>
        <row r="366">
          <cell r="A366" t="str">
            <v>8FL281304 8010　L=132904</v>
          </cell>
          <cell r="C366">
            <v>1327.62</v>
          </cell>
        </row>
        <row r="367">
          <cell r="A367" t="str">
            <v>8FL281304 8010　L=132906</v>
          </cell>
          <cell r="C367">
            <v>1327.79</v>
          </cell>
        </row>
        <row r="368">
          <cell r="A368" t="str">
            <v>8FL281304 8010　L=132908</v>
          </cell>
          <cell r="C368">
            <v>1327.96</v>
          </cell>
        </row>
        <row r="369">
          <cell r="A369" t="str">
            <v>8FL281304 8010　L=132910</v>
          </cell>
          <cell r="C369">
            <v>1328.14</v>
          </cell>
        </row>
        <row r="370">
          <cell r="A370" t="str">
            <v>8FL281304 8010　L=132912</v>
          </cell>
          <cell r="C370">
            <v>1328.31</v>
          </cell>
        </row>
        <row r="371">
          <cell r="A371" t="str">
            <v>8FL281304 8010　L=132914</v>
          </cell>
          <cell r="C371">
            <v>1328.48</v>
          </cell>
        </row>
        <row r="372">
          <cell r="A372" t="str">
            <v>8FL281304 8010　L=132916</v>
          </cell>
          <cell r="C372">
            <v>1328.65</v>
          </cell>
        </row>
        <row r="373">
          <cell r="A373" t="str">
            <v>8FL281304 8010　L=132918</v>
          </cell>
          <cell r="C373">
            <v>1328.83</v>
          </cell>
        </row>
        <row r="374">
          <cell r="A374" t="str">
            <v>8FL281304 8010　L=132920</v>
          </cell>
          <cell r="C374">
            <v>1329</v>
          </cell>
        </row>
        <row r="375">
          <cell r="A375" t="str">
            <v>8FL281304 8010　L=132922</v>
          </cell>
          <cell r="C375">
            <v>1329.17</v>
          </cell>
        </row>
        <row r="376">
          <cell r="A376" t="str">
            <v>8FL281304 8010　L=132924</v>
          </cell>
          <cell r="C376">
            <v>1329.35</v>
          </cell>
        </row>
        <row r="377">
          <cell r="A377" t="str">
            <v>8FL281304 8010　L=132926</v>
          </cell>
          <cell r="C377">
            <v>1329.52</v>
          </cell>
        </row>
        <row r="378">
          <cell r="A378" t="str">
            <v>8FL281304 8010　L=132928</v>
          </cell>
          <cell r="C378">
            <v>1329.69</v>
          </cell>
        </row>
        <row r="379">
          <cell r="A379" t="str">
            <v>8FL281304 8010　L=132930</v>
          </cell>
          <cell r="C379">
            <v>1329.86</v>
          </cell>
        </row>
        <row r="380">
          <cell r="A380" t="str">
            <v>8FL281304 8010　L=132932</v>
          </cell>
          <cell r="C380">
            <v>1330.04</v>
          </cell>
        </row>
        <row r="381">
          <cell r="A381" t="str">
            <v>8FL281304 6110　L=147804</v>
          </cell>
          <cell r="C381">
            <v>1476.46</v>
          </cell>
        </row>
        <row r="382">
          <cell r="A382" t="str">
            <v>8FL281304 6110　L=147806</v>
          </cell>
          <cell r="C382">
            <v>1476.66</v>
          </cell>
        </row>
        <row r="383">
          <cell r="A383" t="str">
            <v>8FL281304 6110　L=147808</v>
          </cell>
          <cell r="C383">
            <v>1476.85</v>
          </cell>
        </row>
        <row r="384">
          <cell r="A384" t="str">
            <v>8FL281304 6110　L=147810</v>
          </cell>
          <cell r="C384">
            <v>1477.04</v>
          </cell>
        </row>
        <row r="385">
          <cell r="A385" t="str">
            <v>8FL281304 6110　L=147812</v>
          </cell>
          <cell r="C385">
            <v>1477.23</v>
          </cell>
        </row>
        <row r="386">
          <cell r="A386" t="str">
            <v>8FL281304 6110　L=147814</v>
          </cell>
          <cell r="C386">
            <v>1477.42</v>
          </cell>
        </row>
        <row r="387">
          <cell r="A387" t="str">
            <v>8FL281304 6110　L=147816</v>
          </cell>
          <cell r="C387">
            <v>1477.61</v>
          </cell>
        </row>
        <row r="388">
          <cell r="A388" t="str">
            <v>8FL281304 6110　L=147818</v>
          </cell>
          <cell r="C388">
            <v>1477.81</v>
          </cell>
        </row>
        <row r="389">
          <cell r="A389" t="str">
            <v>8FL281304 6110　L=147820</v>
          </cell>
          <cell r="C389">
            <v>1478</v>
          </cell>
        </row>
        <row r="390">
          <cell r="A390" t="str">
            <v>8FL281304 6110　L=147822</v>
          </cell>
          <cell r="C390">
            <v>1478.19</v>
          </cell>
        </row>
        <row r="391">
          <cell r="A391" t="str">
            <v>8FL281304 6110　L=147824</v>
          </cell>
          <cell r="C391">
            <v>1478.38</v>
          </cell>
        </row>
        <row r="392">
          <cell r="A392" t="str">
            <v>8FL281304 6110　L=147826</v>
          </cell>
          <cell r="C392">
            <v>1478.58</v>
          </cell>
        </row>
        <row r="393">
          <cell r="A393" t="str">
            <v>8FL281304 6110　L=147828</v>
          </cell>
          <cell r="C393">
            <v>1478.77</v>
          </cell>
        </row>
        <row r="394">
          <cell r="A394" t="str">
            <v>8FL281304 6110　L=147830</v>
          </cell>
          <cell r="C394">
            <v>1478.96</v>
          </cell>
        </row>
        <row r="395">
          <cell r="A395" t="str">
            <v>8FL281304 6110　L=147832</v>
          </cell>
          <cell r="C395">
            <v>1479.15</v>
          </cell>
        </row>
        <row r="396">
          <cell r="A396" t="str">
            <v>8FL281304 4920　L=592　クリア04</v>
          </cell>
          <cell r="C396">
            <v>590.88</v>
          </cell>
        </row>
        <row r="397">
          <cell r="A397" t="str">
            <v>8FL281304 4920　L=592　クリア06</v>
          </cell>
          <cell r="C397">
            <v>590.96</v>
          </cell>
        </row>
        <row r="398">
          <cell r="A398" t="str">
            <v>8FL281304 4920　L=592　クリア08</v>
          </cell>
          <cell r="C398">
            <v>591.04</v>
          </cell>
        </row>
        <row r="399">
          <cell r="A399" t="str">
            <v>8FL281304 4920　L=592　クリア10</v>
          </cell>
          <cell r="C399">
            <v>591.12</v>
          </cell>
        </row>
        <row r="400">
          <cell r="A400" t="str">
            <v>8FL281304 4920　L=592　クリア12</v>
          </cell>
          <cell r="C400">
            <v>591.19000000000005</v>
          </cell>
        </row>
        <row r="401">
          <cell r="A401" t="str">
            <v>8FL281304 4920　L=592　クリア14</v>
          </cell>
          <cell r="C401">
            <v>591.27</v>
          </cell>
        </row>
        <row r="402">
          <cell r="A402" t="str">
            <v>8FL281304 4920　L=592　クリア16</v>
          </cell>
          <cell r="C402">
            <v>591.35</v>
          </cell>
        </row>
        <row r="403">
          <cell r="A403" t="str">
            <v>8FL281304 4920　L=592　クリア18</v>
          </cell>
          <cell r="C403">
            <v>591.41999999999996</v>
          </cell>
        </row>
        <row r="404">
          <cell r="A404" t="str">
            <v>8FL281304 4920　L=592　クリア20</v>
          </cell>
          <cell r="C404">
            <v>591.5</v>
          </cell>
        </row>
        <row r="405">
          <cell r="A405" t="str">
            <v>8FL281304 4920　L=592　クリア22</v>
          </cell>
          <cell r="C405">
            <v>591.58000000000004</v>
          </cell>
        </row>
        <row r="406">
          <cell r="A406" t="str">
            <v>8FL281304 4920　L=592　クリア24</v>
          </cell>
          <cell r="C406">
            <v>591.65</v>
          </cell>
        </row>
        <row r="407">
          <cell r="A407" t="str">
            <v>8FL281304 4920　L=592　クリア26</v>
          </cell>
          <cell r="C407">
            <v>591.73</v>
          </cell>
        </row>
        <row r="408">
          <cell r="A408" t="str">
            <v>8FL281304 4920　L=592　クリア28</v>
          </cell>
          <cell r="C408">
            <v>591.80999999999995</v>
          </cell>
        </row>
        <row r="409">
          <cell r="A409" t="str">
            <v>8FL281304 4920　L=592　クリア30</v>
          </cell>
          <cell r="C409">
            <v>591.88</v>
          </cell>
        </row>
        <row r="410">
          <cell r="A410" t="str">
            <v>8FL281304 4920　L=592　クリア32</v>
          </cell>
          <cell r="C410">
            <v>591.96</v>
          </cell>
        </row>
        <row r="411">
          <cell r="A411" t="str">
            <v>8FL281304 5020　L=888　クリア04</v>
          </cell>
          <cell r="C411">
            <v>887.08</v>
          </cell>
        </row>
        <row r="412">
          <cell r="A412" t="str">
            <v>8FL281304 5020　L=888　クリア06</v>
          </cell>
          <cell r="C412">
            <v>887.19</v>
          </cell>
        </row>
        <row r="413">
          <cell r="A413" t="str">
            <v>8FL281304 5020　L=888　クリア08</v>
          </cell>
          <cell r="C413">
            <v>887.31</v>
          </cell>
        </row>
        <row r="414">
          <cell r="A414" t="str">
            <v>8FL281304 5020　L=888　クリア10</v>
          </cell>
          <cell r="C414">
            <v>887.42</v>
          </cell>
        </row>
        <row r="415">
          <cell r="A415" t="str">
            <v>8FL281304 5020　L=888　クリア12</v>
          </cell>
          <cell r="C415">
            <v>887.54</v>
          </cell>
        </row>
        <row r="416">
          <cell r="A416" t="str">
            <v>8FL281304 5020　L=888　クリア14</v>
          </cell>
          <cell r="C416">
            <v>887.65</v>
          </cell>
        </row>
        <row r="417">
          <cell r="A417" t="str">
            <v>8FL281304 5020　L=888　クリア16</v>
          </cell>
          <cell r="C417">
            <v>887.77</v>
          </cell>
        </row>
        <row r="418">
          <cell r="A418" t="str">
            <v>8FL281304 5020　L=888　クリア18</v>
          </cell>
          <cell r="C418">
            <v>887.88</v>
          </cell>
        </row>
        <row r="419">
          <cell r="A419" t="str">
            <v>8FL281304 5020　L=888　クリア20</v>
          </cell>
          <cell r="C419">
            <v>888</v>
          </cell>
        </row>
        <row r="420">
          <cell r="A420" t="str">
            <v>8FL281304 5020　L=888　クリア22</v>
          </cell>
          <cell r="C420">
            <v>888.12</v>
          </cell>
        </row>
        <row r="421">
          <cell r="A421" t="str">
            <v>8FL281304 5020　L=888　クリア24</v>
          </cell>
          <cell r="C421">
            <v>888.23</v>
          </cell>
        </row>
        <row r="422">
          <cell r="A422" t="str">
            <v>8FL281304 5020　L=888　クリア26</v>
          </cell>
          <cell r="C422">
            <v>888.35</v>
          </cell>
        </row>
        <row r="423">
          <cell r="A423" t="str">
            <v>8FL281304 5020　L=888　クリア28</v>
          </cell>
          <cell r="C423">
            <v>888.46</v>
          </cell>
        </row>
        <row r="424">
          <cell r="A424" t="str">
            <v>8FL281304 5020　L=888　クリア30</v>
          </cell>
          <cell r="C424">
            <v>888.58</v>
          </cell>
        </row>
        <row r="425">
          <cell r="A425" t="str">
            <v>8FL281304 5020　L=888　クリア32</v>
          </cell>
          <cell r="C425">
            <v>888.69</v>
          </cell>
        </row>
        <row r="426">
          <cell r="A426" t="str">
            <v>8FL281304 5120　L=1183　クリア04</v>
          </cell>
          <cell r="C426">
            <v>1181.77</v>
          </cell>
        </row>
        <row r="427">
          <cell r="A427" t="str">
            <v>8FL281304 5120　L=1183　クリア06</v>
          </cell>
          <cell r="C427">
            <v>1181.92</v>
          </cell>
        </row>
        <row r="428">
          <cell r="A428" t="str">
            <v>8FL281304 5120　L=1183　クリア08</v>
          </cell>
          <cell r="C428">
            <v>1182.08</v>
          </cell>
        </row>
        <row r="429">
          <cell r="A429" t="str">
            <v>8FL281304 5120　L=1183　クリア10</v>
          </cell>
          <cell r="C429">
            <v>1182.23</v>
          </cell>
        </row>
        <row r="430">
          <cell r="A430" t="str">
            <v>8FL281304 5120　L=1183　クリア12</v>
          </cell>
          <cell r="C430">
            <v>1182.3800000000001</v>
          </cell>
        </row>
        <row r="431">
          <cell r="A431" t="str">
            <v>8FL281304 5120　L=1183　クリア14</v>
          </cell>
          <cell r="C431">
            <v>1182.54</v>
          </cell>
        </row>
        <row r="432">
          <cell r="A432" t="str">
            <v>8FL281304 5120　L=1183　クリア16</v>
          </cell>
          <cell r="C432">
            <v>1182.69</v>
          </cell>
        </row>
        <row r="433">
          <cell r="A433" t="str">
            <v>8FL281304 5120　L=1183　クリア18</v>
          </cell>
          <cell r="C433">
            <v>1182.8499999999999</v>
          </cell>
        </row>
        <row r="434">
          <cell r="A434" t="str">
            <v>8FL281304 5120　L=1183　クリア20</v>
          </cell>
          <cell r="C434">
            <v>1183</v>
          </cell>
        </row>
        <row r="435">
          <cell r="A435" t="str">
            <v>8FL281304 5120　L=1183　クリア22</v>
          </cell>
          <cell r="C435">
            <v>1183.1500000000001</v>
          </cell>
        </row>
        <row r="436">
          <cell r="A436" t="str">
            <v>8FL281304 5120　L=1183　クリア24</v>
          </cell>
          <cell r="C436">
            <v>1183.31</v>
          </cell>
        </row>
        <row r="437">
          <cell r="A437" t="str">
            <v>8FL281304 5120　L=1183　クリア26</v>
          </cell>
          <cell r="C437">
            <v>1183.46</v>
          </cell>
        </row>
        <row r="438">
          <cell r="A438" t="str">
            <v>8FL281304 5120　L=1183　クリア28</v>
          </cell>
          <cell r="C438">
            <v>4483.62</v>
          </cell>
        </row>
        <row r="439">
          <cell r="A439" t="str">
            <v>8FL281304 5120　L=1183　クリア30</v>
          </cell>
          <cell r="C439">
            <v>1183.77</v>
          </cell>
        </row>
        <row r="440">
          <cell r="A440" t="str">
            <v>8FL281304 5120　L=1183　クリア32</v>
          </cell>
          <cell r="C440">
            <v>1183.92</v>
          </cell>
        </row>
        <row r="441">
          <cell r="A441" t="str">
            <v>8FL281304 6120　L=1478　クリア04</v>
          </cell>
          <cell r="C441">
            <v>1476.46</v>
          </cell>
        </row>
        <row r="442">
          <cell r="A442" t="str">
            <v>8FL281304 6120　L=1478　クリア06</v>
          </cell>
          <cell r="C442">
            <v>1476.66</v>
          </cell>
        </row>
        <row r="443">
          <cell r="A443" t="str">
            <v>8FL281304 6120　L=1478　クリア08</v>
          </cell>
          <cell r="C443">
            <v>1476.85</v>
          </cell>
        </row>
        <row r="444">
          <cell r="A444" t="str">
            <v>8FL281304 6120　L=1478　クリア10</v>
          </cell>
          <cell r="C444">
            <v>1477.04</v>
          </cell>
        </row>
        <row r="445">
          <cell r="A445" t="str">
            <v>8FL281304 6120　L=1478　クリア12</v>
          </cell>
          <cell r="C445">
            <v>1477.23</v>
          </cell>
        </row>
        <row r="446">
          <cell r="A446" t="str">
            <v>8FL281304 6120　L=1478　クリア14</v>
          </cell>
          <cell r="C446">
            <v>1477.42</v>
          </cell>
        </row>
        <row r="447">
          <cell r="A447" t="str">
            <v>8FL281304 6120　L=1478　クリア16</v>
          </cell>
          <cell r="C447">
            <v>1477.61</v>
          </cell>
        </row>
        <row r="448">
          <cell r="A448" t="str">
            <v>8FL281304 6120　L=1478　クリア18</v>
          </cell>
          <cell r="C448">
            <v>1477.81</v>
          </cell>
        </row>
        <row r="449">
          <cell r="A449" t="str">
            <v>8FL281304 6120　L=1478　クリア20</v>
          </cell>
          <cell r="C449">
            <v>1478</v>
          </cell>
        </row>
        <row r="450">
          <cell r="A450" t="str">
            <v>8FL281304 6120　L=1478　クリア22</v>
          </cell>
          <cell r="C450">
            <v>1478.19</v>
          </cell>
        </row>
        <row r="451">
          <cell r="A451" t="str">
            <v>8FL281304 6120　L=1478　クリア24</v>
          </cell>
          <cell r="C451">
            <v>1478.38</v>
          </cell>
        </row>
        <row r="452">
          <cell r="A452" t="str">
            <v>8FL281304 6120　L=1478　クリア26</v>
          </cell>
          <cell r="C452">
            <v>1478.58</v>
          </cell>
        </row>
        <row r="453">
          <cell r="A453" t="str">
            <v>8FL281304 6120　L=1478　クリア28</v>
          </cell>
          <cell r="C453">
            <v>1478.77</v>
          </cell>
        </row>
        <row r="454">
          <cell r="A454" t="str">
            <v>8FL281304 6120　L=1478　クリア30</v>
          </cell>
          <cell r="C454">
            <v>1478.96</v>
          </cell>
        </row>
        <row r="455">
          <cell r="A455" t="str">
            <v>8FL281304 6120　L=1478　クリア32</v>
          </cell>
          <cell r="C455">
            <v>1479.15</v>
          </cell>
        </row>
        <row r="456">
          <cell r="A456" t="str">
            <v>ハーネスガイド部材　L=275</v>
          </cell>
          <cell r="C456">
            <v>276</v>
          </cell>
        </row>
        <row r="457">
          <cell r="A457" t="str">
            <v>MDP-689B L1　L=1608</v>
          </cell>
          <cell r="C457">
            <v>1609</v>
          </cell>
        </row>
        <row r="458">
          <cell r="A458" t="str">
            <v>MDP-689B L2　L=1662</v>
          </cell>
          <cell r="C458">
            <v>1663</v>
          </cell>
        </row>
        <row r="459">
          <cell r="A459" t="str">
            <v>MDP-689B L4　L=2574</v>
          </cell>
          <cell r="C459">
            <v>2575</v>
          </cell>
        </row>
        <row r="460">
          <cell r="A460" t="str">
            <v>MDPQ-689B L1　L=1608</v>
          </cell>
          <cell r="C460">
            <v>1609</v>
          </cell>
        </row>
        <row r="461">
          <cell r="A461" t="str">
            <v>MDPQ-689B L2　L=1662</v>
          </cell>
          <cell r="C461">
            <v>1663</v>
          </cell>
        </row>
        <row r="462">
          <cell r="A462" t="str">
            <v>MDPQ-689B L4 　L=2574　　</v>
          </cell>
          <cell r="C462">
            <v>2575</v>
          </cell>
        </row>
        <row r="463">
          <cell r="A463" t="str">
            <v>MDP-688A L1　L=1604</v>
          </cell>
          <cell r="C463">
            <v>1605</v>
          </cell>
        </row>
        <row r="464">
          <cell r="A464" t="str">
            <v>MDP-688A L2　L=1658</v>
          </cell>
          <cell r="C464">
            <v>1659</v>
          </cell>
        </row>
        <row r="465">
          <cell r="A465" t="str">
            <v>MDP-688A L4　L=2570</v>
          </cell>
          <cell r="C465">
            <v>2571</v>
          </cell>
        </row>
        <row r="466">
          <cell r="A466" t="str">
            <v>MDPQ-688A L1　L=1604</v>
          </cell>
          <cell r="C466">
            <v>1605</v>
          </cell>
        </row>
        <row r="467">
          <cell r="A467" t="str">
            <v>MDPQ-688A L2　L=1658</v>
          </cell>
          <cell r="C467">
            <v>1659</v>
          </cell>
        </row>
        <row r="468">
          <cell r="A468" t="str">
            <v>MDPQ-688A L4　L=2570</v>
          </cell>
          <cell r="C468">
            <v>2571</v>
          </cell>
        </row>
        <row r="469">
          <cell r="A469" t="str">
            <v>SRG-60D　L=586</v>
          </cell>
          <cell r="C469">
            <v>585.5</v>
          </cell>
        </row>
        <row r="470">
          <cell r="A470" t="str">
            <v>SRG-90D　L=860</v>
          </cell>
          <cell r="C470">
            <v>859.5</v>
          </cell>
        </row>
        <row r="471">
          <cell r="A471" t="str">
            <v>SRG-60U　L=586</v>
          </cell>
          <cell r="C471">
            <v>585.5</v>
          </cell>
        </row>
        <row r="472">
          <cell r="A472" t="str">
            <v>SRG-90U　L=860</v>
          </cell>
          <cell r="C472">
            <v>859.5</v>
          </cell>
        </row>
        <row r="473">
          <cell r="A473" t="str">
            <v>ﾃﾝｹﾝｺｳ(上)　L=300</v>
          </cell>
          <cell r="C473">
            <v>299.5</v>
          </cell>
        </row>
        <row r="474">
          <cell r="A474" t="str">
            <v>ﾃﾝｹﾝｺｳ(上)　L=498</v>
          </cell>
          <cell r="C474">
            <v>497.5</v>
          </cell>
        </row>
        <row r="475">
          <cell r="A475" t="str">
            <v>ﾃﾝｹﾝｺｳ(上)　L=1168</v>
          </cell>
          <cell r="C475">
            <v>1167.5</v>
          </cell>
        </row>
        <row r="476">
          <cell r="A476" t="str">
            <v>ﾃﾝｹﾝｺｳ(下)　L=498</v>
          </cell>
          <cell r="C476">
            <v>497.5</v>
          </cell>
        </row>
        <row r="477">
          <cell r="A477" t="str">
            <v>L型ｱﾝｸﾞﾙ　WT-28B　L=420</v>
          </cell>
          <cell r="C477">
            <v>419</v>
          </cell>
        </row>
        <row r="478">
          <cell r="A478" t="str">
            <v>L型ｱﾝｸﾞﾙ　P-VH-42D　L=520</v>
          </cell>
          <cell r="C478">
            <v>519</v>
          </cell>
        </row>
        <row r="479">
          <cell r="A479" t="str">
            <v>L型ｱﾝｸﾞﾙ　P-VH-C　L=530</v>
          </cell>
          <cell r="C479">
            <v>529</v>
          </cell>
        </row>
        <row r="480">
          <cell r="A480" t="str">
            <v>L型ｱﾝｸﾞﾙ　WT-42B　L=590</v>
          </cell>
          <cell r="C480">
            <v>589</v>
          </cell>
        </row>
        <row r="481">
          <cell r="A481" t="str">
            <v>L型ｱﾝｸﾞﾙ　P-VH-E　L=600</v>
          </cell>
          <cell r="C481">
            <v>599</v>
          </cell>
        </row>
        <row r="482">
          <cell r="A482" t="str">
            <v>L型ｱﾝｸﾞﾙ　P-VH-56D　L=690</v>
          </cell>
          <cell r="C482">
            <v>689</v>
          </cell>
        </row>
        <row r="483">
          <cell r="A483" t="str">
            <v>L型ｱﾝｸﾞﾙ　WT-56B　L=760　　</v>
          </cell>
          <cell r="C483">
            <v>759</v>
          </cell>
        </row>
        <row r="484">
          <cell r="A484" t="str">
            <v>L型ｱﾝｸﾞﾙ　P-VH-A　L=1018</v>
          </cell>
          <cell r="C484">
            <v>1017</v>
          </cell>
        </row>
        <row r="485">
          <cell r="A485" t="str">
            <v>WD-615 BR　L=707</v>
          </cell>
          <cell r="C485">
            <v>707</v>
          </cell>
        </row>
        <row r="486">
          <cell r="A486" t="str">
            <v>WD-615 BR　L=711</v>
          </cell>
          <cell r="C486">
            <v>711</v>
          </cell>
        </row>
        <row r="487">
          <cell r="A487" t="str">
            <v>WD-615 BR　L=734</v>
          </cell>
          <cell r="C487">
            <v>734</v>
          </cell>
        </row>
        <row r="488">
          <cell r="A488" t="str">
            <v>WD-615 BR　L=787</v>
          </cell>
          <cell r="C488">
            <v>787</v>
          </cell>
        </row>
        <row r="489">
          <cell r="A489" t="str">
            <v>WD-615 BR　L=836</v>
          </cell>
          <cell r="C489">
            <v>836</v>
          </cell>
        </row>
        <row r="490">
          <cell r="A490" t="str">
            <v>GA-770 BK(BD)　L=730.5</v>
          </cell>
          <cell r="C490">
            <v>730</v>
          </cell>
        </row>
        <row r="491">
          <cell r="A491" t="str">
            <v>GA-770 BK(BD)　L=745.5</v>
          </cell>
          <cell r="C491">
            <v>745</v>
          </cell>
        </row>
        <row r="492">
          <cell r="A492" t="str">
            <v>GA-770 BR　L=730.5</v>
          </cell>
          <cell r="C492">
            <v>730</v>
          </cell>
        </row>
        <row r="493">
          <cell r="A493" t="str">
            <v>GA-770 BR　L=745.5</v>
          </cell>
          <cell r="C493">
            <v>745</v>
          </cell>
        </row>
        <row r="494">
          <cell r="A494" t="str">
            <v>WD3104A KC L=409</v>
          </cell>
          <cell r="C494">
            <v>409</v>
          </cell>
        </row>
        <row r="495">
          <cell r="A495" t="str">
            <v>WD3104A KC　L=500.5</v>
          </cell>
          <cell r="C495">
            <v>500.5</v>
          </cell>
        </row>
        <row r="496">
          <cell r="A496" t="str">
            <v>WD3104A BK　L=409</v>
          </cell>
          <cell r="C496">
            <v>409</v>
          </cell>
        </row>
        <row r="497">
          <cell r="A497" t="str">
            <v>WD3104A BR(BK)　L=500.5</v>
          </cell>
          <cell r="C497">
            <v>500.5</v>
          </cell>
        </row>
        <row r="498">
          <cell r="A498" t="str">
            <v>WD3104A BR(BK)　L=900</v>
          </cell>
          <cell r="C498">
            <v>900</v>
          </cell>
        </row>
        <row r="499">
          <cell r="A499" t="str">
            <v>991HDP　198</v>
          </cell>
          <cell r="C499">
            <v>198</v>
          </cell>
        </row>
        <row r="500">
          <cell r="A500" t="str">
            <v>991GPK　264</v>
          </cell>
          <cell r="C500">
            <v>264</v>
          </cell>
        </row>
        <row r="501">
          <cell r="A501" t="str">
            <v>991GPK　268</v>
          </cell>
          <cell r="C501">
            <v>268</v>
          </cell>
        </row>
        <row r="502">
          <cell r="A502" t="str">
            <v>991GPK　414</v>
          </cell>
          <cell r="C502">
            <v>414</v>
          </cell>
        </row>
        <row r="503">
          <cell r="A503" t="str">
            <v>991GPK　418</v>
          </cell>
          <cell r="C503">
            <v>418</v>
          </cell>
        </row>
        <row r="504">
          <cell r="A504" t="str">
            <v>991GPK　565</v>
          </cell>
          <cell r="C504">
            <v>565</v>
          </cell>
        </row>
        <row r="505">
          <cell r="A505" t="str">
            <v>991GPK　568</v>
          </cell>
          <cell r="C505">
            <v>568</v>
          </cell>
        </row>
        <row r="506">
          <cell r="A506" t="str">
            <v>991GPK　715</v>
          </cell>
          <cell r="C506">
            <v>715</v>
          </cell>
        </row>
        <row r="507">
          <cell r="A507" t="str">
            <v>991GPK　718</v>
          </cell>
          <cell r="C507">
            <v>718</v>
          </cell>
        </row>
        <row r="508">
          <cell r="A508" t="str">
            <v>991GPK　865</v>
          </cell>
          <cell r="C508">
            <v>865</v>
          </cell>
        </row>
        <row r="509">
          <cell r="A509" t="str">
            <v>991GPK　868</v>
          </cell>
          <cell r="C509">
            <v>868</v>
          </cell>
        </row>
        <row r="510">
          <cell r="A510" t="str">
            <v>991GPK　1015</v>
          </cell>
          <cell r="C510">
            <v>1015</v>
          </cell>
        </row>
        <row r="511">
          <cell r="A511" t="str">
            <v>991GPK　1018</v>
          </cell>
          <cell r="C511">
            <v>1018</v>
          </cell>
        </row>
        <row r="512">
          <cell r="A512" t="str">
            <v>752GPSB　265</v>
          </cell>
          <cell r="C512">
            <v>264.5</v>
          </cell>
        </row>
        <row r="513">
          <cell r="A513" t="str">
            <v>752GPSB　415</v>
          </cell>
          <cell r="C513">
            <v>414.5</v>
          </cell>
        </row>
        <row r="514">
          <cell r="A514" t="str">
            <v>752GPSB　565</v>
          </cell>
          <cell r="C514">
            <v>564.5</v>
          </cell>
        </row>
        <row r="515">
          <cell r="A515" t="str">
            <v>752GPSB　665</v>
          </cell>
          <cell r="C515">
            <v>664</v>
          </cell>
        </row>
        <row r="516">
          <cell r="A516" t="str">
            <v>752GPSB　715</v>
          </cell>
          <cell r="C516">
            <v>714.5</v>
          </cell>
        </row>
        <row r="517">
          <cell r="A517" t="str">
            <v>752GPSB　865</v>
          </cell>
          <cell r="C517">
            <v>864.5</v>
          </cell>
        </row>
        <row r="518">
          <cell r="A518" t="str">
            <v>002EGAW　519</v>
          </cell>
          <cell r="C518">
            <v>518.5</v>
          </cell>
        </row>
        <row r="519">
          <cell r="A519" t="str">
            <v>002EGAW　631</v>
          </cell>
          <cell r="C519">
            <v>630.5</v>
          </cell>
        </row>
        <row r="520">
          <cell r="A520" t="str">
            <v>001EGAW　415</v>
          </cell>
          <cell r="C520">
            <v>414.5</v>
          </cell>
        </row>
        <row r="521">
          <cell r="A521" t="str">
            <v>001EGAW　508</v>
          </cell>
          <cell r="C521">
            <v>507.5</v>
          </cell>
        </row>
        <row r="522">
          <cell r="A522" t="str">
            <v>001EGAW　565</v>
          </cell>
          <cell r="C522">
            <v>564.5</v>
          </cell>
        </row>
        <row r="523">
          <cell r="A523" t="str">
            <v>001EGAW　633</v>
          </cell>
          <cell r="C523">
            <v>632.5</v>
          </cell>
        </row>
        <row r="524">
          <cell r="A524" t="str">
            <v>001EGAW　652</v>
          </cell>
          <cell r="C524">
            <v>651.5</v>
          </cell>
        </row>
        <row r="525">
          <cell r="A525" t="str">
            <v>001EGAW　665</v>
          </cell>
          <cell r="C525">
            <v>664.5</v>
          </cell>
        </row>
        <row r="526">
          <cell r="A526" t="str">
            <v>001EGAW　715</v>
          </cell>
          <cell r="C526">
            <v>714.5</v>
          </cell>
        </row>
        <row r="527">
          <cell r="A527" t="str">
            <v>照明ｶﾊﾞｰS15　L=55004</v>
          </cell>
          <cell r="C527">
            <v>549.4</v>
          </cell>
        </row>
        <row r="528">
          <cell r="A528" t="str">
            <v>照明ｶﾊﾞｰS15　L=55006</v>
          </cell>
          <cell r="C528">
            <v>549.5</v>
          </cell>
        </row>
        <row r="529">
          <cell r="A529" t="str">
            <v>照明ｶﾊﾞｰS15　L=55008</v>
          </cell>
          <cell r="C529">
            <v>549.6</v>
          </cell>
        </row>
        <row r="530">
          <cell r="A530" t="str">
            <v>照明ｶﾊﾞｰS15　L=55010</v>
          </cell>
          <cell r="C530">
            <v>549.6</v>
          </cell>
        </row>
        <row r="531">
          <cell r="A531" t="str">
            <v>照明ｶﾊﾞｰS15　L=55012</v>
          </cell>
          <cell r="C531">
            <v>549.70000000000005</v>
          </cell>
        </row>
        <row r="532">
          <cell r="A532" t="str">
            <v>照明ｶﾊﾞｰS15　L=55014</v>
          </cell>
          <cell r="C532">
            <v>549.79999999999995</v>
          </cell>
        </row>
        <row r="533">
          <cell r="A533" t="str">
            <v>照明ｶﾊﾞｰS15　L=55016</v>
          </cell>
          <cell r="C533">
            <v>549.9</v>
          </cell>
        </row>
        <row r="534">
          <cell r="A534" t="str">
            <v>照明ｶﾊﾞｰS15　L=55018</v>
          </cell>
          <cell r="C534">
            <v>549.9</v>
          </cell>
        </row>
        <row r="535">
          <cell r="A535" t="str">
            <v>照明ｶﾊﾞｰS15　L=55020</v>
          </cell>
          <cell r="C535">
            <v>550</v>
          </cell>
        </row>
        <row r="536">
          <cell r="A536" t="str">
            <v>照明ｶﾊﾞｰS15　L=55022</v>
          </cell>
          <cell r="C536">
            <v>550.1</v>
          </cell>
        </row>
        <row r="537">
          <cell r="A537" t="str">
            <v>照明ｶﾊﾞｰS15　L=55024</v>
          </cell>
          <cell r="C537">
            <v>550.1</v>
          </cell>
        </row>
        <row r="538">
          <cell r="A538" t="str">
            <v>照明ｶﾊﾞｰS15　L=55026</v>
          </cell>
          <cell r="C538">
            <v>550.20000000000005</v>
          </cell>
        </row>
        <row r="539">
          <cell r="A539" t="str">
            <v>照明ｶﾊﾞｰS15　L=55028</v>
          </cell>
          <cell r="C539">
            <v>550.29999999999995</v>
          </cell>
        </row>
        <row r="540">
          <cell r="A540" t="str">
            <v>照明ｶﾊﾞｰS15　L=55030</v>
          </cell>
          <cell r="C540">
            <v>550.4</v>
          </cell>
        </row>
        <row r="541">
          <cell r="A541" t="str">
            <v>照明ｶﾊﾞｰS15　L=55032</v>
          </cell>
          <cell r="C541">
            <v>550.4</v>
          </cell>
        </row>
        <row r="542">
          <cell r="A542" t="str">
            <v>照明ｶﾊﾞｰS　L=560.404</v>
          </cell>
          <cell r="C542">
            <v>559.79999999999995</v>
          </cell>
        </row>
        <row r="543">
          <cell r="A543" t="str">
            <v>照明ｶﾊﾞｰS　L=560.406</v>
          </cell>
          <cell r="C543">
            <v>559.9</v>
          </cell>
        </row>
        <row r="544">
          <cell r="A544" t="str">
            <v>照明ｶﾊﾞｰS　L=560.408</v>
          </cell>
          <cell r="C544">
            <v>560</v>
          </cell>
        </row>
        <row r="545">
          <cell r="A545" t="str">
            <v>照明ｶﾊﾞｰS　L=560.410</v>
          </cell>
          <cell r="C545">
            <v>560</v>
          </cell>
        </row>
        <row r="546">
          <cell r="A546" t="str">
            <v>照明ｶﾊﾞｰS　L=560.412</v>
          </cell>
          <cell r="C546">
            <v>560.1</v>
          </cell>
        </row>
        <row r="547">
          <cell r="A547" t="str">
            <v>照明ｶﾊﾞｰS　L=560.414</v>
          </cell>
          <cell r="C547">
            <v>560.20000000000005</v>
          </cell>
        </row>
        <row r="548">
          <cell r="A548" t="str">
            <v>照明ｶﾊﾞｰS　L=560.416</v>
          </cell>
          <cell r="C548">
            <v>560.29999999999995</v>
          </cell>
        </row>
        <row r="549">
          <cell r="A549" t="str">
            <v>照明ｶﾊﾞｰS　L=560.418</v>
          </cell>
          <cell r="C549">
            <v>560.29999999999995</v>
          </cell>
        </row>
        <row r="550">
          <cell r="A550" t="str">
            <v>照明ｶﾊﾞｰS　L=560.420</v>
          </cell>
          <cell r="C550">
            <v>560.4</v>
          </cell>
        </row>
        <row r="551">
          <cell r="A551" t="str">
            <v>照明ｶﾊﾞｰS　L=560.422</v>
          </cell>
          <cell r="C551">
            <v>560.5</v>
          </cell>
        </row>
        <row r="552">
          <cell r="A552" t="str">
            <v>照明ｶﾊﾞｰS　L=560.424</v>
          </cell>
          <cell r="C552">
            <v>560.5</v>
          </cell>
        </row>
        <row r="553">
          <cell r="A553" t="str">
            <v>照明ｶﾊﾞｰS　L=560.426</v>
          </cell>
          <cell r="C553">
            <v>560.6</v>
          </cell>
        </row>
        <row r="554">
          <cell r="A554" t="str">
            <v>照明ｶﾊﾞｰS　L=560.428</v>
          </cell>
          <cell r="C554">
            <v>560.70000000000005</v>
          </cell>
        </row>
        <row r="555">
          <cell r="A555" t="str">
            <v>照明ｶﾊﾞｰS　L=560.430</v>
          </cell>
          <cell r="C555">
            <v>560.79999999999995</v>
          </cell>
        </row>
        <row r="556">
          <cell r="A556" t="str">
            <v>照明ｶﾊﾞｰS　L=560.432</v>
          </cell>
          <cell r="C556">
            <v>560.79999999999995</v>
          </cell>
        </row>
        <row r="557">
          <cell r="A557" t="str">
            <v>照明ｶﾊﾞｰL15　L=82004</v>
          </cell>
          <cell r="C557">
            <v>818.1</v>
          </cell>
        </row>
        <row r="558">
          <cell r="A558" t="str">
            <v>照明ｶﾊﾞｰL15　L=82006</v>
          </cell>
          <cell r="C558">
            <v>819.3</v>
          </cell>
        </row>
        <row r="559">
          <cell r="A559" t="str">
            <v>照明ｶﾊﾞｰL15　L=82008</v>
          </cell>
          <cell r="C559">
            <v>819.4</v>
          </cell>
        </row>
        <row r="560">
          <cell r="A560" t="str">
            <v>照明ｶﾊﾞｰL15　L=82010</v>
          </cell>
          <cell r="C560">
            <v>819.5</v>
          </cell>
        </row>
        <row r="561">
          <cell r="A561" t="str">
            <v>照明ｶﾊﾞｰL15　L=82012</v>
          </cell>
          <cell r="C561">
            <v>819.6</v>
          </cell>
        </row>
        <row r="562">
          <cell r="A562" t="str">
            <v>照明ｶﾊﾞｰL15　L=82014</v>
          </cell>
          <cell r="C562">
            <v>819.7</v>
          </cell>
        </row>
        <row r="563">
          <cell r="A563" t="str">
            <v>照明ｶﾊﾞｰL15　L=82016</v>
          </cell>
          <cell r="C563">
            <v>819.8</v>
          </cell>
        </row>
        <row r="564">
          <cell r="A564" t="str">
            <v>照明ｶﾊﾞｰL15　L=82018</v>
          </cell>
          <cell r="C564">
            <v>819.9</v>
          </cell>
        </row>
        <row r="565">
          <cell r="A565" t="str">
            <v>照明ｶﾊﾞｰL15　L=82020</v>
          </cell>
          <cell r="C565">
            <v>820</v>
          </cell>
        </row>
        <row r="566">
          <cell r="A566" t="str">
            <v>照明ｶﾊﾞｰL15　L=82022</v>
          </cell>
          <cell r="C566">
            <v>820.1</v>
          </cell>
        </row>
        <row r="567">
          <cell r="A567" t="str">
            <v>照明ｶﾊﾞｰL15　L=82024</v>
          </cell>
          <cell r="C567">
            <v>820.2</v>
          </cell>
        </row>
        <row r="568">
          <cell r="A568" t="str">
            <v>照明ｶﾊﾞｰL15　L=82026</v>
          </cell>
          <cell r="C568">
            <v>820.3</v>
          </cell>
        </row>
        <row r="569">
          <cell r="A569" t="str">
            <v>照明ｶﾊﾞｰL15　L=82028</v>
          </cell>
          <cell r="C569">
            <v>820.4</v>
          </cell>
        </row>
        <row r="570">
          <cell r="A570" t="str">
            <v>照明ｶﾊﾞｰL15　L=82030</v>
          </cell>
          <cell r="C570">
            <v>820.5</v>
          </cell>
        </row>
        <row r="571">
          <cell r="A571" t="str">
            <v>照明ｶﾊﾞｰL15　L=82032</v>
          </cell>
          <cell r="C571">
            <v>820.6</v>
          </cell>
        </row>
        <row r="572">
          <cell r="A572" t="str">
            <v>照明ｶﾊﾞｰL　L=830.404</v>
          </cell>
          <cell r="C572">
            <v>829.5</v>
          </cell>
        </row>
        <row r="573">
          <cell r="A573" t="str">
            <v>照明ｶﾊﾞｰL　L=830.406</v>
          </cell>
          <cell r="C573">
            <v>829.6</v>
          </cell>
        </row>
        <row r="574">
          <cell r="A574" t="str">
            <v>照明ｶﾊﾞｰL　L=830.408</v>
          </cell>
          <cell r="C574">
            <v>829.8</v>
          </cell>
        </row>
        <row r="575">
          <cell r="A575" t="str">
            <v>照明ｶﾊﾞｰL　L=830.410</v>
          </cell>
          <cell r="C575">
            <v>829.9</v>
          </cell>
        </row>
        <row r="576">
          <cell r="A576" t="str">
            <v>照明ｶﾊﾞｰL　L=830.412</v>
          </cell>
          <cell r="C576">
            <v>830</v>
          </cell>
        </row>
        <row r="577">
          <cell r="A577" t="str">
            <v>照明ｶﾊﾞｰL　L=830.414</v>
          </cell>
          <cell r="C577">
            <v>830.1</v>
          </cell>
        </row>
        <row r="578">
          <cell r="A578" t="str">
            <v>照明ｶﾊﾞｰL　L=830.416</v>
          </cell>
          <cell r="C578">
            <v>830.2</v>
          </cell>
        </row>
        <row r="579">
          <cell r="A579" t="str">
            <v>照明ｶﾊﾞｰL　L=830.418</v>
          </cell>
          <cell r="C579">
            <v>830.3</v>
          </cell>
        </row>
        <row r="580">
          <cell r="A580" t="str">
            <v>照明ｶﾊﾞｰL　L=830.420</v>
          </cell>
          <cell r="C580">
            <v>830.4</v>
          </cell>
        </row>
        <row r="581">
          <cell r="A581" t="str">
            <v>照明ｶﾊﾞｰL　L=830.422</v>
          </cell>
          <cell r="C581">
            <v>830.5</v>
          </cell>
        </row>
        <row r="582">
          <cell r="A582" t="str">
            <v>照明ｶﾊﾞｰL　L=830.424</v>
          </cell>
          <cell r="C582">
            <v>830.6</v>
          </cell>
        </row>
        <row r="583">
          <cell r="A583" t="str">
            <v>照明ｶﾊﾞｰL　L=830.426</v>
          </cell>
          <cell r="C583">
            <v>830.7</v>
          </cell>
        </row>
        <row r="584">
          <cell r="A584" t="str">
            <v>照明ｶﾊﾞｰL　L=830.428</v>
          </cell>
          <cell r="C584">
            <v>830.8</v>
          </cell>
        </row>
        <row r="585">
          <cell r="A585" t="str">
            <v>照明ｶﾊﾞｰL　L=830.430</v>
          </cell>
          <cell r="C585">
            <v>830.9</v>
          </cell>
        </row>
        <row r="586">
          <cell r="A586" t="str">
            <v>照明ｶﾊﾞｰL　L=830.432</v>
          </cell>
          <cell r="C586">
            <v>831</v>
          </cell>
        </row>
        <row r="587">
          <cell r="A587" t="str">
            <v>051GPW　269(ｽﾀ)　04</v>
          </cell>
          <cell r="C587">
            <v>269.2</v>
          </cell>
        </row>
        <row r="588">
          <cell r="A588" t="str">
            <v>051GPW　269(ｽﾀ)　06</v>
          </cell>
          <cell r="C588">
            <v>269.2</v>
          </cell>
        </row>
        <row r="589">
          <cell r="A589" t="str">
            <v>051GPW　269(ｽﾀ)　08</v>
          </cell>
          <cell r="C589">
            <v>269.3</v>
          </cell>
        </row>
        <row r="590">
          <cell r="A590" t="str">
            <v>051GPW　269(ｽﾀ)　10</v>
          </cell>
          <cell r="C590">
            <v>269.3</v>
          </cell>
        </row>
        <row r="591">
          <cell r="A591" t="str">
            <v>051GPW　269(ｽﾀ)　12</v>
          </cell>
          <cell r="C591">
            <v>269.3</v>
          </cell>
        </row>
        <row r="592">
          <cell r="A592" t="str">
            <v>051GPW　269(ｽﾀ)　14</v>
          </cell>
          <cell r="C592">
            <v>269.39999999999998</v>
          </cell>
        </row>
        <row r="593">
          <cell r="A593" t="str">
            <v>051GPW　269(ｽﾀ)　16</v>
          </cell>
          <cell r="C593">
            <v>269.39999999999998</v>
          </cell>
        </row>
        <row r="594">
          <cell r="A594" t="str">
            <v>051GPW　269(ｽﾀ)　18</v>
          </cell>
          <cell r="C594">
            <v>269.5</v>
          </cell>
        </row>
        <row r="595">
          <cell r="A595" t="str">
            <v>051GPW　269(ｽﾀ)　20</v>
          </cell>
          <cell r="C595">
            <v>269.5</v>
          </cell>
        </row>
        <row r="596">
          <cell r="A596" t="str">
            <v>051GPW　269(ｽﾀ)　22</v>
          </cell>
          <cell r="C596">
            <v>269.5</v>
          </cell>
        </row>
        <row r="597">
          <cell r="A597" t="str">
            <v>051GPW　269(ｽﾀ)　24</v>
          </cell>
          <cell r="C597">
            <v>269.60000000000002</v>
          </cell>
        </row>
        <row r="598">
          <cell r="A598" t="str">
            <v>051GPW　269(ｽﾀ)　26</v>
          </cell>
          <cell r="C598">
            <v>269.60000000000002</v>
          </cell>
        </row>
        <row r="599">
          <cell r="A599" t="str">
            <v>051GPW　269(ｽﾀ)　28</v>
          </cell>
          <cell r="C599">
            <v>269.7</v>
          </cell>
        </row>
        <row r="600">
          <cell r="A600" t="str">
            <v>051GPW　269(ｽﾀ)　30</v>
          </cell>
          <cell r="C600">
            <v>269.7</v>
          </cell>
        </row>
        <row r="601">
          <cell r="A601" t="str">
            <v>051GPW　269(ｽﾀ)　32</v>
          </cell>
          <cell r="C601">
            <v>269.7</v>
          </cell>
        </row>
        <row r="602">
          <cell r="A602" t="str">
            <v>051GPW　419(ｽﾀ)04</v>
          </cell>
          <cell r="C602">
            <v>419</v>
          </cell>
        </row>
        <row r="603">
          <cell r="A603" t="str">
            <v>051GPW　419(ｽﾀ)06</v>
          </cell>
          <cell r="C603">
            <v>419.1</v>
          </cell>
        </row>
        <row r="604">
          <cell r="A604" t="str">
            <v>051GPW　419(ｽﾀ)08</v>
          </cell>
          <cell r="C604">
            <v>419.1</v>
          </cell>
        </row>
        <row r="605">
          <cell r="A605" t="str">
            <v>051GPW　419(ｽﾀ)10</v>
          </cell>
          <cell r="C605">
            <v>419.2</v>
          </cell>
        </row>
        <row r="606">
          <cell r="A606" t="str">
            <v>051GPW　419(ｽﾀ)12</v>
          </cell>
          <cell r="C606">
            <v>419.3</v>
          </cell>
        </row>
        <row r="607">
          <cell r="A607" t="str">
            <v>051GPW　419(ｽﾀ)14</v>
          </cell>
          <cell r="C607">
            <v>419.3</v>
          </cell>
        </row>
        <row r="608">
          <cell r="A608" t="str">
            <v>051GPW　419(ｽﾀ)16</v>
          </cell>
          <cell r="C608">
            <v>419.4</v>
          </cell>
        </row>
        <row r="609">
          <cell r="A609" t="str">
            <v>051GPW　419(ｽﾀ)18</v>
          </cell>
          <cell r="C609">
            <v>419.4</v>
          </cell>
        </row>
        <row r="610">
          <cell r="A610" t="str">
            <v>051GPW　419(ｽﾀ)20</v>
          </cell>
          <cell r="C610">
            <v>419.5</v>
          </cell>
        </row>
        <row r="611">
          <cell r="A611" t="str">
            <v>051GPW　419(ｽﾀ)22</v>
          </cell>
          <cell r="C611">
            <v>419.6</v>
          </cell>
        </row>
        <row r="612">
          <cell r="A612" t="str">
            <v>051GPW　419(ｽﾀ)24</v>
          </cell>
          <cell r="C612">
            <v>419.6</v>
          </cell>
        </row>
        <row r="613">
          <cell r="A613" t="str">
            <v>051GPW　419(ｽﾀ)26</v>
          </cell>
          <cell r="C613">
            <v>419.7</v>
          </cell>
        </row>
        <row r="614">
          <cell r="A614" t="str">
            <v>051GPW　419(ｽﾀ)28</v>
          </cell>
          <cell r="C614">
            <v>419.7</v>
          </cell>
        </row>
        <row r="615">
          <cell r="A615" t="str">
            <v>051GPW　419(ｽﾀ)30</v>
          </cell>
          <cell r="C615">
            <v>419.8</v>
          </cell>
        </row>
        <row r="616">
          <cell r="A616" t="str">
            <v>051GPW　419(ｽﾀ)32</v>
          </cell>
          <cell r="C616">
            <v>419.9</v>
          </cell>
        </row>
        <row r="617">
          <cell r="A617" t="str">
            <v>051GPW　567(ｽﾀ)04</v>
          </cell>
          <cell r="C617">
            <v>566.79999999999995</v>
          </cell>
        </row>
        <row r="618">
          <cell r="A618" t="str">
            <v>051GPW　567(ｽﾀ)06</v>
          </cell>
          <cell r="C618">
            <v>566.9</v>
          </cell>
        </row>
        <row r="619">
          <cell r="A619" t="str">
            <v>051GPW　567(ｽﾀ)08</v>
          </cell>
          <cell r="C619">
            <v>567</v>
          </cell>
        </row>
        <row r="620">
          <cell r="A620" t="str">
            <v>051GPW　567(ｽﾀ)10</v>
          </cell>
          <cell r="C620">
            <v>567.1</v>
          </cell>
        </row>
        <row r="621">
          <cell r="A621" t="str">
            <v>051GPW　567(ｽﾀ)12</v>
          </cell>
          <cell r="C621">
            <v>567.20000000000005</v>
          </cell>
        </row>
        <row r="622">
          <cell r="A622" t="str">
            <v>051GPW　567(ｽﾀ)14</v>
          </cell>
          <cell r="C622">
            <v>567.20000000000005</v>
          </cell>
        </row>
        <row r="623">
          <cell r="A623" t="str">
            <v>051GPW　567(ｽﾀ)16</v>
          </cell>
          <cell r="C623">
            <v>567.29999999999995</v>
          </cell>
        </row>
        <row r="624">
          <cell r="A624" t="str">
            <v>051GPW　567(ｽﾀ)18</v>
          </cell>
          <cell r="C624">
            <v>567.4</v>
          </cell>
        </row>
        <row r="625">
          <cell r="A625" t="str">
            <v>051GPW　567(ｽﾀ)20</v>
          </cell>
          <cell r="C625">
            <v>567.5</v>
          </cell>
        </row>
        <row r="626">
          <cell r="A626" t="str">
            <v>051GPW　567(ｽﾀ)22</v>
          </cell>
          <cell r="C626">
            <v>567.6</v>
          </cell>
        </row>
        <row r="627">
          <cell r="A627" t="str">
            <v>051GPW　567(ｽﾀ)24</v>
          </cell>
          <cell r="C627">
            <v>567.70000000000005</v>
          </cell>
        </row>
        <row r="628">
          <cell r="A628" t="str">
            <v>051GPW　567(ｽﾀ)26</v>
          </cell>
          <cell r="C628">
            <v>567.79999999999995</v>
          </cell>
        </row>
        <row r="629">
          <cell r="A629" t="str">
            <v>051GPW　567(ｽﾀ)28</v>
          </cell>
          <cell r="C629">
            <v>567.79999999999995</v>
          </cell>
        </row>
        <row r="630">
          <cell r="A630" t="str">
            <v>051GPW　567(ｽﾀ)30</v>
          </cell>
          <cell r="C630">
            <v>567.9</v>
          </cell>
        </row>
        <row r="631">
          <cell r="A631" t="str">
            <v>051GPW　567(ｽﾀ)32</v>
          </cell>
          <cell r="C631">
            <v>568</v>
          </cell>
        </row>
        <row r="632">
          <cell r="A632" t="str">
            <v>051GPW　56904</v>
          </cell>
          <cell r="C632">
            <v>567.79999999999995</v>
          </cell>
        </row>
        <row r="633">
          <cell r="A633" t="str">
            <v>051GPW　56906</v>
          </cell>
          <cell r="C633">
            <v>567.9</v>
          </cell>
        </row>
        <row r="634">
          <cell r="A634" t="str">
            <v>051GPW　56908</v>
          </cell>
          <cell r="C634">
            <v>568</v>
          </cell>
        </row>
        <row r="635">
          <cell r="A635" t="str">
            <v>051GPW　56910</v>
          </cell>
          <cell r="C635">
            <v>568.1</v>
          </cell>
        </row>
        <row r="636">
          <cell r="A636" t="str">
            <v>051GPW　56912</v>
          </cell>
          <cell r="C636">
            <v>568.20000000000005</v>
          </cell>
        </row>
        <row r="637">
          <cell r="A637" t="str">
            <v>051GPW　56914</v>
          </cell>
          <cell r="C637">
            <v>568.20000000000005</v>
          </cell>
        </row>
        <row r="638">
          <cell r="A638" t="str">
            <v>051GPW　56916</v>
          </cell>
          <cell r="C638">
            <v>568.29999999999995</v>
          </cell>
        </row>
        <row r="639">
          <cell r="A639" t="str">
            <v>051GPW　56918</v>
          </cell>
          <cell r="C639">
            <v>568.4</v>
          </cell>
        </row>
        <row r="640">
          <cell r="A640" t="str">
            <v>051GPW　56920</v>
          </cell>
          <cell r="C640">
            <v>568.5</v>
          </cell>
        </row>
        <row r="641">
          <cell r="A641" t="str">
            <v>051GPW　56922</v>
          </cell>
          <cell r="C641">
            <v>568.6</v>
          </cell>
        </row>
        <row r="642">
          <cell r="A642" t="str">
            <v>051GPW　56924</v>
          </cell>
          <cell r="C642">
            <v>568.70000000000005</v>
          </cell>
        </row>
        <row r="643">
          <cell r="A643" t="str">
            <v>051GPW　56926</v>
          </cell>
          <cell r="C643">
            <v>568.79999999999995</v>
          </cell>
        </row>
        <row r="644">
          <cell r="A644" t="str">
            <v>051GPW　56928</v>
          </cell>
          <cell r="C644">
            <v>568.79999999999995</v>
          </cell>
        </row>
        <row r="645">
          <cell r="A645" t="str">
            <v>051GPW　56930</v>
          </cell>
          <cell r="C645">
            <v>568.9</v>
          </cell>
        </row>
        <row r="646">
          <cell r="A646" t="str">
            <v>051GPW　56932</v>
          </cell>
          <cell r="C646">
            <v>569</v>
          </cell>
        </row>
        <row r="647">
          <cell r="A647" t="str">
            <v>051GPW　71504</v>
          </cell>
          <cell r="C647">
            <v>713.7</v>
          </cell>
        </row>
        <row r="648">
          <cell r="A648" t="str">
            <v>051GPW　71506</v>
          </cell>
          <cell r="C648">
            <v>713.8</v>
          </cell>
        </row>
        <row r="649">
          <cell r="A649" t="str">
            <v>051GPW　71508</v>
          </cell>
          <cell r="C649">
            <v>713.9</v>
          </cell>
        </row>
        <row r="650">
          <cell r="A650" t="str">
            <v>051GPW　71510</v>
          </cell>
          <cell r="C650">
            <v>714</v>
          </cell>
        </row>
        <row r="651">
          <cell r="A651" t="str">
            <v>051GPW　71512</v>
          </cell>
          <cell r="C651">
            <v>714.1</v>
          </cell>
        </row>
        <row r="652">
          <cell r="A652" t="str">
            <v>051GPW　71514</v>
          </cell>
          <cell r="C652">
            <v>714.2</v>
          </cell>
        </row>
        <row r="653">
          <cell r="A653" t="str">
            <v>051GPW　71516</v>
          </cell>
          <cell r="C653">
            <v>714.3</v>
          </cell>
        </row>
        <row r="654">
          <cell r="A654" t="str">
            <v>051GPW　71518</v>
          </cell>
          <cell r="C654">
            <v>714.4</v>
          </cell>
        </row>
        <row r="655">
          <cell r="A655" t="str">
            <v>051GPW　71520</v>
          </cell>
          <cell r="C655">
            <v>714.5</v>
          </cell>
        </row>
        <row r="656">
          <cell r="A656" t="str">
            <v>051GPW　71522</v>
          </cell>
          <cell r="C656">
            <v>714.6</v>
          </cell>
        </row>
        <row r="657">
          <cell r="A657" t="str">
            <v>051GPW　71524</v>
          </cell>
          <cell r="C657">
            <v>714.7</v>
          </cell>
        </row>
        <row r="658">
          <cell r="A658" t="str">
            <v>051GPW　71526</v>
          </cell>
          <cell r="C658">
            <v>714.8</v>
          </cell>
        </row>
        <row r="659">
          <cell r="A659" t="str">
            <v>051GPW　71528</v>
          </cell>
          <cell r="C659">
            <v>714.9</v>
          </cell>
        </row>
        <row r="660">
          <cell r="A660" t="str">
            <v>051GPW　71530</v>
          </cell>
          <cell r="C660">
            <v>715</v>
          </cell>
        </row>
        <row r="661">
          <cell r="A661" t="str">
            <v>051GPW　71532</v>
          </cell>
          <cell r="C661">
            <v>715.1</v>
          </cell>
        </row>
        <row r="662">
          <cell r="A662" t="str">
            <v>051GPW　71904</v>
          </cell>
          <cell r="C662">
            <v>717.6</v>
          </cell>
        </row>
        <row r="663">
          <cell r="A663" t="str">
            <v>051GPW　71906</v>
          </cell>
          <cell r="C663">
            <v>717.8</v>
          </cell>
        </row>
        <row r="664">
          <cell r="A664" t="str">
            <v>051GPW　71908</v>
          </cell>
          <cell r="C664">
            <v>717.9</v>
          </cell>
        </row>
        <row r="665">
          <cell r="A665" t="str">
            <v>051GPW　71910</v>
          </cell>
          <cell r="C665">
            <v>718</v>
          </cell>
        </row>
        <row r="666">
          <cell r="A666" t="str">
            <v>051GPW　71912</v>
          </cell>
          <cell r="C666">
            <v>718.1</v>
          </cell>
        </row>
        <row r="667">
          <cell r="A667" t="str">
            <v>051GPW　71914</v>
          </cell>
          <cell r="C667">
            <v>718.2</v>
          </cell>
        </row>
        <row r="668">
          <cell r="A668" t="str">
            <v>051GPW　71916</v>
          </cell>
          <cell r="C668">
            <v>718.3</v>
          </cell>
        </row>
        <row r="669">
          <cell r="A669" t="str">
            <v>051GPW　71918</v>
          </cell>
          <cell r="C669">
            <v>718.4</v>
          </cell>
        </row>
        <row r="670">
          <cell r="A670" t="str">
            <v>051GPW　71920</v>
          </cell>
          <cell r="C670">
            <v>718.5</v>
          </cell>
        </row>
        <row r="671">
          <cell r="A671" t="str">
            <v>051GPW　71922</v>
          </cell>
          <cell r="C671">
            <v>718.6</v>
          </cell>
        </row>
        <row r="672">
          <cell r="A672" t="str">
            <v>051GPW　71924</v>
          </cell>
          <cell r="C672">
            <v>718.7</v>
          </cell>
        </row>
        <row r="673">
          <cell r="A673" t="str">
            <v>051GPW　71926</v>
          </cell>
          <cell r="C673">
            <v>718.8</v>
          </cell>
        </row>
        <row r="674">
          <cell r="A674" t="str">
            <v>051GPW　71928</v>
          </cell>
          <cell r="C674">
            <v>718.9</v>
          </cell>
        </row>
        <row r="675">
          <cell r="A675" t="str">
            <v>051GPW　71930</v>
          </cell>
          <cell r="C675">
            <v>719</v>
          </cell>
        </row>
        <row r="676">
          <cell r="A676" t="str">
            <v>051GPW　71932</v>
          </cell>
          <cell r="C676">
            <v>719.1</v>
          </cell>
        </row>
        <row r="677">
          <cell r="A677" t="str">
            <v>051GPW　86804</v>
          </cell>
          <cell r="C677">
            <v>866.5</v>
          </cell>
        </row>
        <row r="678">
          <cell r="A678" t="str">
            <v>051GPW　86806</v>
          </cell>
          <cell r="C678">
            <v>866.6</v>
          </cell>
        </row>
        <row r="679">
          <cell r="A679" t="str">
            <v>051GPW　86808</v>
          </cell>
          <cell r="C679">
            <v>866.7</v>
          </cell>
        </row>
        <row r="680">
          <cell r="A680" t="str">
            <v>051GPW　86810</v>
          </cell>
          <cell r="C680">
            <v>866.9</v>
          </cell>
        </row>
        <row r="681">
          <cell r="A681" t="str">
            <v>051GPW　86812</v>
          </cell>
          <cell r="C681">
            <v>867</v>
          </cell>
        </row>
        <row r="682">
          <cell r="A682" t="str">
            <v>051GPW　86814</v>
          </cell>
          <cell r="C682">
            <v>867.1</v>
          </cell>
        </row>
        <row r="683">
          <cell r="A683" t="str">
            <v>051GPW　86816</v>
          </cell>
          <cell r="C683">
            <v>867.2</v>
          </cell>
        </row>
        <row r="684">
          <cell r="A684" t="str">
            <v>051GPW　86818</v>
          </cell>
          <cell r="C684">
            <v>867.4</v>
          </cell>
        </row>
        <row r="685">
          <cell r="A685" t="str">
            <v>051GPW　86820</v>
          </cell>
          <cell r="C685">
            <v>867.5</v>
          </cell>
        </row>
        <row r="686">
          <cell r="A686" t="str">
            <v>051GPW　86822</v>
          </cell>
          <cell r="C686">
            <v>867.6</v>
          </cell>
        </row>
        <row r="687">
          <cell r="A687" t="str">
            <v>051GPW　86824</v>
          </cell>
          <cell r="C687">
            <v>867.8</v>
          </cell>
        </row>
        <row r="688">
          <cell r="A688" t="str">
            <v>051GPW　86826</v>
          </cell>
          <cell r="C688">
            <v>867.9</v>
          </cell>
        </row>
        <row r="689">
          <cell r="A689" t="str">
            <v>051GPW　86828</v>
          </cell>
          <cell r="C689">
            <v>868</v>
          </cell>
        </row>
        <row r="690">
          <cell r="A690" t="str">
            <v>051GPW　86830</v>
          </cell>
          <cell r="C690">
            <v>868.1</v>
          </cell>
        </row>
        <row r="691">
          <cell r="A691" t="str">
            <v>051GPW　86832</v>
          </cell>
          <cell r="C691">
            <v>868.3</v>
          </cell>
        </row>
        <row r="692">
          <cell r="A692" t="str">
            <v>051GPW　101404</v>
          </cell>
          <cell r="C692">
            <v>1012.3</v>
          </cell>
        </row>
        <row r="693">
          <cell r="A693" t="str">
            <v>051GPW　101406</v>
          </cell>
          <cell r="C693">
            <v>1012.5</v>
          </cell>
        </row>
        <row r="694">
          <cell r="A694" t="str">
            <v>051GPW　101408</v>
          </cell>
          <cell r="C694">
            <v>1012.6</v>
          </cell>
        </row>
        <row r="695">
          <cell r="A695" t="str">
            <v>051GPW　101410</v>
          </cell>
          <cell r="C695">
            <v>1012.8</v>
          </cell>
        </row>
        <row r="696">
          <cell r="A696" t="str">
            <v>051GPW　101412</v>
          </cell>
          <cell r="C696">
            <v>1012.9</v>
          </cell>
        </row>
        <row r="697">
          <cell r="A697" t="str">
            <v>051GPW　101414</v>
          </cell>
          <cell r="C697">
            <v>1013.1</v>
          </cell>
        </row>
        <row r="698">
          <cell r="A698" t="str">
            <v>051GPW　101416</v>
          </cell>
          <cell r="C698">
            <v>1013.2</v>
          </cell>
        </row>
        <row r="699">
          <cell r="A699" t="str">
            <v>051GPW　101418</v>
          </cell>
          <cell r="C699">
            <v>1013.4</v>
          </cell>
        </row>
        <row r="700">
          <cell r="A700" t="str">
            <v>051GPW　101420</v>
          </cell>
          <cell r="C700">
            <v>1013.5</v>
          </cell>
        </row>
        <row r="701">
          <cell r="A701" t="str">
            <v>051GPW　101422</v>
          </cell>
          <cell r="C701">
            <v>1013.6</v>
          </cell>
        </row>
        <row r="702">
          <cell r="A702" t="str">
            <v>051GPW　101424</v>
          </cell>
          <cell r="C702">
            <v>1013.8</v>
          </cell>
        </row>
        <row r="703">
          <cell r="A703" t="str">
            <v>051GPW　101426</v>
          </cell>
          <cell r="C703">
            <v>1014</v>
          </cell>
        </row>
        <row r="704">
          <cell r="A704" t="str">
            <v>051GPW　101428</v>
          </cell>
          <cell r="C704">
            <v>1014.1</v>
          </cell>
        </row>
        <row r="705">
          <cell r="A705" t="str">
            <v>051GPW　101430</v>
          </cell>
          <cell r="C705">
            <v>1014.3</v>
          </cell>
        </row>
        <row r="706">
          <cell r="A706" t="str">
            <v>051GPW　101432</v>
          </cell>
          <cell r="C706">
            <v>1014.4</v>
          </cell>
        </row>
        <row r="707">
          <cell r="A707" t="str">
            <v>051GPW　101804</v>
          </cell>
          <cell r="C707">
            <v>1016.3</v>
          </cell>
        </row>
        <row r="708">
          <cell r="A708" t="str">
            <v>051GPW　101806</v>
          </cell>
          <cell r="C708">
            <v>1016.4</v>
          </cell>
        </row>
        <row r="709">
          <cell r="A709" t="str">
            <v>051GPW　101808</v>
          </cell>
          <cell r="C709">
            <v>1016.6</v>
          </cell>
        </row>
        <row r="710">
          <cell r="A710" t="str">
            <v>051GPW　101810</v>
          </cell>
          <cell r="C710">
            <v>1016.7</v>
          </cell>
        </row>
        <row r="711">
          <cell r="A711" t="str">
            <v>051GPW　101812</v>
          </cell>
          <cell r="C711">
            <v>1016.9</v>
          </cell>
        </row>
        <row r="712">
          <cell r="A712" t="str">
            <v>051GPW　101814</v>
          </cell>
          <cell r="C712">
            <v>1017</v>
          </cell>
        </row>
        <row r="713">
          <cell r="A713" t="str">
            <v>051GPW　101816</v>
          </cell>
          <cell r="C713">
            <v>1017.2</v>
          </cell>
        </row>
        <row r="714">
          <cell r="A714" t="str">
            <v>051GPW　101818</v>
          </cell>
          <cell r="C714">
            <v>1017.3</v>
          </cell>
        </row>
        <row r="715">
          <cell r="A715" t="str">
            <v>051GPW　101820</v>
          </cell>
          <cell r="C715">
            <v>1017.5</v>
          </cell>
        </row>
        <row r="716">
          <cell r="A716" t="str">
            <v>051GPW　101822</v>
          </cell>
          <cell r="C716">
            <v>1017.7</v>
          </cell>
        </row>
        <row r="717">
          <cell r="A717" t="str">
            <v>051GPW　101824</v>
          </cell>
          <cell r="C717">
            <v>1017.8</v>
          </cell>
        </row>
        <row r="718">
          <cell r="A718" t="str">
            <v>051GPW　101826</v>
          </cell>
          <cell r="C718">
            <v>1018</v>
          </cell>
        </row>
        <row r="719">
          <cell r="A719" t="str">
            <v>051GPW　101828</v>
          </cell>
          <cell r="C719">
            <v>1018.1</v>
          </cell>
        </row>
        <row r="720">
          <cell r="A720" t="str">
            <v>051GPW　101830</v>
          </cell>
          <cell r="C720">
            <v>1018.3</v>
          </cell>
        </row>
        <row r="721">
          <cell r="A721" t="str">
            <v>051GPW　101832</v>
          </cell>
          <cell r="C721">
            <v>1018.4</v>
          </cell>
        </row>
        <row r="722">
          <cell r="A722" t="str">
            <v>051GPW　116404</v>
          </cell>
          <cell r="C722">
            <v>1162.0999999999999</v>
          </cell>
        </row>
        <row r="723">
          <cell r="A723" t="str">
            <v>051GPW　116406</v>
          </cell>
          <cell r="C723">
            <v>1162.3</v>
          </cell>
        </row>
        <row r="724">
          <cell r="A724" t="str">
            <v>051GPW　116408</v>
          </cell>
          <cell r="C724">
            <v>1162.5</v>
          </cell>
        </row>
        <row r="725">
          <cell r="A725" t="str">
            <v>051GPW　116410</v>
          </cell>
          <cell r="C725">
            <v>1162.5999999999999</v>
          </cell>
        </row>
        <row r="726">
          <cell r="A726" t="str">
            <v>051GPW　116412</v>
          </cell>
          <cell r="C726">
            <v>1162.8</v>
          </cell>
        </row>
        <row r="727">
          <cell r="A727" t="str">
            <v>051GPW　116414</v>
          </cell>
          <cell r="C727">
            <v>1163</v>
          </cell>
        </row>
        <row r="728">
          <cell r="A728" t="str">
            <v>051GPW　116416</v>
          </cell>
          <cell r="C728">
            <v>1163.2</v>
          </cell>
        </row>
        <row r="729">
          <cell r="A729" t="str">
            <v>051GPW　116418</v>
          </cell>
          <cell r="C729">
            <v>1163.3</v>
          </cell>
        </row>
        <row r="730">
          <cell r="A730" t="str">
            <v>051GPW　116420</v>
          </cell>
          <cell r="C730">
            <v>1163.5</v>
          </cell>
        </row>
        <row r="731">
          <cell r="A731" t="str">
            <v>051GPW　116422</v>
          </cell>
          <cell r="C731">
            <v>1163.7</v>
          </cell>
        </row>
        <row r="732">
          <cell r="A732" t="str">
            <v>051GPW　116424</v>
          </cell>
          <cell r="C732">
            <v>1163.8</v>
          </cell>
        </row>
        <row r="733">
          <cell r="A733" t="str">
            <v>051GPW　116426</v>
          </cell>
          <cell r="C733">
            <v>1164</v>
          </cell>
        </row>
        <row r="734">
          <cell r="A734" t="str">
            <v>051GPW　116428</v>
          </cell>
          <cell r="C734">
            <v>1164.2</v>
          </cell>
        </row>
        <row r="735">
          <cell r="A735" t="str">
            <v>051GPW　116430</v>
          </cell>
          <cell r="C735">
            <v>1164.4000000000001</v>
          </cell>
        </row>
        <row r="736">
          <cell r="A736" t="str">
            <v>051GPW　116432</v>
          </cell>
          <cell r="C736">
            <v>1164.5</v>
          </cell>
        </row>
        <row r="737">
          <cell r="A737" t="str">
            <v>QDNT-284A LT2　L=274004</v>
          </cell>
          <cell r="C737">
            <v>2736.4</v>
          </cell>
        </row>
        <row r="738">
          <cell r="A738" t="str">
            <v>QDNT-284A LT2　L=274006</v>
          </cell>
          <cell r="C738">
            <v>2736.7</v>
          </cell>
        </row>
        <row r="739">
          <cell r="A739" t="str">
            <v>QDNT-284A LT2　L=274008</v>
          </cell>
          <cell r="C739">
            <v>2737.1</v>
          </cell>
        </row>
        <row r="740">
          <cell r="A740" t="str">
            <v>QDNT-284A LT2　L=274010</v>
          </cell>
          <cell r="C740">
            <v>2737.4</v>
          </cell>
        </row>
        <row r="741">
          <cell r="A741" t="str">
            <v>QDNT-284A LT2　L=274012</v>
          </cell>
          <cell r="C741">
            <v>2737.7</v>
          </cell>
        </row>
        <row r="742">
          <cell r="A742" t="str">
            <v>QDNT-284A LT2　L=274014</v>
          </cell>
          <cell r="C742">
            <v>2738</v>
          </cell>
        </row>
        <row r="743">
          <cell r="A743" t="str">
            <v>QDNT-284A LT2　L=274016</v>
          </cell>
          <cell r="C743">
            <v>2738.4</v>
          </cell>
        </row>
        <row r="744">
          <cell r="A744" t="str">
            <v>QDNT-284A LT2　L=274018</v>
          </cell>
          <cell r="C744">
            <v>2738.7</v>
          </cell>
        </row>
        <row r="745">
          <cell r="A745" t="str">
            <v>QDNT-284A LT2　L=274020</v>
          </cell>
          <cell r="C745">
            <v>2739</v>
          </cell>
        </row>
        <row r="746">
          <cell r="A746" t="str">
            <v>QDNT-284A LT2　L=274022</v>
          </cell>
          <cell r="C746">
            <v>2739.3</v>
          </cell>
        </row>
        <row r="747">
          <cell r="A747" t="str">
            <v>QDNT-284A LT2　L=274024</v>
          </cell>
          <cell r="C747">
            <v>2739.6</v>
          </cell>
        </row>
        <row r="748">
          <cell r="A748" t="str">
            <v>QDNT-284A LT2　L=274026</v>
          </cell>
          <cell r="C748">
            <v>2740</v>
          </cell>
        </row>
        <row r="749">
          <cell r="A749" t="str">
            <v>QDNT-284A LT2　L=274028</v>
          </cell>
          <cell r="C749">
            <v>2740.3</v>
          </cell>
        </row>
        <row r="750">
          <cell r="A750" t="str">
            <v>QDNT-284A LT2　L=274030</v>
          </cell>
          <cell r="C750">
            <v>2740.6</v>
          </cell>
        </row>
        <row r="751">
          <cell r="A751" t="str">
            <v>QDNT-284A LT2　L=274032</v>
          </cell>
          <cell r="C751">
            <v>2740.9</v>
          </cell>
        </row>
        <row r="752">
          <cell r="A752" t="str">
            <v>黒板灯ﾌﾟﾘｽﾞﾑｶﾊﾞｰ　L=121004</v>
          </cell>
          <cell r="C752">
            <v>1208.74</v>
          </cell>
        </row>
        <row r="753">
          <cell r="A753" t="str">
            <v>黒板灯ﾌﾟﾘｽﾞﾑｶﾊﾞｰ　L=121006</v>
          </cell>
          <cell r="C753">
            <v>1208.9000000000001</v>
          </cell>
        </row>
        <row r="754">
          <cell r="A754" t="str">
            <v>黒板灯ﾌﾟﾘｽﾞﾑｶﾊﾞｰ　L=121008</v>
          </cell>
          <cell r="C754">
            <v>1209.06</v>
          </cell>
        </row>
        <row r="755">
          <cell r="A755" t="str">
            <v>黒板灯ﾌﾟﾘｽﾞﾑｶﾊﾞｰ　L=121010</v>
          </cell>
          <cell r="C755">
            <v>1209.21</v>
          </cell>
        </row>
        <row r="756">
          <cell r="A756" t="str">
            <v>黒板灯ﾌﾟﾘｽﾞﾑｶﾊﾞｰ　L=121012</v>
          </cell>
          <cell r="C756">
            <v>1209.3699999999999</v>
          </cell>
        </row>
        <row r="757">
          <cell r="A757" t="str">
            <v>黒板灯ﾌﾟﾘｽﾞﾑｶﾊﾞｰ　L=121014</v>
          </cell>
          <cell r="C757">
            <v>1209.53</v>
          </cell>
        </row>
        <row r="758">
          <cell r="A758" t="str">
            <v>黒板灯ﾌﾟﾘｽﾞﾑｶﾊﾞｰ　L=121016</v>
          </cell>
          <cell r="C758">
            <v>1209.69</v>
          </cell>
        </row>
        <row r="759">
          <cell r="A759" t="str">
            <v>黒板灯ﾌﾟﾘｽﾞﾑｶﾊﾞｰ　L=121018</v>
          </cell>
          <cell r="C759">
            <v>1209.8900000000001</v>
          </cell>
        </row>
        <row r="760">
          <cell r="A760" t="str">
            <v>黒板灯ﾌﾟﾘｽﾞﾑｶﾊﾞｰ　L=121020</v>
          </cell>
          <cell r="C760">
            <v>1210</v>
          </cell>
        </row>
        <row r="761">
          <cell r="A761" t="str">
            <v>黒板灯ﾌﾟﾘｽﾞﾑｶﾊﾞｰ　L=121022</v>
          </cell>
          <cell r="C761">
            <v>1210.1600000000001</v>
          </cell>
        </row>
        <row r="762">
          <cell r="A762" t="str">
            <v>黒板灯ﾌﾟﾘｽﾞﾑｶﾊﾞｰ　L=121024</v>
          </cell>
          <cell r="C762">
            <v>1210.31</v>
          </cell>
        </row>
        <row r="763">
          <cell r="A763" t="str">
            <v>黒板灯ﾌﾟﾘｽﾞﾑｶﾊﾞｰ　L=121026</v>
          </cell>
          <cell r="C763">
            <v>1210.47</v>
          </cell>
        </row>
        <row r="764">
          <cell r="A764" t="str">
            <v>黒板灯ﾌﾟﾘｽﾞﾑｶﾊﾞｰ　L=121028</v>
          </cell>
          <cell r="C764">
            <v>1210.6300000000001</v>
          </cell>
        </row>
        <row r="765">
          <cell r="A765" t="str">
            <v>黒板灯ﾌﾟﾘｽﾞﾑｶﾊﾞｰ　L=121030</v>
          </cell>
          <cell r="C765">
            <v>1210.79</v>
          </cell>
        </row>
        <row r="766">
          <cell r="A766" t="str">
            <v>黒板灯ﾌﾟﾘｽﾞﾑｶﾊﾞｰ　L=121032</v>
          </cell>
          <cell r="C766">
            <v>1210.94</v>
          </cell>
        </row>
        <row r="767">
          <cell r="A767" t="str">
            <v>黒板灯ﾌﾟﾘｽﾞﾑｶﾊﾞｰ　L=121034</v>
          </cell>
          <cell r="C767">
            <v>1211.0999999999999</v>
          </cell>
        </row>
        <row r="768">
          <cell r="A768" t="str">
            <v>ｺﾝﾌｫｰﾄ用ﾌﾟﾘｽﾞﾑｶﾊﾞｰL121004</v>
          </cell>
          <cell r="C768">
            <v>1208.74</v>
          </cell>
        </row>
        <row r="769">
          <cell r="A769" t="str">
            <v>ｺﾝﾌｫｰﾄ用ﾌﾟﾘｽﾞﾑｶﾊﾞｰL121006</v>
          </cell>
          <cell r="C769">
            <v>1208.9000000000001</v>
          </cell>
        </row>
        <row r="770">
          <cell r="A770" t="str">
            <v>ｺﾝﾌｫｰﾄ用ﾌﾟﾘｽﾞﾑｶﾊﾞｰL121008</v>
          </cell>
          <cell r="C770">
            <v>1209.06</v>
          </cell>
        </row>
        <row r="771">
          <cell r="A771" t="str">
            <v>ｺﾝﾌｫｰﾄ用ﾌﾟﾘｽﾞﾑｶﾊﾞｰL121010</v>
          </cell>
          <cell r="C771">
            <v>1209.21</v>
          </cell>
        </row>
        <row r="772">
          <cell r="A772" t="str">
            <v>ｺﾝﾌｫｰﾄ用ﾌﾟﾘｽﾞﾑｶﾊﾞｰL121012</v>
          </cell>
          <cell r="C772">
            <v>1209.3699999999999</v>
          </cell>
        </row>
        <row r="773">
          <cell r="A773" t="str">
            <v>ｺﾝﾌｫｰﾄ用ﾌﾟﾘｽﾞﾑｶﾊﾞｰL121014</v>
          </cell>
          <cell r="C773">
            <v>1209.53</v>
          </cell>
        </row>
        <row r="774">
          <cell r="A774" t="str">
            <v>ｺﾝﾌｫｰﾄ用ﾌﾟﾘｽﾞﾑｶﾊﾞｰL121016</v>
          </cell>
          <cell r="C774">
            <v>1209.69</v>
          </cell>
        </row>
        <row r="775">
          <cell r="A775" t="str">
            <v>ｺﾝﾌｫｰﾄ用ﾌﾟﾘｽﾞﾑｶﾊﾞｰL121018</v>
          </cell>
          <cell r="C775">
            <v>1209.8900000000001</v>
          </cell>
        </row>
        <row r="776">
          <cell r="A776" t="str">
            <v>ｺﾝﾌｫｰﾄ用ﾌﾟﾘｽﾞﾑｶﾊﾞｰL121020</v>
          </cell>
          <cell r="C776">
            <v>1210</v>
          </cell>
        </row>
        <row r="777">
          <cell r="A777" t="str">
            <v>ｺﾝﾌｫｰﾄ用ﾌﾟﾘｽﾞﾑｶﾊﾞｰL121022</v>
          </cell>
          <cell r="C777">
            <v>1210.1600000000001</v>
          </cell>
        </row>
        <row r="778">
          <cell r="A778" t="str">
            <v>ｺﾝﾌｫｰﾄ用ﾌﾟﾘｽﾞﾑｶﾊﾞｰL121024</v>
          </cell>
          <cell r="C778">
            <v>1210.31</v>
          </cell>
        </row>
        <row r="779">
          <cell r="A779" t="str">
            <v>ｺﾝﾌｫｰﾄ用ﾌﾟﾘｽﾞﾑｶﾊﾞｰL121026</v>
          </cell>
          <cell r="C779">
            <v>1210.47</v>
          </cell>
        </row>
        <row r="780">
          <cell r="A780" t="str">
            <v>ｺﾝﾌｫｰﾄ用ﾌﾟﾘｽﾞﾑｶﾊﾞｰL121028</v>
          </cell>
          <cell r="C780">
            <v>1210.6300000000001</v>
          </cell>
        </row>
        <row r="781">
          <cell r="A781" t="str">
            <v>ｺﾝﾌｫｰﾄ用ﾌﾟﾘｽﾞﾑｶﾊﾞｰL121030</v>
          </cell>
          <cell r="C781">
            <v>1210.79</v>
          </cell>
        </row>
        <row r="782">
          <cell r="A782" t="str">
            <v>ｺﾝﾌｫｰﾄ用ﾌﾟﾘｽﾞﾑｶﾊﾞｰL121032</v>
          </cell>
          <cell r="C782">
            <v>1210.94</v>
          </cell>
        </row>
        <row r="783">
          <cell r="A783" t="str">
            <v>ｺﾝﾌｫｰﾄ用ﾌﾟﾘｽﾞﾑｶﾊﾞｰL121034</v>
          </cell>
          <cell r="C783">
            <v>1211.0999999999999</v>
          </cell>
        </row>
        <row r="784">
          <cell r="A784" t="str">
            <v>PK-59827 L=5005</v>
          </cell>
          <cell r="C784">
            <v>499.37</v>
          </cell>
        </row>
        <row r="785">
          <cell r="A785" t="str">
            <v>PK-59827 L=5007</v>
          </cell>
          <cell r="C785">
            <v>499.44</v>
          </cell>
        </row>
        <row r="786">
          <cell r="A786" t="str">
            <v>PK-59827 L=5009</v>
          </cell>
          <cell r="C786">
            <v>499.51</v>
          </cell>
        </row>
        <row r="787">
          <cell r="A787" t="str">
            <v>PK-59827 L=50011</v>
          </cell>
          <cell r="C787">
            <v>499.58</v>
          </cell>
        </row>
        <row r="788">
          <cell r="A788" t="str">
            <v>PK-59827 L=50013</v>
          </cell>
          <cell r="C788">
            <v>499.65</v>
          </cell>
        </row>
        <row r="789">
          <cell r="A789" t="str">
            <v>PK-59827 L=50015</v>
          </cell>
          <cell r="C789">
            <v>499.72</v>
          </cell>
        </row>
        <row r="790">
          <cell r="A790" t="str">
            <v>PK-59827 L=50017</v>
          </cell>
          <cell r="C790">
            <v>499.79</v>
          </cell>
        </row>
        <row r="791">
          <cell r="A791" t="str">
            <v>PK-59827 L=50019</v>
          </cell>
          <cell r="C791">
            <v>499.86</v>
          </cell>
        </row>
        <row r="792">
          <cell r="A792" t="str">
            <v>PK-59827 L=50021</v>
          </cell>
          <cell r="C792">
            <v>499.93</v>
          </cell>
        </row>
        <row r="793">
          <cell r="A793" t="str">
            <v>PK-59827 L=50023</v>
          </cell>
          <cell r="C793">
            <v>500</v>
          </cell>
        </row>
        <row r="794">
          <cell r="A794" t="str">
            <v>PK-59827 L=50025</v>
          </cell>
          <cell r="C794">
            <v>500.07</v>
          </cell>
        </row>
        <row r="795">
          <cell r="A795" t="str">
            <v>PK-59827 L=50027</v>
          </cell>
          <cell r="C795">
            <v>500.14</v>
          </cell>
        </row>
        <row r="796">
          <cell r="A796" t="str">
            <v>PK-59827 L=50029</v>
          </cell>
          <cell r="C796">
            <v>500.21</v>
          </cell>
        </row>
        <row r="797">
          <cell r="A797" t="str">
            <v>PK-59827 L=50031</v>
          </cell>
          <cell r="C797">
            <v>500.28</v>
          </cell>
        </row>
        <row r="798">
          <cell r="A798" t="str">
            <v>PK-59827 L=50033</v>
          </cell>
          <cell r="C798">
            <v>500.35</v>
          </cell>
        </row>
        <row r="799">
          <cell r="A799" t="str">
            <v>PK-59827 L=50035</v>
          </cell>
          <cell r="C799">
            <v>500.42</v>
          </cell>
        </row>
        <row r="800">
          <cell r="A800" t="str">
            <v>PK-59827 L=50037</v>
          </cell>
          <cell r="C800">
            <v>500.42</v>
          </cell>
        </row>
        <row r="801">
          <cell r="A801" t="str">
            <v>PK-59827 L=7005</v>
          </cell>
          <cell r="C801">
            <v>699.12</v>
          </cell>
        </row>
        <row r="802">
          <cell r="A802" t="str">
            <v>PK-59827 L=7007</v>
          </cell>
          <cell r="C802">
            <v>699.22</v>
          </cell>
        </row>
        <row r="803">
          <cell r="A803" t="str">
            <v>PK-59827 L=7009</v>
          </cell>
          <cell r="C803">
            <v>699.31</v>
          </cell>
        </row>
        <row r="804">
          <cell r="A804" t="str">
            <v>PK-59827 L=70011</v>
          </cell>
          <cell r="C804">
            <v>699.41</v>
          </cell>
        </row>
        <row r="805">
          <cell r="A805" t="str">
            <v>PK-59827 L=70013</v>
          </cell>
          <cell r="C805">
            <v>699.51</v>
          </cell>
        </row>
        <row r="806">
          <cell r="A806" t="str">
            <v>PK-59827 L=70015</v>
          </cell>
          <cell r="C806">
            <v>699.61</v>
          </cell>
        </row>
        <row r="807">
          <cell r="A807" t="str">
            <v>PK-59827 L=70017</v>
          </cell>
          <cell r="C807">
            <v>699.71</v>
          </cell>
        </row>
        <row r="808">
          <cell r="A808" t="str">
            <v>PK-59827 L=70019</v>
          </cell>
          <cell r="C808">
            <v>699.8</v>
          </cell>
        </row>
        <row r="809">
          <cell r="A809" t="str">
            <v>PK-59827 L=70021</v>
          </cell>
          <cell r="C809">
            <v>699.9</v>
          </cell>
        </row>
        <row r="810">
          <cell r="A810" t="str">
            <v>PK-59827 L=70023</v>
          </cell>
          <cell r="C810">
            <v>700</v>
          </cell>
        </row>
        <row r="811">
          <cell r="A811" t="str">
            <v>PK-59827 L=70025</v>
          </cell>
          <cell r="C811">
            <v>700.1</v>
          </cell>
        </row>
        <row r="812">
          <cell r="A812" t="str">
            <v>PK-59827 L=70027</v>
          </cell>
          <cell r="C812">
            <v>700.2</v>
          </cell>
        </row>
        <row r="813">
          <cell r="A813" t="str">
            <v>PK-59827 L=70029</v>
          </cell>
          <cell r="C813">
            <v>700.29</v>
          </cell>
        </row>
        <row r="814">
          <cell r="A814" t="str">
            <v>PK-59827 L=70031</v>
          </cell>
          <cell r="C814">
            <v>700.39</v>
          </cell>
        </row>
        <row r="815">
          <cell r="A815" t="str">
            <v>PK-59827 L=70033</v>
          </cell>
          <cell r="C815">
            <v>700.49</v>
          </cell>
        </row>
        <row r="816">
          <cell r="A816" t="str">
            <v>PK-59827 L=70035</v>
          </cell>
          <cell r="C816">
            <v>700.59</v>
          </cell>
        </row>
        <row r="817">
          <cell r="A817" t="str">
            <v>PK-59827 L=70037</v>
          </cell>
          <cell r="C817">
            <v>700.69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513"/>
  <sheetViews>
    <sheetView tabSelected="1" view="pageBreakPreview" topLeftCell="A247" zoomScale="60" zoomScaleNormal="100" workbookViewId="0">
      <selection activeCell="BL260" sqref="BL26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51" t="s">
        <v>0</v>
      </c>
      <c r="C1" s="110"/>
      <c r="D1" s="110"/>
      <c r="E1" s="12"/>
      <c r="F1" s="12"/>
      <c r="G1" s="12"/>
      <c r="H1" s="12"/>
      <c r="I1" s="12"/>
      <c r="J1" s="12"/>
    </row>
    <row r="2" spans="1:10" ht="14.25" customHeight="1" thickTop="1">
      <c r="A2" s="13"/>
      <c r="B2" s="110"/>
      <c r="C2" s="110"/>
      <c r="D2" s="110"/>
      <c r="E2" s="13"/>
      <c r="F2" s="13"/>
      <c r="G2" s="13"/>
      <c r="H2" s="13"/>
      <c r="I2" s="13"/>
      <c r="J2" s="13"/>
    </row>
    <row r="3" spans="1:10" ht="14.25" customHeight="1">
      <c r="A3" s="152" t="s">
        <v>1</v>
      </c>
      <c r="B3" s="152" t="s">
        <v>2</v>
      </c>
      <c r="C3" s="152" t="s">
        <v>3</v>
      </c>
      <c r="D3" s="153">
        <v>221</v>
      </c>
      <c r="E3" s="152" t="s">
        <v>4</v>
      </c>
      <c r="F3" s="154" t="s">
        <v>5</v>
      </c>
      <c r="G3" s="110"/>
      <c r="H3" s="150"/>
      <c r="I3" s="14" t="s">
        <v>6</v>
      </c>
      <c r="J3" s="14" t="s">
        <v>7</v>
      </c>
    </row>
    <row r="4" spans="1:10" ht="14.25" customHeight="1">
      <c r="A4" s="110"/>
      <c r="B4" s="110"/>
      <c r="C4" s="110"/>
      <c r="D4" s="110"/>
      <c r="E4" s="110"/>
      <c r="F4" s="110"/>
      <c r="G4" s="110"/>
      <c r="H4" s="150"/>
      <c r="I4" s="155"/>
      <c r="J4" s="155"/>
    </row>
    <row r="5" spans="1:10" ht="17.45" customHeight="1">
      <c r="A5" s="136" t="s">
        <v>8</v>
      </c>
      <c r="B5" s="136" t="s">
        <v>9</v>
      </c>
      <c r="E5" s="136" t="s">
        <v>10</v>
      </c>
      <c r="F5" s="158" t="s">
        <v>11</v>
      </c>
      <c r="G5" s="110"/>
      <c r="H5" s="150"/>
      <c r="I5" s="156"/>
      <c r="J5" s="156"/>
    </row>
    <row r="6" spans="1:10" ht="17.45" customHeight="1">
      <c r="A6" s="110"/>
      <c r="B6" s="110"/>
      <c r="E6" s="110"/>
      <c r="F6" s="110"/>
      <c r="G6" s="110"/>
      <c r="H6" s="150"/>
      <c r="I6" s="15"/>
      <c r="J6" s="15"/>
    </row>
    <row r="7" spans="1:10" ht="17.45" customHeight="1">
      <c r="A7" s="136" t="s">
        <v>12</v>
      </c>
      <c r="B7" s="136" t="s">
        <v>13</v>
      </c>
      <c r="E7" s="2" t="s">
        <v>14</v>
      </c>
      <c r="F7" s="137" t="s">
        <v>15</v>
      </c>
      <c r="G7" s="110"/>
      <c r="H7" s="22"/>
    </row>
    <row r="8" spans="1:10" ht="17.45" customHeight="1">
      <c r="A8" s="110"/>
      <c r="B8" s="110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45817</v>
      </c>
      <c r="E9" s="2" t="s">
        <v>19</v>
      </c>
      <c r="F9" s="138">
        <v>2</v>
      </c>
      <c r="G9" s="110"/>
      <c r="H9" s="22"/>
    </row>
    <row r="10" spans="1:10" ht="17.45" customHeight="1">
      <c r="A10" s="2" t="s">
        <v>20</v>
      </c>
      <c r="B10" s="4">
        <v>45817</v>
      </c>
      <c r="E10" s="2" t="s">
        <v>21</v>
      </c>
      <c r="F10" s="22">
        <v>10</v>
      </c>
      <c r="G10" s="139" t="s">
        <v>22</v>
      </c>
      <c r="H10" s="141">
        <v>20</v>
      </c>
      <c r="I10" s="142"/>
      <c r="J10" s="143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40"/>
      <c r="H11" s="140"/>
      <c r="I11" s="130"/>
      <c r="J11" s="144"/>
    </row>
    <row r="12" spans="1:10" ht="13.5" customHeight="1">
      <c r="A12" s="145" t="s">
        <v>25</v>
      </c>
      <c r="B12" s="110"/>
      <c r="C12" s="110"/>
      <c r="D12" s="21"/>
      <c r="F12" s="3"/>
      <c r="G12" s="146" t="s">
        <v>26</v>
      </c>
      <c r="H12" s="148" t="s">
        <v>27</v>
      </c>
      <c r="I12" s="149" t="s">
        <v>28</v>
      </c>
      <c r="J12" s="150"/>
    </row>
    <row r="13" spans="1:10" ht="13.5" customHeight="1">
      <c r="A13" s="110"/>
      <c r="B13" s="110"/>
      <c r="C13" s="110"/>
      <c r="D13" s="21"/>
      <c r="F13" s="3"/>
      <c r="G13" s="147"/>
      <c r="H13" s="147"/>
      <c r="I13" s="130"/>
      <c r="J13" s="144"/>
    </row>
    <row r="14" spans="1:10" ht="13.5" customHeight="1">
      <c r="A14" s="1" t="s">
        <v>29</v>
      </c>
    </row>
    <row r="15" spans="1:10" ht="63" customHeight="1" thickBot="1">
      <c r="A15" s="131"/>
      <c r="B15" s="132"/>
      <c r="C15" s="132"/>
      <c r="D15" s="132"/>
      <c r="E15" s="132"/>
      <c r="F15" s="132"/>
      <c r="G15" s="132"/>
      <c r="H15" s="132"/>
      <c r="I15" s="132"/>
      <c r="J15" s="132"/>
    </row>
    <row r="16" spans="1:10" ht="18.75">
      <c r="A16" s="24" t="s">
        <v>30</v>
      </c>
      <c r="B16" s="17" t="s">
        <v>31</v>
      </c>
      <c r="C16" s="133" t="s">
        <v>32</v>
      </c>
      <c r="D16" s="134"/>
      <c r="E16" s="17" t="s">
        <v>33</v>
      </c>
      <c r="F16" s="133" t="s">
        <v>34</v>
      </c>
      <c r="G16" s="134"/>
      <c r="H16" s="134"/>
      <c r="I16" s="135" t="s">
        <v>35</v>
      </c>
      <c r="J16" s="134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111" t="s">
        <v>37</v>
      </c>
      <c r="D18" s="159"/>
      <c r="E18" s="25" t="s">
        <v>38</v>
      </c>
      <c r="F18" s="111" t="s">
        <v>39</v>
      </c>
      <c r="G18" s="159"/>
      <c r="H18" s="159"/>
      <c r="I18" s="126"/>
      <c r="J18" s="159"/>
    </row>
    <row r="19" spans="1:10" s="7" customFormat="1" ht="16.5" customHeight="1">
      <c r="A19" s="23">
        <v>1</v>
      </c>
      <c r="B19" s="26" t="s">
        <v>36</v>
      </c>
      <c r="C19" s="111" t="s">
        <v>37</v>
      </c>
      <c r="D19" s="159"/>
      <c r="E19" s="25" t="s">
        <v>40</v>
      </c>
      <c r="F19" s="111" t="s">
        <v>41</v>
      </c>
      <c r="G19" s="159"/>
      <c r="H19" s="159"/>
      <c r="I19" s="126"/>
      <c r="J19" s="159"/>
    </row>
    <row r="20" spans="1:10" s="7" customFormat="1" ht="16.5" customHeight="1">
      <c r="A20" s="23">
        <v>1</v>
      </c>
      <c r="B20" s="26" t="s">
        <v>36</v>
      </c>
      <c r="C20" s="111" t="s">
        <v>37</v>
      </c>
      <c r="D20" s="159"/>
      <c r="E20" s="25" t="s">
        <v>42</v>
      </c>
      <c r="F20" s="111" t="s">
        <v>43</v>
      </c>
      <c r="G20" s="159"/>
      <c r="H20" s="159"/>
      <c r="I20" s="126"/>
      <c r="J20" s="159"/>
    </row>
    <row r="21" spans="1:10" s="7" customFormat="1" ht="16.5" customHeight="1">
      <c r="A21" s="23"/>
      <c r="B21" s="26"/>
      <c r="C21" s="111"/>
      <c r="D21" s="159"/>
      <c r="E21" s="25"/>
      <c r="F21" s="111"/>
      <c r="G21" s="159"/>
      <c r="H21" s="159"/>
      <c r="I21" s="126"/>
      <c r="J21" s="159"/>
    </row>
    <row r="22" spans="1:10" s="7" customFormat="1" ht="16.5" customHeight="1">
      <c r="A22" s="23"/>
      <c r="B22" s="26"/>
      <c r="C22" s="111"/>
      <c r="D22" s="159"/>
      <c r="E22" s="25"/>
      <c r="F22" s="111"/>
      <c r="G22" s="159"/>
      <c r="H22" s="159"/>
      <c r="I22" s="126"/>
      <c r="J22" s="159"/>
    </row>
    <row r="23" spans="1:10" s="7" customFormat="1" ht="16.5" customHeight="1">
      <c r="A23" s="23"/>
      <c r="B23" s="26"/>
      <c r="C23" s="111"/>
      <c r="D23" s="159"/>
      <c r="E23" s="25"/>
      <c r="F23" s="111"/>
      <c r="G23" s="159"/>
      <c r="H23" s="159"/>
      <c r="I23" s="126"/>
      <c r="J23" s="159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27" t="s">
        <v>44</v>
      </c>
      <c r="B25" s="128"/>
      <c r="C25" s="127" t="s">
        <v>45</v>
      </c>
      <c r="D25" s="128"/>
      <c r="E25" s="128"/>
      <c r="F25" s="18" t="s">
        <v>46</v>
      </c>
      <c r="G25" s="127" t="s">
        <v>47</v>
      </c>
      <c r="H25" s="128"/>
      <c r="I25" s="127" t="s">
        <v>48</v>
      </c>
      <c r="J25" s="128"/>
    </row>
    <row r="26" spans="1:10" ht="14.25" customHeight="1">
      <c r="A26" s="8"/>
      <c r="B26" s="19"/>
      <c r="C26" s="129" t="s">
        <v>49</v>
      </c>
      <c r="D26" s="130"/>
      <c r="E26" s="19"/>
      <c r="F26" s="129" t="s">
        <v>29</v>
      </c>
      <c r="G26" s="130"/>
      <c r="H26" s="130"/>
      <c r="I26" s="130"/>
      <c r="J26" s="130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50</v>
      </c>
      <c r="B28" s="160"/>
      <c r="C28" s="111" t="s">
        <v>51</v>
      </c>
      <c r="D28" s="160"/>
      <c r="E28" s="160"/>
      <c r="F28" s="27" t="s">
        <v>52</v>
      </c>
      <c r="G28" s="125">
        <v>4</v>
      </c>
      <c r="H28" s="160"/>
      <c r="I28" s="125">
        <v>2</v>
      </c>
      <c r="J28" s="160"/>
    </row>
    <row r="29" spans="1:10" s="7" customFormat="1" ht="24.95" customHeight="1">
      <c r="A29" s="109" t="s">
        <v>53</v>
      </c>
      <c r="B29" s="159"/>
      <c r="C29" s="111" t="s">
        <v>11</v>
      </c>
      <c r="D29" s="159"/>
      <c r="E29" s="159"/>
      <c r="F29" s="111"/>
      <c r="G29" s="159"/>
      <c r="H29" s="159"/>
      <c r="I29" s="159"/>
      <c r="J29" s="159"/>
    </row>
    <row r="30" spans="1:10" s="5" customFormat="1" ht="14.25" customHeight="1">
      <c r="A30" s="111" t="s">
        <v>54</v>
      </c>
      <c r="B30" s="160"/>
      <c r="C30" s="111" t="s">
        <v>55</v>
      </c>
      <c r="D30" s="160"/>
      <c r="E30" s="160"/>
      <c r="F30" s="27" t="s">
        <v>27</v>
      </c>
      <c r="G30" s="125">
        <v>10</v>
      </c>
      <c r="H30" s="160"/>
      <c r="I30" s="125">
        <v>5</v>
      </c>
      <c r="J30" s="160"/>
    </row>
    <row r="31" spans="1:10" s="7" customFormat="1" ht="24.95" customHeight="1">
      <c r="A31" s="109" t="s">
        <v>56</v>
      </c>
      <c r="B31" s="159"/>
      <c r="C31" s="111"/>
      <c r="D31" s="159"/>
      <c r="E31" s="159"/>
      <c r="F31" s="111"/>
      <c r="G31" s="159"/>
      <c r="H31" s="159"/>
      <c r="I31" s="159"/>
      <c r="J31" s="159"/>
    </row>
    <row r="32" spans="1:10" s="5" customFormat="1" ht="14.25" customHeight="1">
      <c r="A32" s="111"/>
      <c r="B32" s="160"/>
      <c r="C32" s="111"/>
      <c r="D32" s="160"/>
      <c r="E32" s="160"/>
      <c r="F32" s="27"/>
      <c r="G32" s="125"/>
      <c r="H32" s="160"/>
      <c r="I32" s="125"/>
      <c r="J32" s="160"/>
    </row>
    <row r="33" spans="1:22" s="7" customFormat="1" ht="24.95" customHeight="1">
      <c r="A33" s="109"/>
      <c r="B33" s="159"/>
      <c r="C33" s="111"/>
      <c r="D33" s="159"/>
      <c r="E33" s="159"/>
      <c r="F33" s="111"/>
      <c r="G33" s="159"/>
      <c r="H33" s="159"/>
      <c r="I33" s="159"/>
      <c r="J33" s="159"/>
    </row>
    <row r="34" spans="1:22" s="5" customFormat="1" ht="14.25" customHeight="1">
      <c r="A34" s="111"/>
      <c r="B34" s="160"/>
      <c r="C34" s="111"/>
      <c r="D34" s="160"/>
      <c r="E34" s="160"/>
      <c r="F34" s="27"/>
      <c r="G34" s="125"/>
      <c r="H34" s="160"/>
      <c r="I34" s="125"/>
      <c r="J34" s="160"/>
    </row>
    <row r="35" spans="1:22" s="7" customFormat="1" ht="24.95" customHeight="1">
      <c r="A35" s="109"/>
      <c r="B35" s="159"/>
      <c r="C35" s="111"/>
      <c r="D35" s="159"/>
      <c r="E35" s="159"/>
      <c r="F35" s="111"/>
      <c r="G35" s="159"/>
      <c r="H35" s="159"/>
      <c r="I35" s="159"/>
      <c r="J35" s="159"/>
    </row>
    <row r="36" spans="1:22" s="5" customFormat="1" ht="14.25" customHeight="1">
      <c r="A36" s="111"/>
      <c r="B36" s="160"/>
      <c r="C36" s="111"/>
      <c r="D36" s="160"/>
      <c r="E36" s="160"/>
      <c r="F36" s="27"/>
      <c r="G36" s="125"/>
      <c r="H36" s="160"/>
      <c r="I36" s="125"/>
      <c r="J36" s="160"/>
    </row>
    <row r="37" spans="1:22" s="7" customFormat="1" ht="24.95" customHeight="1">
      <c r="A37" s="109"/>
      <c r="B37" s="159"/>
      <c r="C37" s="111"/>
      <c r="D37" s="159"/>
      <c r="E37" s="159"/>
      <c r="F37" s="111"/>
      <c r="G37" s="159"/>
      <c r="H37" s="159"/>
      <c r="I37" s="159"/>
      <c r="J37" s="159"/>
    </row>
    <row r="38" spans="1:22" s="5" customFormat="1" ht="18" customHeight="1">
      <c r="A38" s="112" t="s">
        <v>119</v>
      </c>
      <c r="B38" s="113"/>
      <c r="C38" s="113"/>
      <c r="D38" s="113"/>
      <c r="E38" s="28" t="s">
        <v>120</v>
      </c>
      <c r="F38" s="29"/>
      <c r="G38" s="114" t="s">
        <v>121</v>
      </c>
      <c r="H38" s="115"/>
      <c r="I38" s="30" t="s">
        <v>122</v>
      </c>
      <c r="J38" s="31" t="s">
        <v>123</v>
      </c>
    </row>
    <row r="39" spans="1:22" s="7" customFormat="1" ht="18" customHeight="1">
      <c r="A39" s="116" t="str">
        <f>F3</f>
        <v>463301-2200灯具ｶﾊﾞｰPC</v>
      </c>
      <c r="B39" s="117"/>
      <c r="C39" s="117"/>
      <c r="D39" s="117"/>
      <c r="E39" s="161" t="str">
        <f>IFERROR(IF(OR(J39="", F9="", F9=0, J39/F9=0), C30&amp;" 　 "&amp;""&amp;"      枚", C30&amp;" 　 "&amp;J39/F9&amp;"      枚"), C30&amp;" 　 "&amp;""&amp;"      枚")</f>
        <v>H型ｼﾞｮｲﾅ- 　 10      枚</v>
      </c>
      <c r="F39" s="162"/>
      <c r="G39" s="32" t="s">
        <v>124</v>
      </c>
      <c r="H39" s="33">
        <f>_xlfn.XLOOKUP(RIGHT($B7,8), [1]加工記録２!$B:$B,[1]加工記録２!AH:AH)</f>
        <v>0</v>
      </c>
      <c r="I39" s="122">
        <f>MAX(I51:I55)</f>
        <v>45798</v>
      </c>
      <c r="J39" s="89">
        <f>_xlfn.XLOOKUP(RIGHT($B7,8), [1]加工記録２!$B:$B,[1]加工記録２!AD:AD,,0)</f>
        <v>20</v>
      </c>
    </row>
    <row r="40" spans="1:22" s="5" customFormat="1" ht="18" customHeight="1">
      <c r="A40" s="118"/>
      <c r="B40" s="119"/>
      <c r="C40" s="119"/>
      <c r="D40" s="119"/>
      <c r="E40" s="124" t="s">
        <v>158</v>
      </c>
      <c r="F40" s="124"/>
      <c r="G40" s="32" t="s">
        <v>126</v>
      </c>
      <c r="H40" s="33">
        <f>_xlfn.XLOOKUP(RIGHT($B7,8), [1]加工記録２!$B:$B,[1]加工記録２!AI:AI,,0)</f>
        <v>4</v>
      </c>
      <c r="I40" s="123"/>
      <c r="J40" s="89"/>
      <c r="K40" s="34"/>
    </row>
    <row r="41" spans="1:22" s="7" customFormat="1" ht="18" customHeight="1">
      <c r="A41" s="80" t="s">
        <v>127</v>
      </c>
      <c r="B41" s="92" t="str">
        <f>_xlfn.XLOOKUP(A12,[1]!テーブル5[品目コード],[1]!テーブル5[温度換算],,2)</f>
        <v>〇</v>
      </c>
      <c r="C41" s="94" t="s">
        <v>128</v>
      </c>
      <c r="D41" s="96">
        <f>_xlfn.XLOOKUP(A12,[1]!テーブル5[品目コード],[1]!テーブル5[取数],,2)</f>
        <v>2</v>
      </c>
      <c r="E41" s="98" t="s">
        <v>129</v>
      </c>
      <c r="F41" s="98"/>
      <c r="G41" s="32" t="s">
        <v>130</v>
      </c>
      <c r="H41" s="33">
        <f>_xlfn.XLOOKUP(RIGHT($B7,8), [1]加工記録２!$B:$B,[1]加工記録２!AJ:AJ,,0)</f>
        <v>0</v>
      </c>
      <c r="I41" s="30" t="s">
        <v>131</v>
      </c>
      <c r="J41" s="30" t="s">
        <v>132</v>
      </c>
      <c r="K41" s="35"/>
    </row>
    <row r="42" spans="1:22" s="5" customFormat="1" ht="18" customHeight="1">
      <c r="A42" s="80"/>
      <c r="B42" s="93"/>
      <c r="C42" s="95"/>
      <c r="D42" s="97"/>
      <c r="E42" s="99" t="str">
        <f>_xlfn.XLOOKUP(A12,[1]!テーブル5[品目コード],[1]!テーブル5[備考１],,2)</f>
        <v>梱包箱:薄型1334　1/4</v>
      </c>
      <c r="F42" s="99"/>
      <c r="G42" s="32" t="s">
        <v>133</v>
      </c>
      <c r="H42" s="33">
        <f>_xlfn.XLOOKUP(RIGHT($B7,8), [1]加工記録２!$B:$B,[1]加工記録２!AK:AK,,0)</f>
        <v>0</v>
      </c>
      <c r="I42" s="100" t="str">
        <f>_xlfn.XLOOKUP(RIGHT($B7,8), [1]加工記録２!$B:$B,[1]加工記録２!CA:CA,,0)</f>
        <v>水野</v>
      </c>
      <c r="J42" s="100" t="str">
        <f>_xlfn.XLOOKUP(RIGHT($B7,8), [1]加工記録２!$B:$B,[1]加工記録２!CB:CB,,0)</f>
        <v>高森</v>
      </c>
      <c r="K42" s="34"/>
    </row>
    <row r="43" spans="1:22" s="7" customFormat="1" ht="18" customHeight="1">
      <c r="A43" s="102" t="s">
        <v>134</v>
      </c>
      <c r="B43" s="103">
        <f>D3</f>
        <v>221</v>
      </c>
      <c r="C43" s="105" t="s">
        <v>135</v>
      </c>
      <c r="D43" s="86" t="str">
        <f>_xlfn.XLOOKUP(A12,[1]!テーブル5[品目コード],[1]!テーブル5[上限公差],,2)</f>
        <v>+2</v>
      </c>
      <c r="E43" s="99" t="str">
        <f>_xlfn.XLOOKUP(A12,[1]!テーブル5[品目コード],[1]!テーブル5[備考２],,2)</f>
        <v>クラフト紙：1996型　1/8</v>
      </c>
      <c r="F43" s="99"/>
      <c r="G43" s="32" t="s">
        <v>136</v>
      </c>
      <c r="H43" s="33">
        <f>_xlfn.XLOOKUP(RIGHT($B7,8), [1]加工記録２!$B:$B,[1]加工記録２!AL:AL,,0)</f>
        <v>0</v>
      </c>
      <c r="I43" s="101"/>
      <c r="J43" s="101"/>
      <c r="K43" s="35"/>
    </row>
    <row r="44" spans="1:22" s="5" customFormat="1" ht="18" customHeight="1">
      <c r="A44" s="102"/>
      <c r="B44" s="104"/>
      <c r="C44" s="106"/>
      <c r="D44" s="107"/>
      <c r="E44" s="108" t="s">
        <v>137</v>
      </c>
      <c r="F44" s="108"/>
      <c r="G44" s="32" t="s">
        <v>138</v>
      </c>
      <c r="H44" s="33">
        <f>_xlfn.XLOOKUP(RIGHT($B7,8), [1]加工記録２!$B:$B,[1]加工記録２!AM:AM,,0)</f>
        <v>0</v>
      </c>
      <c r="I44" s="36" t="s">
        <v>139</v>
      </c>
      <c r="J44" s="36" t="s">
        <v>140</v>
      </c>
      <c r="K44" s="34"/>
    </row>
    <row r="45" spans="1:22" s="7" customFormat="1" ht="18" customHeight="1">
      <c r="A45" s="80" t="s">
        <v>141</v>
      </c>
      <c r="B45" s="82" t="str">
        <f>_xlfn.XLOOKUP(A12,[1]!テーブル5[品目コード],[1]!テーブル5[切断寸法],,2)</f>
        <v>換算表確認</v>
      </c>
      <c r="C45" s="84" t="s">
        <v>142</v>
      </c>
      <c r="D45" s="86">
        <f>_xlfn.XLOOKUP(A12,[1]!テーブル5[品目コード],[1]!テーブル5[下限公差],,2)</f>
        <v>-2</v>
      </c>
      <c r="E45" s="88" t="str">
        <f>_xlfn.XLOOKUP(A12,[1]!テーブル5[品目コード],[1]!テーブル5[梱包方法],,2)</f>
        <v>ラベル２枚　長手有　鉢巻無</v>
      </c>
      <c r="F45" s="88"/>
      <c r="G45" s="32" t="s">
        <v>143</v>
      </c>
      <c r="H45" s="33">
        <f>_xlfn.XLOOKUP(RIGHT($B7,8), [1]加工記録２!$B:$B,[1]加工記録２!AN:AN,,0)</f>
        <v>0</v>
      </c>
      <c r="I45" s="89">
        <f>_xlfn.XLOOKUP(RIGHT($B7,8), [1]加工記録２!$B:$B,[1]加工記録２!AF:AF,,0)</f>
        <v>4</v>
      </c>
      <c r="J45" s="89">
        <f>_xlfn.XLOOKUP(RIGHT($B7,8), [1]加工記録２!$B:$B,[1]加工記録２!AE:AE,,0)</f>
        <v>2</v>
      </c>
      <c r="K45" s="35"/>
    </row>
    <row r="46" spans="1:22" s="5" customFormat="1" ht="18" customHeight="1" thickBot="1">
      <c r="A46" s="81"/>
      <c r="B46" s="83"/>
      <c r="C46" s="85"/>
      <c r="D46" s="87"/>
      <c r="E46" s="90"/>
      <c r="F46" s="90"/>
      <c r="G46" s="37" t="s">
        <v>144</v>
      </c>
      <c r="H46" s="38">
        <f>SUM(H39:H45)</f>
        <v>4</v>
      </c>
      <c r="I46" s="89"/>
      <c r="J46" s="89"/>
    </row>
    <row r="47" spans="1:22" s="47" customFormat="1" ht="18.95" customHeight="1">
      <c r="A47" s="39" t="s">
        <v>145</v>
      </c>
      <c r="B47" s="40" t="s">
        <v>146</v>
      </c>
      <c r="C47" s="41" t="s">
        <v>147</v>
      </c>
      <c r="D47" s="41" t="s">
        <v>148</v>
      </c>
      <c r="E47" s="42" t="s">
        <v>149</v>
      </c>
      <c r="F47" s="43" t="s">
        <v>150</v>
      </c>
      <c r="G47" s="42" t="s">
        <v>151</v>
      </c>
      <c r="H47" s="44" t="s">
        <v>152</v>
      </c>
      <c r="I47" s="45" t="s">
        <v>153</v>
      </c>
      <c r="J47" s="36" t="s">
        <v>154</v>
      </c>
      <c r="K47" s="46"/>
      <c r="L47" s="46"/>
      <c r="M47" s="46"/>
      <c r="N47" s="46"/>
    </row>
    <row r="48" spans="1:22" s="56" customFormat="1" ht="18.95" customHeight="1">
      <c r="A48" s="48" t="str">
        <f>IFERROR(_xlfn.XLOOKUP(RIGHT($B7,8)&amp;$J39,[1]加工記録２!B:B&amp;[1]加工記録２!AD:AD,[1]加工記録２!BB:BB,,0),"/")</f>
        <v/>
      </c>
      <c r="B48" s="49" t="str">
        <f>_xlfn.XLOOKUP(RIGHT($B7,8),[1]加工記録２!$B:$B,[1]加工記録２!BJ:BJ,,0)</f>
        <v/>
      </c>
      <c r="C48" s="50"/>
      <c r="D48" s="51"/>
      <c r="E48" s="50"/>
      <c r="F48" s="52" t="s">
        <v>155</v>
      </c>
      <c r="G48" s="53" t="str">
        <f>IFERROR(SUM(H48*$D41),"")</f>
        <v/>
      </c>
      <c r="H48" s="54" t="str">
        <f>_xlfn.XLOOKUP(RIGHT($B7,8),[1]加工記録２!$B:$B,[1]加工記録２!BR:BR,,0)</f>
        <v/>
      </c>
      <c r="I48" s="91">
        <f>_xlfn.XLOOKUP(RIGHT($B7,8), [1]加工記録２!$B:$B,[1]加工記録２!AO:AO,,0)</f>
        <v>0</v>
      </c>
      <c r="J48" s="89">
        <f>_xlfn.XLOOKUP(RIGHT($B7,8), [1]加工記録２!$B:$B,[1]加工記録２!AG:AG,,0)</f>
        <v>12</v>
      </c>
      <c r="K48" s="55"/>
      <c r="L48" s="55"/>
      <c r="M48" s="55"/>
      <c r="N48" s="55"/>
      <c r="V48" s="57"/>
    </row>
    <row r="49" spans="1:14" s="56" customFormat="1" ht="18.95" customHeight="1" thickBot="1">
      <c r="A49" s="58">
        <f>IFERROR(_xlfn.XLOOKUP(RIGHT($B7,8)&amp;$J39,[1]加工記録２!B:B&amp;[1]加工記録２!AD:AD,[1]加工記録２!BC:BC,,0),"/")</f>
        <v>45798</v>
      </c>
      <c r="B49" s="59" t="str">
        <f>_xlfn.XLOOKUP(RIGHT($B7,8),[1]加工記録２!$B:$B,[1]加工記録２!BK:BK,,0)</f>
        <v>25E16-01</v>
      </c>
      <c r="C49" s="59">
        <f>_xlfn.XLOOKUP(RIGHT($B7,8),[1]加工記録２!$B:$B,[1]加工記録２!P:P,,0)</f>
        <v>26</v>
      </c>
      <c r="D49" s="60">
        <f>IFERROR(_xlfn.XLOOKUP(IF(_xlfn.XLOOKUP(RIGHT($B7,8),[1]加工記録２!$B:$B,[1]加工記録２!C:C,,0)="","",_xlfn.XLOOKUP(RIGHT($B7,8),[1]加工記録２!$B:$B,[1]加工記録２!C:C,,0))&amp;C49,[1]温度換算!A:A,[1]温度換算!C:C),"")</f>
        <v>222.3</v>
      </c>
      <c r="E49" s="61">
        <f>_xlfn.XLOOKUP(RIGHT($B7,8), [1]加工記録２!$B:$B,[1]加工記録２!W:W,,0)</f>
        <v>221.85</v>
      </c>
      <c r="F49" s="62"/>
      <c r="G49" s="63">
        <f>IFERROR(SUM(H49*$D41),"")</f>
        <v>24</v>
      </c>
      <c r="H49" s="64">
        <f>_xlfn.XLOOKUP(RIGHT($B7,8),[1]加工記録２!$B:$B,[1]加工記録２!BS:BS,,0)</f>
        <v>12</v>
      </c>
      <c r="I49" s="91"/>
      <c r="J49" s="89"/>
      <c r="K49" s="55"/>
      <c r="L49" s="55"/>
      <c r="M49" s="55"/>
      <c r="N49" s="55"/>
    </row>
    <row r="50" spans="1:14" s="56" customFormat="1" ht="18.95" customHeight="1" thickBot="1">
      <c r="A50" s="58">
        <f>IFERROR(_xlfn.XLOOKUP(RIGHT($B7,8)&amp;$J39,[1]加工記録２!B:B&amp;[1]加工記録２!AD:AD,[1]加工記録２!BD:BD,,0),"/")</f>
        <v>45798</v>
      </c>
      <c r="B50" s="59" t="str">
        <f>_xlfn.XLOOKUP(RIGHT($B7,8),[1]加工記録２!B:B,[1]加工記録２!BL:BL,,0)</f>
        <v>25E16-01</v>
      </c>
      <c r="C50" s="59">
        <f>_xlfn.XLOOKUP(RIGHT($B7,8),[1]加工記録２!$B:$B,[1]加工記録２!Q:Q,,0)</f>
        <v>26</v>
      </c>
      <c r="D50" s="60">
        <f>IFERROR(_xlfn.XLOOKUP(IF(_xlfn.XLOOKUP(RIGHT($B7,8),[1]加工記録２!$B:$B,[1]加工記録２!C:C,,0)="","",_xlfn.XLOOKUP(RIGHT($B7,8),[1]加工記録２!$B:$B,[1]加工記録２!C:C,,0))&amp;C50,[1]温度換算!A:A,[1]温度換算!C:C),"")</f>
        <v>222.3</v>
      </c>
      <c r="E50" s="61">
        <f>_xlfn.XLOOKUP(RIGHT($B7,8), [1]加工記録２!$B:$B,[1]加工記録２!X:X,,0)</f>
        <v>221.83</v>
      </c>
      <c r="F50" s="62"/>
      <c r="G50" s="63" t="str">
        <f>IFERROR(SUM(H50*$D41),"")</f>
        <v/>
      </c>
      <c r="H50" s="64" t="str">
        <f>_xlfn.XLOOKUP(RIGHT($B7,8),[1]加工記録２!$B:$B,[1]加工記録２!BT:BT,,0)</f>
        <v/>
      </c>
      <c r="I50" s="65" t="s">
        <v>156</v>
      </c>
      <c r="J50" s="66" t="s">
        <v>157</v>
      </c>
      <c r="K50" s="55"/>
      <c r="L50" s="55"/>
      <c r="M50" s="55"/>
      <c r="N50" s="55"/>
    </row>
    <row r="51" spans="1:14" s="56" customFormat="1" ht="18.95" customHeight="1">
      <c r="A51" s="58" t="str">
        <f>IFERROR(_xlfn.XLOOKUP(RIGHT($B7,8)&amp;$J39,[1]加工記録２!B:B&amp;[1]加工記録２!AD:AD,[1]加工記録２!BE:BE,,0),"/")</f>
        <v/>
      </c>
      <c r="B51" s="59" t="str">
        <f>_xlfn.XLOOKUP(RIGHT($B7,8),[1]加工記録２!B:B,[1]加工記録２!BM:BM,,0)</f>
        <v/>
      </c>
      <c r="C51" s="59" t="str">
        <f>_xlfn.XLOOKUP(RIGHT($B7,8),[1]加工記録２!$B:$B,[1]加工記録２!R:R,,0)</f>
        <v/>
      </c>
      <c r="D51" s="60" t="str">
        <f>IFERROR(_xlfn.XLOOKUP(IF(_xlfn.XLOOKUP(RIGHT($B7,8),[1]加工記録２!$B:$B,[1]加工記録２!C:C,,0)="","",_xlfn.XLOOKUP(RIGHT($B7,8),[1]加工記録２!$B:$B,[1]加工記録２!C:C,,0))&amp;C51,[1]温度換算!A:A,[1]温度換算!C:C),"")</f>
        <v/>
      </c>
      <c r="E51" s="61" t="str">
        <f>_xlfn.XLOOKUP(RIGHT($B7,8), [1]加工記録２!$B:$B,[1]加工記録２!Y:Y,,0)</f>
        <v/>
      </c>
      <c r="F51" s="62"/>
      <c r="G51" s="63" t="str">
        <f>IFERROR(SUM(H51*$D41),"")</f>
        <v/>
      </c>
      <c r="H51" s="64" t="str">
        <f>_xlfn.XLOOKUP(RIGHT($B7,8),[1]加工記録２!$B:$B,[1]加工記録２!BU:BU,,0)</f>
        <v/>
      </c>
      <c r="I51" s="67">
        <f>_xlfn.LET(_xlpm.val,_xlfn.XLOOKUP(RIGHT($B7,8),[1]加工記録２!$B:$B,[1]加工記録２!AQ:AQ,""),IF(OR(_xlpm.val="",_xlpm.val=0),"",_xlpm.val))</f>
        <v>45798</v>
      </c>
      <c r="J51" s="68">
        <f>_xlfn.LET(_xlpm.val,_xlfn.XLOOKUP(RIGHT($B7,8),[1]加工記録２!$B:$B,[1]加工記録２!AR:AR,""),IF(OR(_xlpm.val="",_xlpm.val=0),"",_xlpm.val))</f>
        <v>10</v>
      </c>
      <c r="K51" s="55"/>
      <c r="L51" s="55"/>
      <c r="M51" s="55"/>
      <c r="N51" s="55"/>
    </row>
    <row r="52" spans="1:14" s="56" customFormat="1" ht="18.95" customHeight="1">
      <c r="A52" s="58" t="str">
        <f>IFERROR(_xlfn.XLOOKUP(RIGHT($B7,8)&amp;$J39,[1]加工記録２!B:B&amp;[1]加工記録２!AD:AD,[1]加工記録２!BF:BF,,0),"/")</f>
        <v/>
      </c>
      <c r="B52" s="59" t="str">
        <f>_xlfn.XLOOKUP(RIGHT($B7,8),[1]加工記録２!B:B,[1]加工記録２!BN:BN,,0)</f>
        <v/>
      </c>
      <c r="C52" s="59" t="str">
        <f>_xlfn.XLOOKUP(RIGHT($B7,8),[1]加工記録２!$B:$B,[1]加工記録２!S:S,,0)</f>
        <v/>
      </c>
      <c r="D52" s="60" t="str">
        <f>IFERROR(_xlfn.XLOOKUP(IF(_xlfn.XLOOKUP(RIGHT($B7,8),[1]加工記録２!$B:$B,[1]加工記録２!C:C,,0)="","",_xlfn.XLOOKUP(RIGHT($B7,8),[1]加工記録２!$B:$B,[1]加工記録２!C:C,,0))&amp;C52,[1]温度換算!A:A,[1]温度換算!C:C),"")</f>
        <v/>
      </c>
      <c r="E52" s="61" t="str">
        <f>_xlfn.XLOOKUP(RIGHT($B7,8), [1]加工記録２!$B:$B,[1]加工記録２!Z:Z,,0)</f>
        <v/>
      </c>
      <c r="F52" s="62"/>
      <c r="G52" s="63" t="str">
        <f>IFERROR(SUM(H52*$D41),"")</f>
        <v/>
      </c>
      <c r="H52" s="64" t="str">
        <f>_xlfn.XLOOKUP(RIGHT($B7,8),[1]加工記録２!$B:$B,[1]加工記録２!BV:BV,,0)</f>
        <v/>
      </c>
      <c r="I52" s="69" t="str">
        <f>_xlfn.LET(_xlpm.val,_xlfn.XLOOKUP(RIGHT($B7,8),[1]加工記録２!$B:$B,[1]加工記録２!AS:AS,""),IF(OR(_xlpm.val="",_xlpm.val=0),"",_xlpm.val))</f>
        <v/>
      </c>
      <c r="J52" s="70" t="str">
        <f>_xlfn.LET(_xlpm.val,_xlfn.XLOOKUP(RIGHT($B7,8),[1]加工記録２!$B:$B,[1]加工記録２!AT:AT,""),IF(OR(_xlpm.val="",_xlpm.val=0),"",_xlpm.val))</f>
        <v/>
      </c>
      <c r="K52" s="55"/>
      <c r="L52" s="55"/>
      <c r="M52" s="55"/>
      <c r="N52" s="55"/>
    </row>
    <row r="53" spans="1:14" s="56" customFormat="1" ht="18.95" customHeight="1">
      <c r="A53" s="58" t="str">
        <f>IFERROR(_xlfn.XLOOKUP(RIGHT($B7,8)&amp;$J39,[1]加工記録２!B:B&amp;[1]加工記録２!AD:AD,[1]加工記録２!BG:BG,,0),"/")</f>
        <v/>
      </c>
      <c r="B53" s="59" t="str">
        <f>_xlfn.XLOOKUP(RIGHT($B7,8),[1]加工記録２!B:B,[1]加工記録２!BO:BO,,0)</f>
        <v/>
      </c>
      <c r="C53" s="59" t="str">
        <f>_xlfn.XLOOKUP(RIGHT($B7,8),[1]加工記録２!$B:$B,[1]加工記録２!T:T,,0)</f>
        <v/>
      </c>
      <c r="D53" s="60" t="str">
        <f>IFERROR(_xlfn.XLOOKUP(IF(_xlfn.XLOOKUP(RIGHT($B7,8),[1]加工記録２!$B:$B,[1]加工記録２!C:C,,0)="","",_xlfn.XLOOKUP(RIGHT($B7,8),[1]加工記録２!$B:$B,[1]加工記録２!C:C,,0))&amp;C53,[1]温度換算!A:A,[1]温度換算!C:C),"")</f>
        <v/>
      </c>
      <c r="E53" s="61" t="str">
        <f>_xlfn.XLOOKUP(RIGHT($B7,8), [1]加工記録２!$B:$B,[1]加工記録２!AA:AA,,0)</f>
        <v/>
      </c>
      <c r="F53" s="62"/>
      <c r="G53" s="63" t="str">
        <f>IFERROR(SUM(H53*$D41),"")</f>
        <v/>
      </c>
      <c r="H53" s="64" t="str">
        <f>_xlfn.XLOOKUP(RIGHT($B7,8),[1]加工記録２!$B:$B,[1]加工記録２!BW:BW,,0)</f>
        <v/>
      </c>
      <c r="I53" s="69" t="str">
        <f>_xlfn.LET(_xlpm.val,_xlfn.XLOOKUP(RIGHT($B7,8),[1]加工記録２!$B:$B,[1]加工記録２!AU:AU,""),IF(OR(_xlpm.val="",_xlpm.val=0),"",_xlpm.val))</f>
        <v/>
      </c>
      <c r="J53" s="70" t="str">
        <f>_xlfn.LET(_xlpm.val,_xlfn.XLOOKUP(RIGHT($B7,8),[1]加工記録２!$B:$B,[1]加工記録２!AV:AV,""),IF(OR(_xlpm.val="",_xlpm.val=0),"",_xlpm.val))</f>
        <v/>
      </c>
      <c r="K53" s="55"/>
      <c r="L53" s="55"/>
      <c r="M53" s="55"/>
      <c r="N53" s="55"/>
    </row>
    <row r="54" spans="1:14" s="56" customFormat="1" ht="18.95" customHeight="1">
      <c r="A54" s="58" t="str">
        <f>IFERROR(_xlfn.XLOOKUP(RIGHT($B7,8)&amp;$J39,[1]加工記録２!B:B&amp;[1]加工記録２!AD:AD,[1]加工記録２!BH:BH,,0),"/")</f>
        <v/>
      </c>
      <c r="B54" s="59" t="str">
        <f>_xlfn.XLOOKUP(RIGHT($B7,8),[1]加工記録２!B:B,[1]加工記録２!BP:BP,,0)</f>
        <v/>
      </c>
      <c r="C54" s="59" t="str">
        <f>_xlfn.XLOOKUP(RIGHT($B7,8),[1]加工記録２!$B:$B,[1]加工記録２!U:U,,0)</f>
        <v/>
      </c>
      <c r="D54" s="60" t="str">
        <f>IFERROR(_xlfn.XLOOKUP(IF(_xlfn.XLOOKUP(RIGHT($B7,8),[1]加工記録２!$B:$B,[1]加工記録２!C:C,,0)="","",_xlfn.XLOOKUP(RIGHT($B7,8),[1]加工記録２!$B:$B,[1]加工記録２!C:C,,0))&amp;C54,[1]温度換算!A:A,[1]温度換算!C:C),"")</f>
        <v/>
      </c>
      <c r="E54" s="61" t="str">
        <f>_xlfn.XLOOKUP(RIGHT($B7,8), [1]加工記録２!$B:$B,[1]加工記録２!AB:AB,,0)</f>
        <v/>
      </c>
      <c r="F54" s="62"/>
      <c r="G54" s="63" t="str">
        <f>IFERROR(SUM(H54*$D41),"")</f>
        <v/>
      </c>
      <c r="H54" s="64" t="str">
        <f>_xlfn.XLOOKUP(RIGHT($B7,8),[1]加工記録２!$B:$B,[1]加工記録２!BX:BX,,0)</f>
        <v/>
      </c>
      <c r="I54" s="69" t="str">
        <f>_xlfn.LET(_xlpm.val,_xlfn.XLOOKUP(RIGHT($B7,8),[1]加工記録２!$B:$B,[1]加工記録２!AW:AW,""),IF(OR(_xlpm.val="",_xlpm.val=0),"",_xlpm.val))</f>
        <v/>
      </c>
      <c r="J54" s="70" t="str">
        <f>_xlfn.LET(_xlpm.val,_xlfn.XLOOKUP(RIGHT($B7,8),[1]加工記録２!$B:$B,[1]加工記録２!AX:AX,""),IF(OR(_xlpm.val="",_xlpm.val=0),"",_xlpm.val))</f>
        <v/>
      </c>
      <c r="K54" s="55"/>
      <c r="L54" s="55"/>
      <c r="M54" s="55"/>
      <c r="N54" s="55"/>
    </row>
    <row r="55" spans="1:14" s="56" customFormat="1" ht="18.95" customHeight="1" thickBot="1">
      <c r="A55" s="71" t="str">
        <f>IFERROR(_xlfn.XLOOKUP(RIGHT($B7,8)&amp;$J39,[1]加工記録２!B:B&amp;[1]加工記録２!AD:AD,[1]加工記録２!BI:BI,,0),"/")</f>
        <v/>
      </c>
      <c r="B55" s="72" t="str">
        <f>_xlfn.XLOOKUP(RIGHT($B7,8),[1]加工記録２!B:B,[1]加工記録２!BQ:BQ,,0)</f>
        <v/>
      </c>
      <c r="C55" s="72" t="str">
        <f>_xlfn.XLOOKUP(RIGHT($B7,8),[1]加工記録２!$B:$B,[1]加工記録２!V:V,,0)</f>
        <v/>
      </c>
      <c r="D55" s="73" t="str">
        <f>IFERROR(_xlfn.XLOOKUP(IF(_xlfn.XLOOKUP(RIGHT($B7,8),[1]加工記録２!$B:$B,[1]加工記録２!C:C,,0)="","",_xlfn.XLOOKUP(RIGHT($B7,8),[1]加工記録２!$B:$B,[1]加工記録２!C:C,,0))&amp;C55,[1]温度換算!A:A,[1]温度換算!C:C),"")</f>
        <v/>
      </c>
      <c r="E55" s="74" t="str">
        <f>_xlfn.XLOOKUP(RIGHT($B7,8), [1]加工記録２!$B:$B,[1]加工記録２!AC:AC,,0)</f>
        <v/>
      </c>
      <c r="F55" s="75"/>
      <c r="G55" s="76" t="str">
        <f>IFERROR(SUM(H55*$D41),"")</f>
        <v/>
      </c>
      <c r="H55" s="77" t="str">
        <f>_xlfn.XLOOKUP(RIGHT($B7,8),[1]加工記録２!$B:$B,[1]加工記録２!BY:BY,,0)</f>
        <v/>
      </c>
      <c r="I55" s="78" t="str">
        <f>_xlfn.LET(_xlpm.val,_xlfn.XLOOKUP(RIGHT($B7,8),[1]加工記録２!$B:$B,[1]加工記録２!AY:AY,""),IF(OR(_xlpm.val="",_xlpm.val=0),"",_xlpm.val))</f>
        <v/>
      </c>
      <c r="J55" s="79" t="str">
        <f>_xlfn.LET(_xlpm.val,_xlfn.XLOOKUP(RIGHT($B7,8),[1]加工記録２!$B:$B,[1]加工記録２!AZ:AZ,""),IF(OR(_xlpm.val="",_xlpm.val=0),"",_xlpm.val))</f>
        <v/>
      </c>
      <c r="K55" s="55"/>
      <c r="L55" s="55"/>
      <c r="M55" s="55"/>
      <c r="N55" s="55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51" t="s">
        <v>0</v>
      </c>
      <c r="C58" s="110"/>
      <c r="D58" s="110"/>
      <c r="E58" s="12"/>
      <c r="F58" s="12"/>
      <c r="G58" s="12"/>
      <c r="H58" s="12"/>
      <c r="I58" s="12"/>
      <c r="J58" s="12"/>
    </row>
    <row r="59" spans="1:14" ht="14.25" customHeight="1">
      <c r="A59" s="13"/>
      <c r="B59" s="110"/>
      <c r="C59" s="110"/>
      <c r="D59" s="110"/>
      <c r="E59" s="13"/>
      <c r="F59" s="13"/>
      <c r="G59" s="13"/>
      <c r="H59" s="13"/>
      <c r="I59" s="13"/>
      <c r="J59" s="13"/>
    </row>
    <row r="60" spans="1:14" ht="14.25" customHeight="1">
      <c r="A60" s="152" t="s">
        <v>1</v>
      </c>
      <c r="B60" s="152" t="s">
        <v>57</v>
      </c>
      <c r="C60" s="152" t="s">
        <v>3</v>
      </c>
      <c r="D60" s="153">
        <v>547</v>
      </c>
      <c r="E60" s="152" t="s">
        <v>4</v>
      </c>
      <c r="F60" s="154" t="s">
        <v>58</v>
      </c>
      <c r="G60" s="110"/>
      <c r="H60" s="150"/>
      <c r="I60" s="14" t="s">
        <v>6</v>
      </c>
      <c r="J60" s="14" t="s">
        <v>7</v>
      </c>
    </row>
    <row r="61" spans="1:14" ht="14.25" customHeight="1">
      <c r="A61" s="110"/>
      <c r="B61" s="110"/>
      <c r="C61" s="110"/>
      <c r="D61" s="110"/>
      <c r="E61" s="110"/>
      <c r="F61" s="110"/>
      <c r="G61" s="110"/>
      <c r="H61" s="150"/>
      <c r="I61" s="155"/>
      <c r="J61" s="155"/>
    </row>
    <row r="62" spans="1:14" ht="17.45" customHeight="1">
      <c r="A62" s="136" t="s">
        <v>8</v>
      </c>
      <c r="B62" s="136" t="s">
        <v>59</v>
      </c>
      <c r="E62" s="136" t="s">
        <v>10</v>
      </c>
      <c r="F62" s="158" t="s">
        <v>11</v>
      </c>
      <c r="G62" s="110"/>
      <c r="H62" s="150"/>
      <c r="I62" s="156"/>
      <c r="J62" s="156"/>
    </row>
    <row r="63" spans="1:14" ht="17.45" customHeight="1">
      <c r="A63" s="110"/>
      <c r="B63" s="110"/>
      <c r="E63" s="110"/>
      <c r="F63" s="110"/>
      <c r="G63" s="110"/>
      <c r="H63" s="150"/>
      <c r="I63" s="15"/>
      <c r="J63" s="15"/>
    </row>
    <row r="64" spans="1:14" ht="17.45" customHeight="1">
      <c r="A64" s="136" t="s">
        <v>12</v>
      </c>
      <c r="B64" s="136" t="s">
        <v>60</v>
      </c>
      <c r="E64" s="2" t="s">
        <v>14</v>
      </c>
      <c r="F64" s="137" t="s">
        <v>15</v>
      </c>
      <c r="G64" s="110"/>
      <c r="H64" s="22"/>
    </row>
    <row r="65" spans="1:10" ht="17.45" customHeight="1">
      <c r="A65" s="110"/>
      <c r="B65" s="110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45814</v>
      </c>
      <c r="E66" s="2" t="s">
        <v>19</v>
      </c>
      <c r="F66" s="138">
        <v>16</v>
      </c>
      <c r="G66" s="110"/>
      <c r="H66" s="22"/>
    </row>
    <row r="67" spans="1:10" ht="17.45" customHeight="1">
      <c r="A67" s="2" t="s">
        <v>20</v>
      </c>
      <c r="B67" s="4">
        <v>45814</v>
      </c>
      <c r="E67" s="2" t="s">
        <v>21</v>
      </c>
      <c r="F67" s="22">
        <v>5</v>
      </c>
      <c r="G67" s="139" t="s">
        <v>22</v>
      </c>
      <c r="H67" s="141">
        <v>80</v>
      </c>
      <c r="I67" s="142"/>
      <c r="J67" s="143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40"/>
      <c r="H68" s="140"/>
      <c r="I68" s="130"/>
      <c r="J68" s="144"/>
    </row>
    <row r="69" spans="1:10" ht="13.5" customHeight="1">
      <c r="A69" s="145" t="s">
        <v>61</v>
      </c>
      <c r="B69" s="110"/>
      <c r="C69" s="110"/>
      <c r="D69" s="21"/>
      <c r="F69" s="3"/>
      <c r="G69" s="146" t="s">
        <v>26</v>
      </c>
      <c r="H69" s="148" t="s">
        <v>27</v>
      </c>
      <c r="I69" s="149" t="s">
        <v>28</v>
      </c>
      <c r="J69" s="150"/>
    </row>
    <row r="70" spans="1:10" ht="13.5" customHeight="1">
      <c r="A70" s="110"/>
      <c r="B70" s="110"/>
      <c r="C70" s="110"/>
      <c r="D70" s="21"/>
      <c r="F70" s="3"/>
      <c r="G70" s="147"/>
      <c r="H70" s="147"/>
      <c r="I70" s="130"/>
      <c r="J70" s="144"/>
    </row>
    <row r="71" spans="1:10" ht="13.5" customHeight="1">
      <c r="A71" s="1" t="s">
        <v>29</v>
      </c>
    </row>
    <row r="72" spans="1:10" ht="63" customHeight="1">
      <c r="A72" s="131"/>
      <c r="B72" s="132"/>
      <c r="C72" s="132"/>
      <c r="D72" s="132"/>
      <c r="E72" s="132"/>
      <c r="F72" s="132"/>
      <c r="G72" s="132"/>
      <c r="H72" s="132"/>
      <c r="I72" s="132"/>
      <c r="J72" s="132"/>
    </row>
    <row r="73" spans="1:10" ht="18.75">
      <c r="A73" s="24" t="s">
        <v>30</v>
      </c>
      <c r="B73" s="17" t="s">
        <v>31</v>
      </c>
      <c r="C73" s="133" t="s">
        <v>32</v>
      </c>
      <c r="D73" s="134"/>
      <c r="E73" s="17" t="s">
        <v>33</v>
      </c>
      <c r="F73" s="133" t="s">
        <v>34</v>
      </c>
      <c r="G73" s="134"/>
      <c r="H73" s="134"/>
      <c r="I73" s="135" t="s">
        <v>35</v>
      </c>
      <c r="J73" s="134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111" t="s">
        <v>37</v>
      </c>
      <c r="D75" s="110"/>
      <c r="E75" s="25" t="s">
        <v>40</v>
      </c>
      <c r="F75" s="111" t="s">
        <v>41</v>
      </c>
      <c r="G75" s="110"/>
      <c r="H75" s="110"/>
      <c r="I75" s="126"/>
      <c r="J75" s="110"/>
    </row>
    <row r="76" spans="1:10" ht="16.5" customHeight="1">
      <c r="A76" s="23">
        <v>1</v>
      </c>
      <c r="B76" s="26" t="s">
        <v>36</v>
      </c>
      <c r="C76" s="111" t="s">
        <v>37</v>
      </c>
      <c r="D76" s="110"/>
      <c r="E76" s="25" t="s">
        <v>42</v>
      </c>
      <c r="F76" s="111" t="s">
        <v>43</v>
      </c>
      <c r="G76" s="110"/>
      <c r="H76" s="110"/>
      <c r="I76" s="126"/>
      <c r="J76" s="110"/>
    </row>
    <row r="77" spans="1:10" ht="16.5" customHeight="1">
      <c r="A77" s="23"/>
      <c r="B77" s="26"/>
      <c r="C77" s="111"/>
      <c r="D77" s="110"/>
      <c r="E77" s="25"/>
      <c r="F77" s="111"/>
      <c r="G77" s="110"/>
      <c r="H77" s="110"/>
      <c r="I77" s="126"/>
      <c r="J77" s="110"/>
    </row>
    <row r="78" spans="1:10" ht="16.5" customHeight="1">
      <c r="A78" s="23"/>
      <c r="B78" s="26"/>
      <c r="C78" s="111"/>
      <c r="D78" s="110"/>
      <c r="E78" s="25"/>
      <c r="F78" s="111"/>
      <c r="G78" s="110"/>
      <c r="H78" s="110"/>
      <c r="I78" s="126"/>
      <c r="J78" s="110"/>
    </row>
    <row r="79" spans="1:10" ht="16.5" customHeight="1">
      <c r="A79" s="23"/>
      <c r="B79" s="26"/>
      <c r="C79" s="111"/>
      <c r="D79" s="110"/>
      <c r="E79" s="25"/>
      <c r="F79" s="111"/>
      <c r="G79" s="110"/>
      <c r="H79" s="110"/>
      <c r="I79" s="126"/>
      <c r="J79" s="110"/>
    </row>
    <row r="80" spans="1:10" ht="16.5" customHeight="1">
      <c r="A80" s="23"/>
      <c r="B80" s="26"/>
      <c r="C80" s="111"/>
      <c r="D80" s="110"/>
      <c r="E80" s="25"/>
      <c r="F80" s="111"/>
      <c r="G80" s="110"/>
      <c r="H80" s="110"/>
      <c r="I80" s="126"/>
      <c r="J80" s="110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27" t="s">
        <v>44</v>
      </c>
      <c r="B82" s="128"/>
      <c r="C82" s="127" t="s">
        <v>45</v>
      </c>
      <c r="D82" s="128"/>
      <c r="E82" s="128"/>
      <c r="F82" s="18" t="s">
        <v>46</v>
      </c>
      <c r="G82" s="127" t="s">
        <v>47</v>
      </c>
      <c r="H82" s="128"/>
      <c r="I82" s="127" t="s">
        <v>48</v>
      </c>
      <c r="J82" s="128"/>
    </row>
    <row r="83" spans="1:10" ht="14.25" customHeight="1">
      <c r="A83" s="8"/>
      <c r="B83" s="19"/>
      <c r="C83" s="129" t="s">
        <v>49</v>
      </c>
      <c r="D83" s="130"/>
      <c r="E83" s="19"/>
      <c r="F83" s="129" t="s">
        <v>29</v>
      </c>
      <c r="G83" s="130"/>
      <c r="H83" s="130"/>
      <c r="I83" s="130"/>
      <c r="J83" s="130"/>
    </row>
    <row r="84" spans="1:10">
      <c r="A84" s="9"/>
      <c r="C84" s="7"/>
      <c r="D84" s="7"/>
      <c r="E84" s="7"/>
    </row>
    <row r="85" spans="1:10" ht="14.25" customHeight="1">
      <c r="A85" s="111" t="s">
        <v>50</v>
      </c>
      <c r="B85" s="110"/>
      <c r="C85" s="111" t="s">
        <v>51</v>
      </c>
      <c r="D85" s="110"/>
      <c r="E85" s="110"/>
      <c r="F85" s="27" t="s">
        <v>52</v>
      </c>
      <c r="G85" s="125">
        <v>80</v>
      </c>
      <c r="H85" s="110"/>
      <c r="I85" s="125">
        <v>5</v>
      </c>
      <c r="J85" s="110"/>
    </row>
    <row r="86" spans="1:10" ht="24.95" customHeight="1">
      <c r="A86" s="109" t="s">
        <v>53</v>
      </c>
      <c r="B86" s="110"/>
      <c r="C86" s="111" t="s">
        <v>11</v>
      </c>
      <c r="D86" s="110"/>
      <c r="E86" s="110"/>
      <c r="F86" s="111"/>
      <c r="G86" s="110"/>
      <c r="H86" s="110"/>
      <c r="I86" s="110"/>
      <c r="J86" s="110"/>
    </row>
    <row r="87" spans="1:10" ht="14.25" customHeight="1">
      <c r="A87" s="111" t="s">
        <v>62</v>
      </c>
      <c r="B87" s="110"/>
      <c r="C87" s="111" t="s">
        <v>63</v>
      </c>
      <c r="D87" s="110"/>
      <c r="E87" s="110"/>
      <c r="F87" s="27" t="s">
        <v>27</v>
      </c>
      <c r="G87" s="125">
        <v>5.04</v>
      </c>
      <c r="H87" s="110"/>
      <c r="I87" s="125">
        <v>0.315</v>
      </c>
      <c r="J87" s="110"/>
    </row>
    <row r="88" spans="1:10" ht="24.95" customHeight="1">
      <c r="A88" s="109" t="s">
        <v>64</v>
      </c>
      <c r="B88" s="110"/>
      <c r="C88" s="111"/>
      <c r="D88" s="110"/>
      <c r="E88" s="110"/>
      <c r="F88" s="111"/>
      <c r="G88" s="110"/>
      <c r="H88" s="110"/>
      <c r="I88" s="110"/>
      <c r="J88" s="110"/>
    </row>
    <row r="89" spans="1:10" ht="14.25" customHeight="1">
      <c r="A89" s="111" t="s">
        <v>65</v>
      </c>
      <c r="B89" s="110"/>
      <c r="C89" s="111" t="s">
        <v>66</v>
      </c>
      <c r="D89" s="110"/>
      <c r="E89" s="110"/>
      <c r="F89" s="27"/>
      <c r="G89" s="125">
        <v>0.16</v>
      </c>
      <c r="H89" s="110"/>
      <c r="I89" s="125">
        <v>0.01</v>
      </c>
      <c r="J89" s="110"/>
    </row>
    <row r="90" spans="1:10" ht="24.95" customHeight="1">
      <c r="A90" s="109" t="s">
        <v>67</v>
      </c>
      <c r="B90" s="110"/>
      <c r="C90" s="111" t="s">
        <v>68</v>
      </c>
      <c r="D90" s="110"/>
      <c r="E90" s="110"/>
      <c r="F90" s="111"/>
      <c r="G90" s="110"/>
      <c r="H90" s="110"/>
      <c r="I90" s="110"/>
      <c r="J90" s="110"/>
    </row>
    <row r="91" spans="1:10" ht="14.25" customHeight="1">
      <c r="A91" s="111"/>
      <c r="B91" s="110"/>
      <c r="C91" s="111"/>
      <c r="D91" s="110"/>
      <c r="E91" s="110"/>
      <c r="F91" s="27"/>
      <c r="G91" s="125"/>
      <c r="H91" s="110"/>
      <c r="I91" s="125"/>
      <c r="J91" s="110"/>
    </row>
    <row r="92" spans="1:10" ht="24.95" customHeight="1">
      <c r="A92" s="109"/>
      <c r="B92" s="110"/>
      <c r="C92" s="111"/>
      <c r="D92" s="110"/>
      <c r="E92" s="110"/>
      <c r="F92" s="111"/>
      <c r="G92" s="110"/>
      <c r="H92" s="110"/>
      <c r="I92" s="110"/>
      <c r="J92" s="110"/>
    </row>
    <row r="93" spans="1:10" ht="14.25" customHeight="1">
      <c r="A93" s="111"/>
      <c r="B93" s="110"/>
      <c r="C93" s="111"/>
      <c r="D93" s="110"/>
      <c r="E93" s="110"/>
      <c r="F93" s="27"/>
      <c r="G93" s="125"/>
      <c r="H93" s="110"/>
      <c r="I93" s="125"/>
      <c r="J93" s="110"/>
    </row>
    <row r="94" spans="1:10" ht="24.95" customHeight="1">
      <c r="A94" s="109"/>
      <c r="B94" s="110"/>
      <c r="C94" s="111"/>
      <c r="D94" s="110"/>
      <c r="E94" s="110"/>
      <c r="F94" s="111"/>
      <c r="G94" s="110"/>
      <c r="H94" s="110"/>
      <c r="I94" s="110"/>
      <c r="J94" s="110"/>
    </row>
    <row r="95" spans="1:10" s="5" customFormat="1" ht="18" customHeight="1">
      <c r="A95" s="112" t="s">
        <v>119</v>
      </c>
      <c r="B95" s="113"/>
      <c r="C95" s="113"/>
      <c r="D95" s="113"/>
      <c r="E95" s="28" t="s">
        <v>120</v>
      </c>
      <c r="F95" s="29"/>
      <c r="G95" s="114" t="s">
        <v>121</v>
      </c>
      <c r="H95" s="115"/>
      <c r="I95" s="30" t="s">
        <v>122</v>
      </c>
      <c r="J95" s="31" t="s">
        <v>123</v>
      </c>
    </row>
    <row r="96" spans="1:10" s="7" customFormat="1" ht="18" customHeight="1">
      <c r="A96" s="116" t="str">
        <f>F60</f>
        <v>463301-2140灯具ｶﾊﾞｰPC IN</v>
      </c>
      <c r="B96" s="117"/>
      <c r="C96" s="117"/>
      <c r="D96" s="117"/>
      <c r="E96" s="120" t="str">
        <f>IFERROR(IF(OR(J96="", F66="", F66=0, J96/F66=0), C87&amp;" 　 "&amp;""&amp;"      枚", C87&amp;" 　 "&amp;J96/F66&amp;"      枚"), C87&amp;" 　 "&amp;""&amp;"      枚")</f>
        <v>灯具-1 　 4      枚</v>
      </c>
      <c r="F96" s="121"/>
      <c r="G96" s="32" t="s">
        <v>124</v>
      </c>
      <c r="H96" s="33">
        <f>_xlfn.XLOOKUP(RIGHT($B64,8), [1]加工記録２!$B:$B,[1]加工記録２!AH:AH)</f>
        <v>2</v>
      </c>
      <c r="I96" s="122">
        <f>MAX(I108:I112)</f>
        <v>45799</v>
      </c>
      <c r="J96" s="89">
        <f>_xlfn.XLOOKUP(RIGHT($B64,8), [1]加工記録２!$B:$B,[1]加工記録２!AD:AD,,0)</f>
        <v>64</v>
      </c>
    </row>
    <row r="97" spans="1:22" s="5" customFormat="1" ht="18" customHeight="1">
      <c r="A97" s="118"/>
      <c r="B97" s="119"/>
      <c r="C97" s="119"/>
      <c r="D97" s="119"/>
      <c r="E97" s="124" t="s">
        <v>125</v>
      </c>
      <c r="F97" s="124"/>
      <c r="G97" s="32" t="s">
        <v>126</v>
      </c>
      <c r="H97" s="33">
        <f>_xlfn.XLOOKUP(RIGHT($B64,8), [1]加工記録２!$B:$B,[1]加工記録２!AI:AI,,0)</f>
        <v>23</v>
      </c>
      <c r="I97" s="123"/>
      <c r="J97" s="89"/>
      <c r="K97" s="34"/>
    </row>
    <row r="98" spans="1:22" s="7" customFormat="1" ht="18" customHeight="1">
      <c r="A98" s="80" t="s">
        <v>127</v>
      </c>
      <c r="B98" s="92" t="str">
        <f>_xlfn.XLOOKUP(A69,[1]!テーブル5[品目コード],[1]!テーブル5[温度換算],,2)</f>
        <v>-</v>
      </c>
      <c r="C98" s="94" t="s">
        <v>128</v>
      </c>
      <c r="D98" s="96">
        <f>_xlfn.XLOOKUP(A69,[1]!テーブル5[品目コード],[1]!テーブル5[取数],,2)</f>
        <v>1</v>
      </c>
      <c r="E98" s="98" t="s">
        <v>129</v>
      </c>
      <c r="F98" s="98"/>
      <c r="G98" s="32" t="s">
        <v>130</v>
      </c>
      <c r="H98" s="33">
        <f>_xlfn.XLOOKUP(RIGHT($B64,8), [1]加工記録２!$B:$B,[1]加工記録２!AJ:AJ,,0)</f>
        <v>0</v>
      </c>
      <c r="I98" s="30" t="s">
        <v>131</v>
      </c>
      <c r="J98" s="30" t="s">
        <v>132</v>
      </c>
      <c r="K98" s="35"/>
    </row>
    <row r="99" spans="1:22" s="5" customFormat="1" ht="18" customHeight="1">
      <c r="A99" s="80"/>
      <c r="B99" s="93"/>
      <c r="C99" s="95"/>
      <c r="D99" s="97"/>
      <c r="E99" s="99" t="str">
        <f>_xlfn.XLOOKUP(A69,[1]!テーブル5[品目コード],[1]!テーブル5[備考１],,2)</f>
        <v>梱包箱:1370(592×2)</v>
      </c>
      <c r="F99" s="99"/>
      <c r="G99" s="32" t="s">
        <v>133</v>
      </c>
      <c r="H99" s="33">
        <f>_xlfn.XLOOKUP(RIGHT($B64,8), [1]加工記録２!$B:$B,[1]加工記録２!AK:AK,,0)</f>
        <v>0</v>
      </c>
      <c r="I99" s="100">
        <f>_xlfn.XLOOKUP(RIGHT($B64,8), [1]加工記録２!$B:$B,[1]加工記録２!CA:CA,,0)</f>
        <v>0</v>
      </c>
      <c r="J99" s="100" t="str">
        <f>_xlfn.XLOOKUP(RIGHT($B64,8), [1]加工記録２!$B:$B,[1]加工記録２!CB:CB,,0)</f>
        <v>高森</v>
      </c>
      <c r="K99" s="34"/>
    </row>
    <row r="100" spans="1:22" s="7" customFormat="1" ht="18" customHeight="1">
      <c r="A100" s="102" t="s">
        <v>134</v>
      </c>
      <c r="B100" s="103">
        <f>D60</f>
        <v>547</v>
      </c>
      <c r="C100" s="105" t="s">
        <v>135</v>
      </c>
      <c r="D100" s="86" t="str">
        <f>_xlfn.XLOOKUP(A69,[1]!テーブル5[品目コード],[1]!テーブル5[上限公差],,2)</f>
        <v>+2</v>
      </c>
      <c r="E100" s="99" t="str">
        <f>_xlfn.XLOOKUP(A69,[1]!テーブル5[品目コード],[1]!テーブル5[備考２],,2)</f>
        <v>クラフト紙：1370型　1/2</v>
      </c>
      <c r="F100" s="99"/>
      <c r="G100" s="32" t="s">
        <v>136</v>
      </c>
      <c r="H100" s="33">
        <f>_xlfn.XLOOKUP(RIGHT($B64,8), [1]加工記録２!$B:$B,[1]加工記録２!AL:AL,,0)</f>
        <v>0</v>
      </c>
      <c r="I100" s="101"/>
      <c r="J100" s="101"/>
      <c r="K100" s="35"/>
    </row>
    <row r="101" spans="1:22" s="5" customFormat="1" ht="18" customHeight="1">
      <c r="A101" s="102"/>
      <c r="B101" s="104"/>
      <c r="C101" s="106"/>
      <c r="D101" s="107"/>
      <c r="E101" s="108" t="s">
        <v>137</v>
      </c>
      <c r="F101" s="108"/>
      <c r="G101" s="32" t="s">
        <v>138</v>
      </c>
      <c r="H101" s="33">
        <f>_xlfn.XLOOKUP(RIGHT($B64,8), [1]加工記録２!$B:$B,[1]加工記録２!AM:AM,,0)</f>
        <v>0</v>
      </c>
      <c r="I101" s="36" t="s">
        <v>139</v>
      </c>
      <c r="J101" s="36" t="s">
        <v>140</v>
      </c>
      <c r="K101" s="34"/>
    </row>
    <row r="102" spans="1:22" s="7" customFormat="1" ht="18" customHeight="1">
      <c r="A102" s="80" t="s">
        <v>141</v>
      </c>
      <c r="B102" s="82" t="str">
        <f>_xlfn.XLOOKUP(A69,[1]!テーブル5[品目コード],[1]!テーブル5[切断寸法],,2)</f>
        <v>換算表確認</v>
      </c>
      <c r="C102" s="84" t="s">
        <v>142</v>
      </c>
      <c r="D102" s="86">
        <f>_xlfn.XLOOKUP(A69,[1]!テーブル5[品目コード],[1]!テーブル5[下限公差],,2)</f>
        <v>-2</v>
      </c>
      <c r="E102" s="88" t="str">
        <f>_xlfn.XLOOKUP(A69,[1]!テーブル5[品目コード],[1]!テーブル5[梱包方法],,2)</f>
        <v>ラベル２枚　長手有　鉢巻無</v>
      </c>
      <c r="F102" s="88"/>
      <c r="G102" s="32" t="s">
        <v>143</v>
      </c>
      <c r="H102" s="33">
        <f>_xlfn.XLOOKUP(RIGHT($B64,8), [1]加工記録２!$B:$B,[1]加工記録２!AN:AN,,0)</f>
        <v>0</v>
      </c>
      <c r="I102" s="89">
        <f>_xlfn.XLOOKUP(RIGHT($B64,8), [1]加工記録２!$B:$B,[1]加工記録２!AF:AF,,0)</f>
        <v>25</v>
      </c>
      <c r="J102" s="89">
        <f>_xlfn.XLOOKUP(RIGHT($B64,8), [1]加工記録２!$B:$B,[1]加工記録２!AE:AE,,0)</f>
        <v>25</v>
      </c>
      <c r="K102" s="35"/>
    </row>
    <row r="103" spans="1:22" s="5" customFormat="1" ht="18" customHeight="1" thickBot="1">
      <c r="A103" s="81"/>
      <c r="B103" s="83"/>
      <c r="C103" s="85"/>
      <c r="D103" s="87"/>
      <c r="E103" s="90"/>
      <c r="F103" s="90"/>
      <c r="G103" s="37" t="s">
        <v>144</v>
      </c>
      <c r="H103" s="38">
        <f>SUM(H96:H102)</f>
        <v>25</v>
      </c>
      <c r="I103" s="89"/>
      <c r="J103" s="89"/>
    </row>
    <row r="104" spans="1:22" s="47" customFormat="1" ht="18.95" customHeight="1">
      <c r="A104" s="39" t="s">
        <v>145</v>
      </c>
      <c r="B104" s="40" t="s">
        <v>146</v>
      </c>
      <c r="C104" s="41" t="s">
        <v>147</v>
      </c>
      <c r="D104" s="41" t="s">
        <v>148</v>
      </c>
      <c r="E104" s="42" t="s">
        <v>149</v>
      </c>
      <c r="F104" s="43" t="s">
        <v>150</v>
      </c>
      <c r="G104" s="42" t="s">
        <v>151</v>
      </c>
      <c r="H104" s="44" t="s">
        <v>152</v>
      </c>
      <c r="I104" s="45" t="s">
        <v>153</v>
      </c>
      <c r="J104" s="36" t="s">
        <v>154</v>
      </c>
      <c r="K104" s="46"/>
      <c r="L104" s="46"/>
      <c r="M104" s="46"/>
      <c r="N104" s="46"/>
    </row>
    <row r="105" spans="1:22" s="56" customFormat="1" ht="18.95" customHeight="1">
      <c r="A105" s="48">
        <f>IFERROR(_xlfn.XLOOKUP(RIGHT($B64,8)&amp;$J96,[1]加工記録２!B:B&amp;[1]加工記録２!AD:AD,[1]加工記録２!BB:BB,,0),"/")</f>
        <v>45649</v>
      </c>
      <c r="B105" s="49" t="str">
        <f>_xlfn.XLOOKUP(RIGHT($B64,8),[1]加工記録２!$B:$B,[1]加工記録２!BJ:BJ,,0)</f>
        <v>24L16-01</v>
      </c>
      <c r="C105" s="50"/>
      <c r="D105" s="51"/>
      <c r="E105" s="50"/>
      <c r="F105" s="52" t="s">
        <v>155</v>
      </c>
      <c r="G105" s="53">
        <f>IFERROR(SUM(H105*$D98),"")</f>
        <v>7</v>
      </c>
      <c r="H105" s="54">
        <f>_xlfn.XLOOKUP(RIGHT($B64,8),[1]加工記録２!$B:$B,[1]加工記録２!BR:BR,,0)</f>
        <v>7</v>
      </c>
      <c r="I105" s="91">
        <f>_xlfn.XLOOKUP(RIGHT($B64,8), [1]加工記録２!$B:$B,[1]加工記録２!AO:AO,,0)</f>
        <v>0</v>
      </c>
      <c r="J105" s="89">
        <f>_xlfn.XLOOKUP(RIGHT($B64,8), [1]加工記録２!$B:$B,[1]加工記録２!AG:AG,,0)</f>
        <v>89</v>
      </c>
      <c r="K105" s="55"/>
      <c r="L105" s="55"/>
      <c r="M105" s="55"/>
      <c r="N105" s="55"/>
      <c r="V105" s="57"/>
    </row>
    <row r="106" spans="1:22" s="56" customFormat="1" ht="18.95" customHeight="1" thickBot="1">
      <c r="A106" s="58">
        <f>IFERROR(_xlfn.XLOOKUP(RIGHT($B64,8)&amp;$J96,[1]加工記録２!B:B&amp;[1]加工記録２!AD:AD,[1]加工記録２!BC:BC,,0),"/")</f>
        <v>45798</v>
      </c>
      <c r="B106" s="59" t="str">
        <f>_xlfn.XLOOKUP(RIGHT($B64,8),[1]加工記録２!$B:$B,[1]加工記録２!BK:BK,,0)</f>
        <v>25E16-01</v>
      </c>
      <c r="C106" s="59" t="str">
        <f>_xlfn.XLOOKUP(RIGHT($B64,8),[1]加工記録２!$B:$B,[1]加工記録２!P:P,,0)</f>
        <v/>
      </c>
      <c r="D106" s="60" t="str">
        <f>IFERROR(_xlfn.XLOOKUP(IF(_xlfn.XLOOKUP(RIGHT($B64,8),[1]加工記録２!$B:$B,[1]加工記録２!C:C,,0)="","",_xlfn.XLOOKUP(RIGHT($B64,8),[1]加工記録２!$B:$B,[1]加工記録２!C:C,,0))&amp;C106,[1]温度換算!A:A,[1]温度換算!C:C),"")</f>
        <v/>
      </c>
      <c r="E106" s="61" t="str">
        <f>_xlfn.XLOOKUP(RIGHT($B64,8), [1]加工記録２!$B:$B,[1]加工記録２!W:W,,0)</f>
        <v/>
      </c>
      <c r="F106" s="62"/>
      <c r="G106" s="63">
        <f>IFERROR(SUM(H106*$D98),"")</f>
        <v>82</v>
      </c>
      <c r="H106" s="64">
        <f>_xlfn.XLOOKUP(RIGHT($B64,8),[1]加工記録２!$B:$B,[1]加工記録２!BS:BS,,0)</f>
        <v>82</v>
      </c>
      <c r="I106" s="91"/>
      <c r="J106" s="89"/>
      <c r="K106" s="55"/>
      <c r="L106" s="55"/>
      <c r="M106" s="55"/>
      <c r="N106" s="55"/>
    </row>
    <row r="107" spans="1:22" s="56" customFormat="1" ht="18.95" customHeight="1" thickBot="1">
      <c r="A107" s="58" t="str">
        <f>IFERROR(_xlfn.XLOOKUP(RIGHT($B64,8)&amp;$J96,[1]加工記録２!B:B&amp;[1]加工記録２!AD:AD,[1]加工記録２!BD:BD,,0),"/")</f>
        <v/>
      </c>
      <c r="B107" s="59" t="str">
        <f>_xlfn.XLOOKUP(RIGHT($B64,8),[1]加工記録２!B:B,[1]加工記録２!BL:BL,,0)</f>
        <v/>
      </c>
      <c r="C107" s="59" t="str">
        <f>_xlfn.XLOOKUP(RIGHT($B64,8),[1]加工記録２!$B:$B,[1]加工記録２!Q:Q,,0)</f>
        <v/>
      </c>
      <c r="D107" s="60" t="str">
        <f>IFERROR(_xlfn.XLOOKUP(IF(_xlfn.XLOOKUP(RIGHT($B64,8),[1]加工記録２!$B:$B,[1]加工記録２!C:C,,0)="","",_xlfn.XLOOKUP(RIGHT($B64,8),[1]加工記録２!$B:$B,[1]加工記録２!C:C,,0))&amp;C107,[1]温度換算!A:A,[1]温度換算!C:C),"")</f>
        <v/>
      </c>
      <c r="E107" s="61" t="str">
        <f>_xlfn.XLOOKUP(RIGHT($B64,8), [1]加工記録２!$B:$B,[1]加工記録２!X:X,,0)</f>
        <v/>
      </c>
      <c r="F107" s="62"/>
      <c r="G107" s="63" t="str">
        <f>IFERROR(SUM(H107*$D98),"")</f>
        <v/>
      </c>
      <c r="H107" s="64" t="str">
        <f>_xlfn.XLOOKUP(RIGHT($B64,8),[1]加工記録２!$B:$B,[1]加工記録２!BT:BT,,0)</f>
        <v/>
      </c>
      <c r="I107" s="65" t="s">
        <v>156</v>
      </c>
      <c r="J107" s="66" t="s">
        <v>157</v>
      </c>
      <c r="K107" s="55"/>
      <c r="L107" s="55"/>
      <c r="M107" s="55"/>
      <c r="N107" s="55"/>
    </row>
    <row r="108" spans="1:22" s="56" customFormat="1" ht="18.95" customHeight="1">
      <c r="A108" s="58" t="str">
        <f>IFERROR(_xlfn.XLOOKUP(RIGHT($B64,8)&amp;$J96,[1]加工記録２!B:B&amp;[1]加工記録２!AD:AD,[1]加工記録２!BE:BE,,0),"/")</f>
        <v/>
      </c>
      <c r="B108" s="59" t="str">
        <f>_xlfn.XLOOKUP(RIGHT($B64,8),[1]加工記録２!B:B,[1]加工記録２!BM:BM,,0)</f>
        <v/>
      </c>
      <c r="C108" s="59" t="str">
        <f>_xlfn.XLOOKUP(RIGHT($B64,8),[1]加工記録２!$B:$B,[1]加工記録２!R:R,,0)</f>
        <v/>
      </c>
      <c r="D108" s="60" t="str">
        <f>IFERROR(_xlfn.XLOOKUP(IF(_xlfn.XLOOKUP(RIGHT($B64,8),[1]加工記録２!$B:$B,[1]加工記録２!C:C,,0)="","",_xlfn.XLOOKUP(RIGHT($B64,8),[1]加工記録２!$B:$B,[1]加工記録２!C:C,,0))&amp;C108,[1]温度換算!A:A,[1]温度換算!C:C),"")</f>
        <v/>
      </c>
      <c r="E108" s="61" t="str">
        <f>_xlfn.XLOOKUP(RIGHT($B64,8), [1]加工記録２!$B:$B,[1]加工記録２!Y:Y,,0)</f>
        <v/>
      </c>
      <c r="F108" s="62"/>
      <c r="G108" s="63" t="str">
        <f>IFERROR(SUM(H108*$D98),"")</f>
        <v/>
      </c>
      <c r="H108" s="64" t="str">
        <f>_xlfn.XLOOKUP(RIGHT($B64,8),[1]加工記録２!$B:$B,[1]加工記録２!BU:BU,,0)</f>
        <v/>
      </c>
      <c r="I108" s="67" t="str">
        <f>_xlfn.LET(_xlpm.val,_xlfn.XLOOKUP(RIGHT($B64,8),[1]加工記録２!$B:$B,[1]加工記録２!AQ:AQ,""),IF(OR(_xlpm.val="",_xlpm.val=0),"",_xlpm.val))</f>
        <v/>
      </c>
      <c r="J108" s="68" t="str">
        <f>_xlfn.LET(_xlpm.val,_xlfn.XLOOKUP(RIGHT($B64,8),[1]加工記録２!$B:$B,[1]加工記録２!AR:AR,""),IF(OR(_xlpm.val="",_xlpm.val=0),"",_xlpm.val))</f>
        <v/>
      </c>
      <c r="K108" s="55"/>
      <c r="L108" s="55"/>
      <c r="M108" s="55"/>
      <c r="N108" s="55"/>
    </row>
    <row r="109" spans="1:22" s="56" customFormat="1" ht="18.95" customHeight="1">
      <c r="A109" s="58" t="str">
        <f>IFERROR(_xlfn.XLOOKUP(RIGHT($B64,8)&amp;$J96,[1]加工記録２!B:B&amp;[1]加工記録２!AD:AD,[1]加工記録２!BF:BF,,0),"/")</f>
        <v/>
      </c>
      <c r="B109" s="59" t="str">
        <f>_xlfn.XLOOKUP(RIGHT($B64,8),[1]加工記録２!B:B,[1]加工記録２!BN:BN,,0)</f>
        <v/>
      </c>
      <c r="C109" s="59" t="str">
        <f>_xlfn.XLOOKUP(RIGHT($B64,8),[1]加工記録２!$B:$B,[1]加工記録２!S:S,,0)</f>
        <v/>
      </c>
      <c r="D109" s="60" t="str">
        <f>IFERROR(_xlfn.XLOOKUP(IF(_xlfn.XLOOKUP(RIGHT($B64,8),[1]加工記録２!$B:$B,[1]加工記録２!C:C,,0)="","",_xlfn.XLOOKUP(RIGHT($B64,8),[1]加工記録２!$B:$B,[1]加工記録２!C:C,,0))&amp;C109,[1]温度換算!A:A,[1]温度換算!C:C),"")</f>
        <v/>
      </c>
      <c r="E109" s="61" t="str">
        <f>_xlfn.XLOOKUP(RIGHT($B64,8), [1]加工記録２!$B:$B,[1]加工記録２!Z:Z,,0)</f>
        <v/>
      </c>
      <c r="F109" s="62"/>
      <c r="G109" s="63" t="str">
        <f>IFERROR(SUM(H109*$D98),"")</f>
        <v/>
      </c>
      <c r="H109" s="64" t="str">
        <f>_xlfn.XLOOKUP(RIGHT($B64,8),[1]加工記録２!$B:$B,[1]加工記録２!BV:BV,,0)</f>
        <v/>
      </c>
      <c r="I109" s="69">
        <f>_xlfn.LET(_xlpm.val,_xlfn.XLOOKUP(RIGHT($B64,8),[1]加工記録２!$B:$B,[1]加工記録２!AS:AS,""),IF(OR(_xlpm.val="",_xlpm.val=0),"",_xlpm.val))</f>
        <v>45799</v>
      </c>
      <c r="J109" s="70">
        <f>_xlfn.LET(_xlpm.val,_xlfn.XLOOKUP(RIGHT($B64,8),[1]加工記録２!$B:$B,[1]加工記録２!AT:AT,""),IF(OR(_xlpm.val="",_xlpm.val=0),"",_xlpm.val))</f>
        <v>4</v>
      </c>
      <c r="K109" s="55"/>
      <c r="L109" s="55"/>
      <c r="M109" s="55"/>
      <c r="N109" s="55"/>
    </row>
    <row r="110" spans="1:22" s="56" customFormat="1" ht="18.95" customHeight="1">
      <c r="A110" s="58" t="str">
        <f>IFERROR(_xlfn.XLOOKUP(RIGHT($B64,8)&amp;$J96,[1]加工記録２!B:B&amp;[1]加工記録２!AD:AD,[1]加工記録２!BG:BG,,0),"/")</f>
        <v/>
      </c>
      <c r="B110" s="59" t="str">
        <f>_xlfn.XLOOKUP(RIGHT($B64,8),[1]加工記録２!B:B,[1]加工記録２!BO:BO,,0)</f>
        <v/>
      </c>
      <c r="C110" s="59" t="str">
        <f>_xlfn.XLOOKUP(RIGHT($B64,8),[1]加工記録２!$B:$B,[1]加工記録２!T:T,,0)</f>
        <v/>
      </c>
      <c r="D110" s="60" t="str">
        <f>IFERROR(_xlfn.XLOOKUP(IF(_xlfn.XLOOKUP(RIGHT($B64,8),[1]加工記録２!$B:$B,[1]加工記録２!C:C,,0)="","",_xlfn.XLOOKUP(RIGHT($B64,8),[1]加工記録２!$B:$B,[1]加工記録２!C:C,,0))&amp;C110,[1]温度換算!A:A,[1]温度換算!C:C),"")</f>
        <v/>
      </c>
      <c r="E110" s="61" t="str">
        <f>_xlfn.XLOOKUP(RIGHT($B64,8), [1]加工記録２!$B:$B,[1]加工記録２!AA:AA,,0)</f>
        <v/>
      </c>
      <c r="F110" s="62"/>
      <c r="G110" s="63" t="str">
        <f>IFERROR(SUM(H110*$D98),"")</f>
        <v/>
      </c>
      <c r="H110" s="64" t="str">
        <f>_xlfn.XLOOKUP(RIGHT($B64,8),[1]加工記録２!$B:$B,[1]加工記録２!BW:BW,,0)</f>
        <v/>
      </c>
      <c r="I110" s="69" t="str">
        <f>_xlfn.LET(_xlpm.val,_xlfn.XLOOKUP(RIGHT($B64,8),[1]加工記録２!$B:$B,[1]加工記録２!AU:AU,""),IF(OR(_xlpm.val="",_xlpm.val=0),"",_xlpm.val))</f>
        <v/>
      </c>
      <c r="J110" s="70" t="str">
        <f>_xlfn.LET(_xlpm.val,_xlfn.XLOOKUP(RIGHT($B64,8),[1]加工記録２!$B:$B,[1]加工記録２!AV:AV,""),IF(OR(_xlpm.val="",_xlpm.val=0),"",_xlpm.val))</f>
        <v/>
      </c>
      <c r="K110" s="55"/>
      <c r="L110" s="55"/>
      <c r="M110" s="55"/>
      <c r="N110" s="55"/>
    </row>
    <row r="111" spans="1:22" s="56" customFormat="1" ht="18.95" customHeight="1">
      <c r="A111" s="58" t="str">
        <f>IFERROR(_xlfn.XLOOKUP(RIGHT($B64,8)&amp;$J96,[1]加工記録２!B:B&amp;[1]加工記録２!AD:AD,[1]加工記録２!BH:BH,,0),"/")</f>
        <v/>
      </c>
      <c r="B111" s="59" t="str">
        <f>_xlfn.XLOOKUP(RIGHT($B64,8),[1]加工記録２!B:B,[1]加工記録２!BP:BP,,0)</f>
        <v/>
      </c>
      <c r="C111" s="59" t="str">
        <f>_xlfn.XLOOKUP(RIGHT($B64,8),[1]加工記録２!$B:$B,[1]加工記録２!U:U,,0)</f>
        <v/>
      </c>
      <c r="D111" s="60" t="str">
        <f>IFERROR(_xlfn.XLOOKUP(IF(_xlfn.XLOOKUP(RIGHT($B64,8),[1]加工記録２!$B:$B,[1]加工記録２!C:C,,0)="","",_xlfn.XLOOKUP(RIGHT($B64,8),[1]加工記録２!$B:$B,[1]加工記録２!C:C,,0))&amp;C111,[1]温度換算!A:A,[1]温度換算!C:C),"")</f>
        <v/>
      </c>
      <c r="E111" s="61" t="str">
        <f>_xlfn.XLOOKUP(RIGHT($B64,8), [1]加工記録２!$B:$B,[1]加工記録２!AB:AB,,0)</f>
        <v/>
      </c>
      <c r="F111" s="62"/>
      <c r="G111" s="63" t="str">
        <f>IFERROR(SUM(H111*$D98),"")</f>
        <v/>
      </c>
      <c r="H111" s="64" t="str">
        <f>_xlfn.XLOOKUP(RIGHT($B64,8),[1]加工記録２!$B:$B,[1]加工記録２!BX:BX,,0)</f>
        <v/>
      </c>
      <c r="I111" s="69" t="str">
        <f>_xlfn.LET(_xlpm.val,_xlfn.XLOOKUP(RIGHT($B64,8),[1]加工記録２!$B:$B,[1]加工記録２!AW:AW,""),IF(OR(_xlpm.val="",_xlpm.val=0),"",_xlpm.val))</f>
        <v/>
      </c>
      <c r="J111" s="70" t="str">
        <f>_xlfn.LET(_xlpm.val,_xlfn.XLOOKUP(RIGHT($B64,8),[1]加工記録２!$B:$B,[1]加工記録２!AX:AX,""),IF(OR(_xlpm.val="",_xlpm.val=0),"",_xlpm.val))</f>
        <v/>
      </c>
      <c r="K111" s="55"/>
      <c r="L111" s="55"/>
      <c r="M111" s="55"/>
      <c r="N111" s="55"/>
    </row>
    <row r="112" spans="1:22" s="56" customFormat="1" ht="18.95" customHeight="1" thickBot="1">
      <c r="A112" s="71" t="str">
        <f>IFERROR(_xlfn.XLOOKUP(RIGHT($B64,8)&amp;$J96,[1]加工記録２!B:B&amp;[1]加工記録２!AD:AD,[1]加工記録２!BI:BI,,0),"/")</f>
        <v/>
      </c>
      <c r="B112" s="72" t="str">
        <f>_xlfn.XLOOKUP(RIGHT($B64,8),[1]加工記録２!B:B,[1]加工記録２!BQ:BQ,,0)</f>
        <v/>
      </c>
      <c r="C112" s="72" t="str">
        <f>_xlfn.XLOOKUP(RIGHT($B64,8),[1]加工記録２!$B:$B,[1]加工記録２!V:V,,0)</f>
        <v/>
      </c>
      <c r="D112" s="73" t="str">
        <f>IFERROR(_xlfn.XLOOKUP(IF(_xlfn.XLOOKUP(RIGHT($B64,8),[1]加工記録２!$B:$B,[1]加工記録２!C:C,,0)="","",_xlfn.XLOOKUP(RIGHT($B64,8),[1]加工記録２!$B:$B,[1]加工記録２!C:C,,0))&amp;C112,[1]温度換算!A:A,[1]温度換算!C:C),"")</f>
        <v/>
      </c>
      <c r="E112" s="74" t="str">
        <f>_xlfn.XLOOKUP(RIGHT($B64,8), [1]加工記録２!$B:$B,[1]加工記録２!AC:AC,,0)</f>
        <v/>
      </c>
      <c r="F112" s="75"/>
      <c r="G112" s="76" t="str">
        <f>IFERROR(SUM(H112*$D98),"")</f>
        <v/>
      </c>
      <c r="H112" s="77" t="str">
        <f>_xlfn.XLOOKUP(RIGHT($B64,8),[1]加工記録２!$B:$B,[1]加工記録２!BY:BY,,0)</f>
        <v/>
      </c>
      <c r="I112" s="78" t="str">
        <f>_xlfn.LET(_xlpm.val,_xlfn.XLOOKUP(RIGHT($B64,8),[1]加工記録２!$B:$B,[1]加工記録２!AY:AY,""),IF(OR(_xlpm.val="",_xlpm.val=0),"",_xlpm.val))</f>
        <v/>
      </c>
      <c r="J112" s="79" t="str">
        <f>_xlfn.LET(_xlpm.val,_xlfn.XLOOKUP(RIGHT($B64,8),[1]加工記録２!$B:$B,[1]加工記録２!AZ:AZ,""),IF(OR(_xlpm.val="",_xlpm.val=0),"",_xlpm.val))</f>
        <v/>
      </c>
      <c r="K112" s="55"/>
      <c r="L112" s="55"/>
      <c r="M112" s="55"/>
      <c r="N112" s="55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51" t="s">
        <v>0</v>
      </c>
      <c r="C115" s="110"/>
      <c r="D115" s="110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110"/>
      <c r="C116" s="110"/>
      <c r="D116" s="110"/>
      <c r="E116" s="13"/>
      <c r="F116" s="13"/>
      <c r="G116" s="13"/>
      <c r="H116" s="13"/>
      <c r="I116" s="13"/>
      <c r="J116" s="13"/>
    </row>
    <row r="117" spans="1:10" ht="14.25" customHeight="1">
      <c r="A117" s="152" t="s">
        <v>1</v>
      </c>
      <c r="B117" s="152" t="s">
        <v>69</v>
      </c>
      <c r="C117" s="152" t="s">
        <v>3</v>
      </c>
      <c r="D117" s="153">
        <v>840</v>
      </c>
      <c r="E117" s="152" t="s">
        <v>4</v>
      </c>
      <c r="F117" s="154" t="s">
        <v>70</v>
      </c>
      <c r="G117" s="110"/>
      <c r="H117" s="150"/>
      <c r="I117" s="14" t="s">
        <v>6</v>
      </c>
      <c r="J117" s="14" t="s">
        <v>7</v>
      </c>
    </row>
    <row r="118" spans="1:10" ht="14.25" customHeight="1">
      <c r="A118" s="110"/>
      <c r="B118" s="110"/>
      <c r="C118" s="110"/>
      <c r="D118" s="110"/>
      <c r="E118" s="110"/>
      <c r="F118" s="110"/>
      <c r="G118" s="110"/>
      <c r="H118" s="150"/>
      <c r="I118" s="155"/>
      <c r="J118" s="155"/>
    </row>
    <row r="119" spans="1:10" ht="17.45" customHeight="1">
      <c r="A119" s="136" t="s">
        <v>8</v>
      </c>
      <c r="B119" s="136" t="s">
        <v>71</v>
      </c>
      <c r="E119" s="136" t="s">
        <v>10</v>
      </c>
      <c r="F119" s="158" t="s">
        <v>11</v>
      </c>
      <c r="G119" s="110"/>
      <c r="H119" s="150"/>
      <c r="I119" s="156"/>
      <c r="J119" s="156"/>
    </row>
    <row r="120" spans="1:10" ht="17.45" customHeight="1">
      <c r="A120" s="110"/>
      <c r="B120" s="110"/>
      <c r="E120" s="110"/>
      <c r="F120" s="110"/>
      <c r="G120" s="110"/>
      <c r="H120" s="150"/>
      <c r="I120" s="15"/>
      <c r="J120" s="15"/>
    </row>
    <row r="121" spans="1:10" ht="17.45" customHeight="1">
      <c r="A121" s="136" t="s">
        <v>12</v>
      </c>
      <c r="B121" s="136" t="s">
        <v>72</v>
      </c>
      <c r="E121" s="2" t="s">
        <v>14</v>
      </c>
      <c r="F121" s="137" t="s">
        <v>15</v>
      </c>
      <c r="G121" s="110"/>
      <c r="H121" s="22"/>
    </row>
    <row r="122" spans="1:10" ht="17.45" customHeight="1">
      <c r="A122" s="110"/>
      <c r="B122" s="110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45806</v>
      </c>
      <c r="E123" s="2" t="s">
        <v>19</v>
      </c>
      <c r="F123" s="138">
        <v>16</v>
      </c>
      <c r="G123" s="110"/>
      <c r="H123" s="22"/>
    </row>
    <row r="124" spans="1:10" ht="17.45" customHeight="1">
      <c r="A124" s="2" t="s">
        <v>20</v>
      </c>
      <c r="B124" s="4">
        <v>45806</v>
      </c>
      <c r="E124" s="2" t="s">
        <v>21</v>
      </c>
      <c r="F124" s="22">
        <v>12</v>
      </c>
      <c r="G124" s="139" t="s">
        <v>22</v>
      </c>
      <c r="H124" s="141">
        <v>192</v>
      </c>
      <c r="I124" s="142"/>
      <c r="J124" s="143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40"/>
      <c r="H125" s="140"/>
      <c r="I125" s="130"/>
      <c r="J125" s="144"/>
    </row>
    <row r="126" spans="1:10" ht="13.5" customHeight="1">
      <c r="A126" s="145" t="s">
        <v>73</v>
      </c>
      <c r="B126" s="110"/>
      <c r="C126" s="110"/>
      <c r="D126" s="21"/>
      <c r="F126" s="3"/>
      <c r="G126" s="146" t="s">
        <v>26</v>
      </c>
      <c r="H126" s="148" t="s">
        <v>27</v>
      </c>
      <c r="I126" s="149" t="s">
        <v>28</v>
      </c>
      <c r="J126" s="150"/>
    </row>
    <row r="127" spans="1:10" ht="13.5" customHeight="1">
      <c r="A127" s="110"/>
      <c r="B127" s="110"/>
      <c r="C127" s="110"/>
      <c r="D127" s="21"/>
      <c r="F127" s="3"/>
      <c r="G127" s="147"/>
      <c r="H127" s="147"/>
      <c r="I127" s="130"/>
      <c r="J127" s="144"/>
    </row>
    <row r="128" spans="1:10" ht="13.5" customHeight="1">
      <c r="A128" s="1" t="s">
        <v>29</v>
      </c>
    </row>
    <row r="129" spans="1:10" ht="63" customHeight="1">
      <c r="A129" s="131"/>
      <c r="B129" s="132"/>
      <c r="C129" s="132"/>
      <c r="D129" s="132"/>
      <c r="E129" s="132"/>
      <c r="F129" s="132"/>
      <c r="G129" s="132"/>
      <c r="H129" s="132"/>
      <c r="I129" s="132"/>
      <c r="J129" s="132"/>
    </row>
    <row r="130" spans="1:10" ht="18.75">
      <c r="A130" s="24" t="s">
        <v>30</v>
      </c>
      <c r="B130" s="17" t="s">
        <v>31</v>
      </c>
      <c r="C130" s="133" t="s">
        <v>32</v>
      </c>
      <c r="D130" s="134"/>
      <c r="E130" s="17" t="s">
        <v>33</v>
      </c>
      <c r="F130" s="133" t="s">
        <v>34</v>
      </c>
      <c r="G130" s="134"/>
      <c r="H130" s="134"/>
      <c r="I130" s="135" t="s">
        <v>35</v>
      </c>
      <c r="J130" s="134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111" t="s">
        <v>37</v>
      </c>
      <c r="D132" s="110"/>
      <c r="E132" s="25" t="s">
        <v>40</v>
      </c>
      <c r="F132" s="111" t="s">
        <v>41</v>
      </c>
      <c r="G132" s="110"/>
      <c r="H132" s="110"/>
      <c r="I132" s="126"/>
      <c r="J132" s="110"/>
    </row>
    <row r="133" spans="1:10" ht="16.5" customHeight="1">
      <c r="A133" s="23">
        <v>1</v>
      </c>
      <c r="B133" s="26" t="s">
        <v>36</v>
      </c>
      <c r="C133" s="111" t="s">
        <v>37</v>
      </c>
      <c r="D133" s="110"/>
      <c r="E133" s="25" t="s">
        <v>42</v>
      </c>
      <c r="F133" s="111" t="s">
        <v>43</v>
      </c>
      <c r="G133" s="110"/>
      <c r="H133" s="110"/>
      <c r="I133" s="126"/>
      <c r="J133" s="110"/>
    </row>
    <row r="134" spans="1:10" ht="16.5" customHeight="1">
      <c r="A134" s="23"/>
      <c r="B134" s="26"/>
      <c r="C134" s="111"/>
      <c r="D134" s="110"/>
      <c r="E134" s="25"/>
      <c r="F134" s="111"/>
      <c r="G134" s="110"/>
      <c r="H134" s="110"/>
      <c r="I134" s="126"/>
      <c r="J134" s="110"/>
    </row>
    <row r="135" spans="1:10" ht="16.5" customHeight="1">
      <c r="A135" s="23"/>
      <c r="B135" s="26"/>
      <c r="C135" s="111"/>
      <c r="D135" s="110"/>
      <c r="E135" s="25"/>
      <c r="F135" s="111"/>
      <c r="G135" s="110"/>
      <c r="H135" s="110"/>
      <c r="I135" s="126"/>
      <c r="J135" s="110"/>
    </row>
    <row r="136" spans="1:10" ht="16.5" customHeight="1">
      <c r="A136" s="23"/>
      <c r="B136" s="26"/>
      <c r="C136" s="111"/>
      <c r="D136" s="110"/>
      <c r="E136" s="25"/>
      <c r="F136" s="111"/>
      <c r="G136" s="110"/>
      <c r="H136" s="110"/>
      <c r="I136" s="126"/>
      <c r="J136" s="110"/>
    </row>
    <row r="137" spans="1:10" ht="16.5" customHeight="1">
      <c r="A137" s="23"/>
      <c r="B137" s="26"/>
      <c r="C137" s="111"/>
      <c r="D137" s="110"/>
      <c r="E137" s="25"/>
      <c r="F137" s="111"/>
      <c r="G137" s="110"/>
      <c r="H137" s="110"/>
      <c r="I137" s="126"/>
      <c r="J137" s="110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127" t="s">
        <v>44</v>
      </c>
      <c r="B139" s="128"/>
      <c r="C139" s="127" t="s">
        <v>45</v>
      </c>
      <c r="D139" s="128"/>
      <c r="E139" s="128"/>
      <c r="F139" s="18" t="s">
        <v>46</v>
      </c>
      <c r="G139" s="127" t="s">
        <v>47</v>
      </c>
      <c r="H139" s="128"/>
      <c r="I139" s="127" t="s">
        <v>48</v>
      </c>
      <c r="J139" s="128"/>
    </row>
    <row r="140" spans="1:10" ht="14.25" customHeight="1">
      <c r="A140" s="8"/>
      <c r="B140" s="19"/>
      <c r="C140" s="129" t="s">
        <v>49</v>
      </c>
      <c r="D140" s="130"/>
      <c r="E140" s="19"/>
      <c r="F140" s="129" t="s">
        <v>29</v>
      </c>
      <c r="G140" s="130"/>
      <c r="H140" s="130"/>
      <c r="I140" s="130"/>
      <c r="J140" s="130"/>
    </row>
    <row r="141" spans="1:10">
      <c r="A141" s="9"/>
      <c r="C141" s="7"/>
      <c r="D141" s="7"/>
      <c r="E141" s="7"/>
    </row>
    <row r="142" spans="1:10" ht="14.25" customHeight="1">
      <c r="A142" s="111" t="s">
        <v>74</v>
      </c>
      <c r="B142" s="110"/>
      <c r="C142" s="111" t="s">
        <v>75</v>
      </c>
      <c r="D142" s="110"/>
      <c r="E142" s="110"/>
      <c r="F142" s="27" t="s">
        <v>52</v>
      </c>
      <c r="G142" s="125">
        <v>192</v>
      </c>
      <c r="H142" s="110"/>
      <c r="I142" s="125">
        <v>12</v>
      </c>
      <c r="J142" s="110"/>
    </row>
    <row r="143" spans="1:10" ht="24.95" customHeight="1">
      <c r="A143" s="109" t="s">
        <v>76</v>
      </c>
      <c r="B143" s="110"/>
      <c r="C143" s="111" t="s">
        <v>11</v>
      </c>
      <c r="D143" s="110"/>
      <c r="E143" s="110"/>
      <c r="F143" s="111"/>
      <c r="G143" s="110"/>
      <c r="H143" s="110"/>
      <c r="I143" s="110"/>
      <c r="J143" s="110"/>
    </row>
    <row r="144" spans="1:10" ht="14.25" customHeight="1">
      <c r="A144" s="111" t="s">
        <v>77</v>
      </c>
      <c r="B144" s="110"/>
      <c r="C144" s="111" t="s">
        <v>78</v>
      </c>
      <c r="D144" s="110"/>
      <c r="E144" s="110"/>
      <c r="F144" s="27" t="s">
        <v>27</v>
      </c>
      <c r="G144" s="125">
        <v>5.952</v>
      </c>
      <c r="H144" s="110"/>
      <c r="I144" s="125">
        <v>0.372</v>
      </c>
      <c r="J144" s="110"/>
    </row>
    <row r="145" spans="1:11" ht="24.95" customHeight="1">
      <c r="A145" s="109" t="s">
        <v>79</v>
      </c>
      <c r="B145" s="110"/>
      <c r="C145" s="111"/>
      <c r="D145" s="110"/>
      <c r="E145" s="110"/>
      <c r="F145" s="111"/>
      <c r="G145" s="110"/>
      <c r="H145" s="110"/>
      <c r="I145" s="110"/>
      <c r="J145" s="110"/>
    </row>
    <row r="146" spans="1:11" ht="14.25" customHeight="1">
      <c r="A146" s="111" t="s">
        <v>65</v>
      </c>
      <c r="B146" s="110"/>
      <c r="C146" s="111" t="s">
        <v>66</v>
      </c>
      <c r="D146" s="110"/>
      <c r="E146" s="110"/>
      <c r="F146" s="27"/>
      <c r="G146" s="125">
        <v>0.57599999999999996</v>
      </c>
      <c r="H146" s="110"/>
      <c r="I146" s="125">
        <v>3.5999999999999997E-2</v>
      </c>
      <c r="J146" s="110"/>
    </row>
    <row r="147" spans="1:11" ht="24.95" customHeight="1">
      <c r="A147" s="109" t="s">
        <v>67</v>
      </c>
      <c r="B147" s="110"/>
      <c r="C147" s="111" t="s">
        <v>68</v>
      </c>
      <c r="D147" s="110"/>
      <c r="E147" s="110"/>
      <c r="F147" s="111"/>
      <c r="G147" s="110"/>
      <c r="H147" s="110"/>
      <c r="I147" s="110"/>
      <c r="J147" s="110"/>
    </row>
    <row r="148" spans="1:11" ht="14.25" customHeight="1">
      <c r="A148" s="111"/>
      <c r="B148" s="110"/>
      <c r="C148" s="111"/>
      <c r="D148" s="110"/>
      <c r="E148" s="110"/>
      <c r="F148" s="27"/>
      <c r="G148" s="125"/>
      <c r="H148" s="110"/>
      <c r="I148" s="125"/>
      <c r="J148" s="110"/>
    </row>
    <row r="149" spans="1:11" ht="24.95" customHeight="1">
      <c r="A149" s="109"/>
      <c r="B149" s="110"/>
      <c r="C149" s="111"/>
      <c r="D149" s="110"/>
      <c r="E149" s="110"/>
      <c r="F149" s="111"/>
      <c r="G149" s="110"/>
      <c r="H149" s="110"/>
      <c r="I149" s="110"/>
      <c r="J149" s="110"/>
    </row>
    <row r="150" spans="1:11" ht="14.25" customHeight="1">
      <c r="A150" s="111"/>
      <c r="B150" s="110"/>
      <c r="C150" s="111"/>
      <c r="D150" s="110"/>
      <c r="E150" s="110"/>
      <c r="F150" s="27"/>
      <c r="G150" s="125"/>
      <c r="H150" s="110"/>
      <c r="I150" s="125"/>
      <c r="J150" s="110"/>
    </row>
    <row r="151" spans="1:11" ht="24.95" customHeight="1">
      <c r="A151" s="109"/>
      <c r="B151" s="110"/>
      <c r="C151" s="111"/>
      <c r="D151" s="110"/>
      <c r="E151" s="110"/>
      <c r="F151" s="111"/>
      <c r="G151" s="110"/>
      <c r="H151" s="110"/>
      <c r="I151" s="110"/>
      <c r="J151" s="110"/>
    </row>
    <row r="152" spans="1:11" s="5" customFormat="1" ht="18" customHeight="1">
      <c r="A152" s="112" t="s">
        <v>119</v>
      </c>
      <c r="B152" s="113"/>
      <c r="C152" s="113"/>
      <c r="D152" s="113"/>
      <c r="E152" s="28" t="s">
        <v>120</v>
      </c>
      <c r="F152" s="29"/>
      <c r="G152" s="114" t="s">
        <v>121</v>
      </c>
      <c r="H152" s="115"/>
      <c r="I152" s="30" t="s">
        <v>122</v>
      </c>
      <c r="J152" s="31" t="s">
        <v>123</v>
      </c>
    </row>
    <row r="153" spans="1:11" s="7" customFormat="1" ht="18" customHeight="1">
      <c r="A153" s="116" t="str">
        <f>F117</f>
        <v>463301-2090灯具ｶﾊﾞｰPC IN</v>
      </c>
      <c r="B153" s="117"/>
      <c r="C153" s="117"/>
      <c r="D153" s="117"/>
      <c r="E153" s="120" t="str">
        <f>IFERROR(IF(OR(J153="", F123="", F123=0, J153/F123=0), C144&amp;" 　 "&amp;""&amp;"      枚", C144&amp;" 　 "&amp;J153/F123&amp;"      枚"), C144&amp;" 　 "&amp;""&amp;"      枚")</f>
        <v>灯具-2 　 11      枚</v>
      </c>
      <c r="F153" s="121"/>
      <c r="G153" s="32" t="s">
        <v>124</v>
      </c>
      <c r="H153" s="33">
        <f>_xlfn.XLOOKUP(RIGHT($B121,8), [1]加工記録２!$B:$B,[1]加工記録２!AH:AH)</f>
        <v>19</v>
      </c>
      <c r="I153" s="122">
        <f>MAX(I165:I169)</f>
        <v>45798</v>
      </c>
      <c r="J153" s="89">
        <f>_xlfn.XLOOKUP(RIGHT($B121,8), [1]加工記録２!$B:$B,[1]加工記録２!AD:AD,,0)</f>
        <v>176</v>
      </c>
    </row>
    <row r="154" spans="1:11" s="5" customFormat="1" ht="18" customHeight="1">
      <c r="A154" s="118"/>
      <c r="B154" s="119"/>
      <c r="C154" s="119"/>
      <c r="D154" s="119"/>
      <c r="E154" s="124" t="s">
        <v>125</v>
      </c>
      <c r="F154" s="124"/>
      <c r="G154" s="32" t="s">
        <v>126</v>
      </c>
      <c r="H154" s="33">
        <f>_xlfn.XLOOKUP(RIGHT($B121,8), [1]加工記録２!$B:$B,[1]加工記録２!AI:AI,,0)</f>
        <v>2</v>
      </c>
      <c r="I154" s="123"/>
      <c r="J154" s="89"/>
      <c r="K154" s="34"/>
    </row>
    <row r="155" spans="1:11" s="7" customFormat="1" ht="18" customHeight="1">
      <c r="A155" s="80" t="s">
        <v>127</v>
      </c>
      <c r="B155" s="92" t="str">
        <f>_xlfn.XLOOKUP(A126,[1]!テーブル5[品目コード],[1]!テーブル5[温度換算],,2)</f>
        <v>-</v>
      </c>
      <c r="C155" s="94" t="s">
        <v>128</v>
      </c>
      <c r="D155" s="96">
        <f>_xlfn.XLOOKUP(A126,[1]!テーブル5[品目コード],[1]!テーブル5[取数],,2)</f>
        <v>1</v>
      </c>
      <c r="E155" s="98" t="s">
        <v>129</v>
      </c>
      <c r="F155" s="98"/>
      <c r="G155" s="32" t="s">
        <v>130</v>
      </c>
      <c r="H155" s="33">
        <f>_xlfn.XLOOKUP(RIGHT($B121,8), [1]加工記録２!$B:$B,[1]加工記録２!AJ:AJ,,0)</f>
        <v>0</v>
      </c>
      <c r="I155" s="30" t="s">
        <v>131</v>
      </c>
      <c r="J155" s="30" t="s">
        <v>132</v>
      </c>
      <c r="K155" s="35"/>
    </row>
    <row r="156" spans="1:11" s="5" customFormat="1" ht="18" customHeight="1">
      <c r="A156" s="80"/>
      <c r="B156" s="93"/>
      <c r="C156" s="95"/>
      <c r="D156" s="97"/>
      <c r="E156" s="99" t="str">
        <f>_xlfn.XLOOKUP(A126,[1]!テーブル5[品目コード],[1]!テーブル5[備考１],,2)</f>
        <v>梱包:1996(840×2)</v>
      </c>
      <c r="F156" s="99"/>
      <c r="G156" s="32" t="s">
        <v>133</v>
      </c>
      <c r="H156" s="33">
        <f>_xlfn.XLOOKUP(RIGHT($B121,8), [1]加工記録２!$B:$B,[1]加工記録２!AK:AK,,0)</f>
        <v>0</v>
      </c>
      <c r="I156" s="100">
        <f>_xlfn.XLOOKUP(RIGHT($B121,8), [1]加工記録２!$B:$B,[1]加工記録２!CA:CA,,0)</f>
        <v>0</v>
      </c>
      <c r="J156" s="100" t="str">
        <f>_xlfn.XLOOKUP(RIGHT($B121,8), [1]加工記録２!$B:$B,[1]加工記録２!CB:CB,,0)</f>
        <v>高森</v>
      </c>
      <c r="K156" s="34"/>
    </row>
    <row r="157" spans="1:11" s="7" customFormat="1" ht="18" customHeight="1">
      <c r="A157" s="102" t="s">
        <v>134</v>
      </c>
      <c r="B157" s="103">
        <f>D117</f>
        <v>840</v>
      </c>
      <c r="C157" s="105" t="s">
        <v>135</v>
      </c>
      <c r="D157" s="86" t="str">
        <f>_xlfn.XLOOKUP(A126,[1]!テーブル5[品目コード],[1]!テーブル5[上限公差],,2)</f>
        <v>+2</v>
      </c>
      <c r="E157" s="99" t="str">
        <f>_xlfn.XLOOKUP(A126,[1]!テーブル5[品目コード],[1]!テーブル5[備考２],,2)</f>
        <v>クラフト紙：1996型　1/2</v>
      </c>
      <c r="F157" s="99"/>
      <c r="G157" s="32" t="s">
        <v>136</v>
      </c>
      <c r="H157" s="33">
        <f>_xlfn.XLOOKUP(RIGHT($B121,8), [1]加工記録２!$B:$B,[1]加工記録２!AL:AL,,0)</f>
        <v>0</v>
      </c>
      <c r="I157" s="101"/>
      <c r="J157" s="101"/>
      <c r="K157" s="35"/>
    </row>
    <row r="158" spans="1:11" s="5" customFormat="1" ht="18" customHeight="1">
      <c r="A158" s="102"/>
      <c r="B158" s="104"/>
      <c r="C158" s="106"/>
      <c r="D158" s="107"/>
      <c r="E158" s="108" t="s">
        <v>137</v>
      </c>
      <c r="F158" s="108"/>
      <c r="G158" s="32" t="s">
        <v>138</v>
      </c>
      <c r="H158" s="33">
        <f>_xlfn.XLOOKUP(RIGHT($B121,8), [1]加工記録２!$B:$B,[1]加工記録２!AM:AM,,0)</f>
        <v>0</v>
      </c>
      <c r="I158" s="36" t="s">
        <v>139</v>
      </c>
      <c r="J158" s="36" t="s">
        <v>140</v>
      </c>
      <c r="K158" s="34"/>
    </row>
    <row r="159" spans="1:11" s="7" customFormat="1" ht="18" customHeight="1">
      <c r="A159" s="80" t="s">
        <v>141</v>
      </c>
      <c r="B159" s="82" t="str">
        <f>_xlfn.XLOOKUP(A126,[1]!テーブル5[品目コード],[1]!テーブル5[切断寸法],,2)</f>
        <v>換算表確認</v>
      </c>
      <c r="C159" s="84" t="s">
        <v>142</v>
      </c>
      <c r="D159" s="86">
        <f>_xlfn.XLOOKUP(A126,[1]!テーブル5[品目コード],[1]!テーブル5[下限公差],,2)</f>
        <v>-2</v>
      </c>
      <c r="E159" s="88" t="str">
        <f>_xlfn.XLOOKUP(A126,[1]!テーブル5[品目コード],[1]!テーブル5[梱包方法],,2)</f>
        <v>ラベル２枚　長手有　鉢巻無</v>
      </c>
      <c r="F159" s="88"/>
      <c r="G159" s="32" t="s">
        <v>143</v>
      </c>
      <c r="H159" s="33">
        <f>_xlfn.XLOOKUP(RIGHT($B121,8), [1]加工記録２!$B:$B,[1]加工記録２!AN:AN,,0)</f>
        <v>0</v>
      </c>
      <c r="I159" s="89">
        <f>_xlfn.XLOOKUP(RIGHT($B121,8), [1]加工記録２!$B:$B,[1]加工記録２!AF:AF,,0)</f>
        <v>21</v>
      </c>
      <c r="J159" s="89">
        <f>_xlfn.XLOOKUP(RIGHT($B121,8), [1]加工記録２!$B:$B,[1]加工記録２!AE:AE,,0)</f>
        <v>21</v>
      </c>
      <c r="K159" s="35"/>
    </row>
    <row r="160" spans="1:11" s="5" customFormat="1" ht="18" customHeight="1" thickBot="1">
      <c r="A160" s="81"/>
      <c r="B160" s="83"/>
      <c r="C160" s="85"/>
      <c r="D160" s="87"/>
      <c r="E160" s="90"/>
      <c r="F160" s="90"/>
      <c r="G160" s="37" t="s">
        <v>144</v>
      </c>
      <c r="H160" s="38">
        <f>SUM(H153:H159)</f>
        <v>21</v>
      </c>
      <c r="I160" s="89"/>
      <c r="J160" s="89"/>
    </row>
    <row r="161" spans="1:22" s="47" customFormat="1" ht="18.95" customHeight="1">
      <c r="A161" s="39" t="s">
        <v>145</v>
      </c>
      <c r="B161" s="40" t="s">
        <v>146</v>
      </c>
      <c r="C161" s="41" t="s">
        <v>147</v>
      </c>
      <c r="D161" s="41" t="s">
        <v>148</v>
      </c>
      <c r="E161" s="42" t="s">
        <v>149</v>
      </c>
      <c r="F161" s="43" t="s">
        <v>150</v>
      </c>
      <c r="G161" s="42" t="s">
        <v>151</v>
      </c>
      <c r="H161" s="44" t="s">
        <v>152</v>
      </c>
      <c r="I161" s="45" t="s">
        <v>153</v>
      </c>
      <c r="J161" s="36" t="s">
        <v>154</v>
      </c>
      <c r="K161" s="46"/>
      <c r="L161" s="46"/>
      <c r="M161" s="46"/>
      <c r="N161" s="46"/>
    </row>
    <row r="162" spans="1:22" s="56" customFormat="1" ht="18.95" customHeight="1">
      <c r="A162" s="48">
        <f>IFERROR(_xlfn.XLOOKUP(RIGHT($B121,8)&amp;$J153,[1]加工記録２!B:B&amp;[1]加工記録２!AD:AD,[1]加工記録２!BB:BB,,0),"/")</f>
        <v>45733</v>
      </c>
      <c r="B162" s="49" t="str">
        <f>_xlfn.XLOOKUP(RIGHT($B121,8),[1]加工記録２!$B:$B,[1]加工記録２!BJ:BJ,,0)</f>
        <v>25L12-01</v>
      </c>
      <c r="C162" s="50"/>
      <c r="D162" s="51"/>
      <c r="E162" s="50"/>
      <c r="F162" s="52" t="s">
        <v>155</v>
      </c>
      <c r="G162" s="53">
        <f>IFERROR(SUM(H162*$D155),"")</f>
        <v>11</v>
      </c>
      <c r="H162" s="54">
        <f>_xlfn.XLOOKUP(RIGHT($B121,8),[1]加工記録２!$B:$B,[1]加工記録２!BR:BR,,0)</f>
        <v>11</v>
      </c>
      <c r="I162" s="91">
        <f>_xlfn.XLOOKUP(RIGHT($B121,8), [1]加工記録２!$B:$B,[1]加工記録２!AO:AO,,0)</f>
        <v>0</v>
      </c>
      <c r="J162" s="89">
        <f>_xlfn.XLOOKUP(RIGHT($B121,8), [1]加工記録２!$B:$B,[1]加工記録２!AG:AG,,0)</f>
        <v>197</v>
      </c>
      <c r="K162" s="55"/>
      <c r="L162" s="55"/>
      <c r="M162" s="55"/>
      <c r="N162" s="55"/>
      <c r="V162" s="57"/>
    </row>
    <row r="163" spans="1:22" s="56" customFormat="1" ht="18.95" customHeight="1" thickBot="1">
      <c r="A163" s="58">
        <f>IFERROR(_xlfn.XLOOKUP(RIGHT($B121,8)&amp;$J153,[1]加工記録２!B:B&amp;[1]加工記録２!AD:AD,[1]加工記録２!BC:BC,,0),"/")</f>
        <v>45798</v>
      </c>
      <c r="B163" s="59" t="str">
        <f>_xlfn.XLOOKUP(RIGHT($B121,8),[1]加工記録２!$B:$B,[1]加工記録２!BK:BK,,0)</f>
        <v>25E15-01</v>
      </c>
      <c r="C163" s="59" t="str">
        <f>_xlfn.XLOOKUP(RIGHT($B121,8),[1]加工記録２!$B:$B,[1]加工記録２!P:P,,0)</f>
        <v/>
      </c>
      <c r="D163" s="60" t="str">
        <f>IFERROR(_xlfn.XLOOKUP(IF(_xlfn.XLOOKUP(RIGHT($B121,8),[1]加工記録２!$B:$B,[1]加工記録２!C:C,,0)="","",_xlfn.XLOOKUP(RIGHT($B121,8),[1]加工記録２!$B:$B,[1]加工記録２!C:C,,0))&amp;C163,[1]温度換算!A:A,[1]温度換算!C:C),"")</f>
        <v/>
      </c>
      <c r="E163" s="61" t="str">
        <f>_xlfn.XLOOKUP(RIGHT($B121,8), [1]加工記録２!$B:$B,[1]加工記録２!W:W,,0)</f>
        <v/>
      </c>
      <c r="F163" s="62"/>
      <c r="G163" s="63">
        <f>IFERROR(SUM(H163*$D155),"")</f>
        <v>186</v>
      </c>
      <c r="H163" s="64">
        <f>_xlfn.XLOOKUP(RIGHT($B121,8),[1]加工記録２!$B:$B,[1]加工記録２!BS:BS,,0)</f>
        <v>186</v>
      </c>
      <c r="I163" s="91"/>
      <c r="J163" s="89"/>
      <c r="K163" s="55"/>
      <c r="L163" s="55"/>
      <c r="M163" s="55"/>
      <c r="N163" s="55"/>
    </row>
    <row r="164" spans="1:22" s="56" customFormat="1" ht="18.95" customHeight="1" thickBot="1">
      <c r="A164" s="58" t="str">
        <f>IFERROR(_xlfn.XLOOKUP(RIGHT($B121,8)&amp;$J153,[1]加工記録２!B:B&amp;[1]加工記録２!AD:AD,[1]加工記録２!BD:BD,,0),"/")</f>
        <v/>
      </c>
      <c r="B164" s="59" t="str">
        <f>_xlfn.XLOOKUP(RIGHT($B121,8),[1]加工記録２!B:B,[1]加工記録２!BL:BL,,0)</f>
        <v/>
      </c>
      <c r="C164" s="59" t="str">
        <f>_xlfn.XLOOKUP(RIGHT($B121,8),[1]加工記録２!$B:$B,[1]加工記録２!Q:Q,,0)</f>
        <v/>
      </c>
      <c r="D164" s="60" t="str">
        <f>IFERROR(_xlfn.XLOOKUP(IF(_xlfn.XLOOKUP(RIGHT($B121,8),[1]加工記録２!$B:$B,[1]加工記録２!C:C,,0)="","",_xlfn.XLOOKUP(RIGHT($B121,8),[1]加工記録２!$B:$B,[1]加工記録２!C:C,,0))&amp;C164,[1]温度換算!A:A,[1]温度換算!C:C),"")</f>
        <v/>
      </c>
      <c r="E164" s="61" t="str">
        <f>_xlfn.XLOOKUP(RIGHT($B121,8), [1]加工記録２!$B:$B,[1]加工記録２!X:X,,0)</f>
        <v/>
      </c>
      <c r="F164" s="62"/>
      <c r="G164" s="63" t="str">
        <f>IFERROR(SUM(H164*$D155),"")</f>
        <v/>
      </c>
      <c r="H164" s="64" t="str">
        <f>_xlfn.XLOOKUP(RIGHT($B121,8),[1]加工記録２!$B:$B,[1]加工記録２!BT:BT,,0)</f>
        <v/>
      </c>
      <c r="I164" s="65" t="s">
        <v>156</v>
      </c>
      <c r="J164" s="66" t="s">
        <v>157</v>
      </c>
      <c r="K164" s="55"/>
      <c r="L164" s="55"/>
      <c r="M164" s="55"/>
      <c r="N164" s="55"/>
    </row>
    <row r="165" spans="1:22" s="56" customFormat="1" ht="18.95" customHeight="1">
      <c r="A165" s="58" t="str">
        <f>IFERROR(_xlfn.XLOOKUP(RIGHT($B121,8)&amp;$J153,[1]加工記録２!B:B&amp;[1]加工記録２!AD:AD,[1]加工記録２!BE:BE,,0),"/")</f>
        <v/>
      </c>
      <c r="B165" s="59" t="str">
        <f>_xlfn.XLOOKUP(RIGHT($B121,8),[1]加工記録２!B:B,[1]加工記録２!BM:BM,,0)</f>
        <v/>
      </c>
      <c r="C165" s="59" t="str">
        <f>_xlfn.XLOOKUP(RIGHT($B121,8),[1]加工記録２!$B:$B,[1]加工記録２!R:R,,0)</f>
        <v/>
      </c>
      <c r="D165" s="60" t="str">
        <f>IFERROR(_xlfn.XLOOKUP(IF(_xlfn.XLOOKUP(RIGHT($B121,8),[1]加工記録２!$B:$B,[1]加工記録２!C:C,,0)="","",_xlfn.XLOOKUP(RIGHT($B121,8),[1]加工記録２!$B:$B,[1]加工記録２!C:C,,0))&amp;C165,[1]温度換算!A:A,[1]温度換算!C:C),"")</f>
        <v/>
      </c>
      <c r="E165" s="61" t="str">
        <f>_xlfn.XLOOKUP(RIGHT($B121,8), [1]加工記録２!$B:$B,[1]加工記録２!Y:Y,,0)</f>
        <v/>
      </c>
      <c r="F165" s="62"/>
      <c r="G165" s="63" t="str">
        <f>IFERROR(SUM(H165*$D155),"")</f>
        <v/>
      </c>
      <c r="H165" s="64" t="str">
        <f>_xlfn.XLOOKUP(RIGHT($B121,8),[1]加工記録２!$B:$B,[1]加工記録２!BU:BU,,0)</f>
        <v/>
      </c>
      <c r="I165" s="67">
        <f>_xlfn.LET(_xlpm.val,_xlfn.XLOOKUP(RIGHT($B121,8),[1]加工記録２!$B:$B,[1]加工記録２!AQ:AQ,""),IF(OR(_xlpm.val="",_xlpm.val=0),"",_xlpm.val))</f>
        <v>45798</v>
      </c>
      <c r="J165" s="68">
        <f>_xlfn.LET(_xlpm.val,_xlfn.XLOOKUP(RIGHT($B121,8),[1]加工記録２!$B:$B,[1]加工記録２!AR:AR,""),IF(OR(_xlpm.val="",_xlpm.val=0),"",_xlpm.val))</f>
        <v>11</v>
      </c>
      <c r="K165" s="55"/>
      <c r="L165" s="55"/>
      <c r="M165" s="55"/>
      <c r="N165" s="55"/>
    </row>
    <row r="166" spans="1:22" s="56" customFormat="1" ht="18.95" customHeight="1">
      <c r="A166" s="58" t="str">
        <f>IFERROR(_xlfn.XLOOKUP(RIGHT($B121,8)&amp;$J153,[1]加工記録２!B:B&amp;[1]加工記録２!AD:AD,[1]加工記録２!BF:BF,,0),"/")</f>
        <v/>
      </c>
      <c r="B166" s="59" t="str">
        <f>_xlfn.XLOOKUP(RIGHT($B121,8),[1]加工記録２!B:B,[1]加工記録２!BN:BN,,0)</f>
        <v/>
      </c>
      <c r="C166" s="59" t="str">
        <f>_xlfn.XLOOKUP(RIGHT($B121,8),[1]加工記録２!$B:$B,[1]加工記録２!S:S,,0)</f>
        <v/>
      </c>
      <c r="D166" s="60" t="str">
        <f>IFERROR(_xlfn.XLOOKUP(IF(_xlfn.XLOOKUP(RIGHT($B121,8),[1]加工記録２!$B:$B,[1]加工記録２!C:C,,0)="","",_xlfn.XLOOKUP(RIGHT($B121,8),[1]加工記録２!$B:$B,[1]加工記録２!C:C,,0))&amp;C166,[1]温度換算!A:A,[1]温度換算!C:C),"")</f>
        <v/>
      </c>
      <c r="E166" s="61" t="str">
        <f>_xlfn.XLOOKUP(RIGHT($B121,8), [1]加工記録２!$B:$B,[1]加工記録２!Z:Z,,0)</f>
        <v/>
      </c>
      <c r="F166" s="62"/>
      <c r="G166" s="63" t="str">
        <f>IFERROR(SUM(H166*$D155),"")</f>
        <v/>
      </c>
      <c r="H166" s="64" t="str">
        <f>_xlfn.XLOOKUP(RIGHT($B121,8),[1]加工記録２!$B:$B,[1]加工記録２!BV:BV,,0)</f>
        <v/>
      </c>
      <c r="I166" s="69" t="str">
        <f>_xlfn.LET(_xlpm.val,_xlfn.XLOOKUP(RIGHT($B121,8),[1]加工記録２!$B:$B,[1]加工記録２!AS:AS,""),IF(OR(_xlpm.val="",_xlpm.val=0),"",_xlpm.val))</f>
        <v/>
      </c>
      <c r="J166" s="70" t="str">
        <f>_xlfn.LET(_xlpm.val,_xlfn.XLOOKUP(RIGHT($B121,8),[1]加工記録２!$B:$B,[1]加工記録２!AT:AT,""),IF(OR(_xlpm.val="",_xlpm.val=0),"",_xlpm.val))</f>
        <v/>
      </c>
      <c r="K166" s="55"/>
      <c r="L166" s="55"/>
      <c r="M166" s="55"/>
      <c r="N166" s="55"/>
    </row>
    <row r="167" spans="1:22" s="56" customFormat="1" ht="18.95" customHeight="1">
      <c r="A167" s="58" t="str">
        <f>IFERROR(_xlfn.XLOOKUP(RIGHT($B121,8)&amp;$J153,[1]加工記録２!B:B&amp;[1]加工記録２!AD:AD,[1]加工記録２!BG:BG,,0),"/")</f>
        <v/>
      </c>
      <c r="B167" s="59" t="str">
        <f>_xlfn.XLOOKUP(RIGHT($B121,8),[1]加工記録２!B:B,[1]加工記録２!BO:BO,,0)</f>
        <v/>
      </c>
      <c r="C167" s="59" t="str">
        <f>_xlfn.XLOOKUP(RIGHT($B121,8),[1]加工記録２!$B:$B,[1]加工記録２!T:T,,0)</f>
        <v/>
      </c>
      <c r="D167" s="60" t="str">
        <f>IFERROR(_xlfn.XLOOKUP(IF(_xlfn.XLOOKUP(RIGHT($B121,8),[1]加工記録２!$B:$B,[1]加工記録２!C:C,,0)="","",_xlfn.XLOOKUP(RIGHT($B121,8),[1]加工記録２!$B:$B,[1]加工記録２!C:C,,0))&amp;C167,[1]温度換算!A:A,[1]温度換算!C:C),"")</f>
        <v/>
      </c>
      <c r="E167" s="61" t="str">
        <f>_xlfn.XLOOKUP(RIGHT($B121,8), [1]加工記録２!$B:$B,[1]加工記録２!AA:AA,,0)</f>
        <v/>
      </c>
      <c r="F167" s="62"/>
      <c r="G167" s="63" t="str">
        <f>IFERROR(SUM(H167*$D155),"")</f>
        <v/>
      </c>
      <c r="H167" s="64" t="str">
        <f>_xlfn.XLOOKUP(RIGHT($B121,8),[1]加工記録２!$B:$B,[1]加工記録２!BW:BW,,0)</f>
        <v/>
      </c>
      <c r="I167" s="69" t="str">
        <f>_xlfn.LET(_xlpm.val,_xlfn.XLOOKUP(RIGHT($B121,8),[1]加工記録２!$B:$B,[1]加工記録２!AU:AU,""),IF(OR(_xlpm.val="",_xlpm.val=0),"",_xlpm.val))</f>
        <v/>
      </c>
      <c r="J167" s="70" t="str">
        <f>_xlfn.LET(_xlpm.val,_xlfn.XLOOKUP(RIGHT($B121,8),[1]加工記録２!$B:$B,[1]加工記録２!AV:AV,""),IF(OR(_xlpm.val="",_xlpm.val=0),"",_xlpm.val))</f>
        <v/>
      </c>
      <c r="K167" s="55"/>
      <c r="L167" s="55"/>
      <c r="M167" s="55"/>
      <c r="N167" s="55"/>
    </row>
    <row r="168" spans="1:22" s="56" customFormat="1" ht="18.95" customHeight="1">
      <c r="A168" s="58" t="str">
        <f>IFERROR(_xlfn.XLOOKUP(RIGHT($B121,8)&amp;$J153,[1]加工記録２!B:B&amp;[1]加工記録２!AD:AD,[1]加工記録２!BH:BH,,0),"/")</f>
        <v/>
      </c>
      <c r="B168" s="59" t="str">
        <f>_xlfn.XLOOKUP(RIGHT($B121,8),[1]加工記録２!B:B,[1]加工記録２!BP:BP,,0)</f>
        <v/>
      </c>
      <c r="C168" s="59" t="str">
        <f>_xlfn.XLOOKUP(RIGHT($B121,8),[1]加工記録２!$B:$B,[1]加工記録２!U:U,,0)</f>
        <v/>
      </c>
      <c r="D168" s="60" t="str">
        <f>IFERROR(_xlfn.XLOOKUP(IF(_xlfn.XLOOKUP(RIGHT($B121,8),[1]加工記録２!$B:$B,[1]加工記録２!C:C,,0)="","",_xlfn.XLOOKUP(RIGHT($B121,8),[1]加工記録２!$B:$B,[1]加工記録２!C:C,,0))&amp;C168,[1]温度換算!A:A,[1]温度換算!C:C),"")</f>
        <v/>
      </c>
      <c r="E168" s="61" t="str">
        <f>_xlfn.XLOOKUP(RIGHT($B121,8), [1]加工記録２!$B:$B,[1]加工記録２!AB:AB,,0)</f>
        <v/>
      </c>
      <c r="F168" s="62"/>
      <c r="G168" s="63" t="str">
        <f>IFERROR(SUM(H168*$D155),"")</f>
        <v/>
      </c>
      <c r="H168" s="64" t="str">
        <f>_xlfn.XLOOKUP(RIGHT($B121,8),[1]加工記録２!$B:$B,[1]加工記録２!BX:BX,,0)</f>
        <v/>
      </c>
      <c r="I168" s="69" t="str">
        <f>_xlfn.LET(_xlpm.val,_xlfn.XLOOKUP(RIGHT($B121,8),[1]加工記録２!$B:$B,[1]加工記録２!AW:AW,""),IF(OR(_xlpm.val="",_xlpm.val=0),"",_xlpm.val))</f>
        <v/>
      </c>
      <c r="J168" s="70" t="str">
        <f>_xlfn.LET(_xlpm.val,_xlfn.XLOOKUP(RIGHT($B121,8),[1]加工記録２!$B:$B,[1]加工記録２!AX:AX,""),IF(OR(_xlpm.val="",_xlpm.val=0),"",_xlpm.val))</f>
        <v/>
      </c>
      <c r="K168" s="55"/>
      <c r="L168" s="55"/>
      <c r="M168" s="55"/>
      <c r="N168" s="55"/>
    </row>
    <row r="169" spans="1:22" s="56" customFormat="1" ht="18.95" customHeight="1" thickBot="1">
      <c r="A169" s="71" t="str">
        <f>IFERROR(_xlfn.XLOOKUP(RIGHT($B121,8)&amp;$J153,[1]加工記録２!B:B&amp;[1]加工記録２!AD:AD,[1]加工記録２!BI:BI,,0),"/")</f>
        <v/>
      </c>
      <c r="B169" s="72" t="str">
        <f>_xlfn.XLOOKUP(RIGHT($B121,8),[1]加工記録２!B:B,[1]加工記録２!BQ:BQ,,0)</f>
        <v/>
      </c>
      <c r="C169" s="72" t="str">
        <f>_xlfn.XLOOKUP(RIGHT($B121,8),[1]加工記録２!$B:$B,[1]加工記録２!V:V,,0)</f>
        <v/>
      </c>
      <c r="D169" s="73" t="str">
        <f>IFERROR(_xlfn.XLOOKUP(IF(_xlfn.XLOOKUP(RIGHT($B121,8),[1]加工記録２!$B:$B,[1]加工記録２!C:C,,0)="","",_xlfn.XLOOKUP(RIGHT($B121,8),[1]加工記録２!$B:$B,[1]加工記録２!C:C,,0))&amp;C169,[1]温度換算!A:A,[1]温度換算!C:C),"")</f>
        <v/>
      </c>
      <c r="E169" s="74" t="str">
        <f>_xlfn.XLOOKUP(RIGHT($B121,8), [1]加工記録２!$B:$B,[1]加工記録２!AC:AC,,0)</f>
        <v/>
      </c>
      <c r="F169" s="75"/>
      <c r="G169" s="76" t="str">
        <f>IFERROR(SUM(H169*$D155),"")</f>
        <v/>
      </c>
      <c r="H169" s="77" t="str">
        <f>_xlfn.XLOOKUP(RIGHT($B121,8),[1]加工記録２!$B:$B,[1]加工記録２!BY:BY,,0)</f>
        <v/>
      </c>
      <c r="I169" s="78" t="str">
        <f>_xlfn.LET(_xlpm.val,_xlfn.XLOOKUP(RIGHT($B121,8),[1]加工記録２!$B:$B,[1]加工記録２!AY:AY,""),IF(OR(_xlpm.val="",_xlpm.val=0),"",_xlpm.val))</f>
        <v/>
      </c>
      <c r="J169" s="79" t="str">
        <f>_xlfn.LET(_xlpm.val,_xlfn.XLOOKUP(RIGHT($B121,8),[1]加工記録２!$B:$B,[1]加工記録２!AZ:AZ,""),IF(OR(_xlpm.val="",_xlpm.val=0),"",_xlpm.val))</f>
        <v/>
      </c>
      <c r="K169" s="55"/>
      <c r="L169" s="55"/>
      <c r="M169" s="55"/>
      <c r="N169" s="55"/>
    </row>
    <row r="170" spans="1:22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22" ht="6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22" ht="14.25" customHeight="1">
      <c r="A172" s="12"/>
      <c r="B172" s="151" t="s">
        <v>0</v>
      </c>
      <c r="C172" s="110"/>
      <c r="D172" s="110"/>
      <c r="E172" s="12"/>
      <c r="F172" s="12"/>
      <c r="G172" s="12"/>
      <c r="H172" s="12"/>
      <c r="I172" s="12"/>
      <c r="J172" s="12"/>
    </row>
    <row r="173" spans="1:22" ht="14.25" customHeight="1">
      <c r="A173" s="13"/>
      <c r="B173" s="110"/>
      <c r="C173" s="110"/>
      <c r="D173" s="110"/>
      <c r="E173" s="13"/>
      <c r="F173" s="13"/>
      <c r="G173" s="13"/>
      <c r="H173" s="13"/>
      <c r="I173" s="13"/>
      <c r="J173" s="13"/>
    </row>
    <row r="174" spans="1:22" ht="14.25" customHeight="1">
      <c r="A174" s="152" t="s">
        <v>1</v>
      </c>
      <c r="B174" s="152" t="s">
        <v>80</v>
      </c>
      <c r="C174" s="152" t="s">
        <v>3</v>
      </c>
      <c r="D174" s="153">
        <v>908</v>
      </c>
      <c r="E174" s="152" t="s">
        <v>4</v>
      </c>
      <c r="F174" s="154" t="s">
        <v>81</v>
      </c>
      <c r="G174" s="110"/>
      <c r="H174" s="150"/>
      <c r="I174" s="14" t="s">
        <v>6</v>
      </c>
      <c r="J174" s="14" t="s">
        <v>7</v>
      </c>
    </row>
    <row r="175" spans="1:22" ht="14.25" customHeight="1">
      <c r="A175" s="110"/>
      <c r="B175" s="110"/>
      <c r="C175" s="110"/>
      <c r="D175" s="110"/>
      <c r="E175" s="110"/>
      <c r="F175" s="110"/>
      <c r="G175" s="110"/>
      <c r="H175" s="150"/>
      <c r="I175" s="155"/>
      <c r="J175" s="155"/>
    </row>
    <row r="176" spans="1:22" ht="17.45" customHeight="1">
      <c r="A176" s="136" t="s">
        <v>8</v>
      </c>
      <c r="B176" s="136" t="s">
        <v>82</v>
      </c>
      <c r="E176" s="136" t="s">
        <v>10</v>
      </c>
      <c r="F176" s="158" t="s">
        <v>11</v>
      </c>
      <c r="G176" s="110"/>
      <c r="H176" s="150"/>
      <c r="I176" s="156"/>
      <c r="J176" s="156"/>
    </row>
    <row r="177" spans="1:10" ht="17.45" customHeight="1">
      <c r="A177" s="110"/>
      <c r="B177" s="110"/>
      <c r="E177" s="110"/>
      <c r="F177" s="110"/>
      <c r="G177" s="110"/>
      <c r="H177" s="150"/>
      <c r="I177" s="15"/>
      <c r="J177" s="15"/>
    </row>
    <row r="178" spans="1:10" ht="17.45" customHeight="1">
      <c r="A178" s="136" t="s">
        <v>12</v>
      </c>
      <c r="B178" s="136" t="s">
        <v>83</v>
      </c>
      <c r="E178" s="2" t="s">
        <v>14</v>
      </c>
      <c r="F178" s="137" t="s">
        <v>15</v>
      </c>
      <c r="G178" s="110"/>
      <c r="H178" s="22"/>
    </row>
    <row r="179" spans="1:10" ht="17.45" customHeight="1">
      <c r="A179" s="110"/>
      <c r="B179" s="110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45814</v>
      </c>
      <c r="E180" s="2" t="s">
        <v>19</v>
      </c>
      <c r="F180" s="138">
        <v>16</v>
      </c>
      <c r="G180" s="110"/>
      <c r="H180" s="22"/>
    </row>
    <row r="181" spans="1:10" ht="17.45" customHeight="1">
      <c r="A181" s="2" t="s">
        <v>20</v>
      </c>
      <c r="B181" s="4">
        <v>45814</v>
      </c>
      <c r="E181" s="2" t="s">
        <v>21</v>
      </c>
      <c r="F181" s="22">
        <v>12</v>
      </c>
      <c r="G181" s="139" t="s">
        <v>22</v>
      </c>
      <c r="H181" s="141">
        <v>192</v>
      </c>
      <c r="I181" s="142"/>
      <c r="J181" s="143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40"/>
      <c r="H182" s="140"/>
      <c r="I182" s="130"/>
      <c r="J182" s="144"/>
    </row>
    <row r="183" spans="1:10" ht="13.5" customHeight="1">
      <c r="A183" s="145" t="s">
        <v>84</v>
      </c>
      <c r="B183" s="110"/>
      <c r="C183" s="110"/>
      <c r="D183" s="21"/>
      <c r="F183" s="3"/>
      <c r="G183" s="146" t="s">
        <v>26</v>
      </c>
      <c r="H183" s="148" t="s">
        <v>27</v>
      </c>
      <c r="I183" s="149" t="s">
        <v>28</v>
      </c>
      <c r="J183" s="150"/>
    </row>
    <row r="184" spans="1:10" ht="13.5" customHeight="1">
      <c r="A184" s="110"/>
      <c r="B184" s="110"/>
      <c r="C184" s="110"/>
      <c r="D184" s="21"/>
      <c r="F184" s="3"/>
      <c r="G184" s="147"/>
      <c r="H184" s="147"/>
      <c r="I184" s="130"/>
      <c r="J184" s="144"/>
    </row>
    <row r="185" spans="1:10" ht="13.5" customHeight="1">
      <c r="A185" s="1" t="s">
        <v>29</v>
      </c>
    </row>
    <row r="186" spans="1:10" ht="63" customHeight="1">
      <c r="A186" s="131"/>
      <c r="B186" s="132"/>
      <c r="C186" s="132"/>
      <c r="D186" s="132"/>
      <c r="E186" s="132"/>
      <c r="F186" s="132"/>
      <c r="G186" s="132"/>
      <c r="H186" s="132"/>
      <c r="I186" s="132"/>
      <c r="J186" s="132"/>
    </row>
    <row r="187" spans="1:10" ht="18.75">
      <c r="A187" s="24" t="s">
        <v>30</v>
      </c>
      <c r="B187" s="17" t="s">
        <v>31</v>
      </c>
      <c r="C187" s="133" t="s">
        <v>32</v>
      </c>
      <c r="D187" s="134"/>
      <c r="E187" s="17" t="s">
        <v>33</v>
      </c>
      <c r="F187" s="133" t="s">
        <v>34</v>
      </c>
      <c r="G187" s="134"/>
      <c r="H187" s="134"/>
      <c r="I187" s="135" t="s">
        <v>35</v>
      </c>
      <c r="J187" s="134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111" t="s">
        <v>37</v>
      </c>
      <c r="D189" s="110"/>
      <c r="E189" s="25" t="s">
        <v>40</v>
      </c>
      <c r="F189" s="111" t="s">
        <v>41</v>
      </c>
      <c r="G189" s="110"/>
      <c r="H189" s="110"/>
      <c r="I189" s="126"/>
      <c r="J189" s="110"/>
    </row>
    <row r="190" spans="1:10" ht="16.5" customHeight="1">
      <c r="A190" s="23">
        <v>1</v>
      </c>
      <c r="B190" s="26" t="s">
        <v>36</v>
      </c>
      <c r="C190" s="111" t="s">
        <v>37</v>
      </c>
      <c r="D190" s="110"/>
      <c r="E190" s="25" t="s">
        <v>42</v>
      </c>
      <c r="F190" s="111" t="s">
        <v>43</v>
      </c>
      <c r="G190" s="110"/>
      <c r="H190" s="110"/>
      <c r="I190" s="126"/>
      <c r="J190" s="110"/>
    </row>
    <row r="191" spans="1:10" ht="16.5" customHeight="1">
      <c r="A191" s="23"/>
      <c r="B191" s="26"/>
      <c r="C191" s="111"/>
      <c r="D191" s="110"/>
      <c r="E191" s="25"/>
      <c r="F191" s="111"/>
      <c r="G191" s="110"/>
      <c r="H191" s="110"/>
      <c r="I191" s="126"/>
      <c r="J191" s="110"/>
    </row>
    <row r="192" spans="1:10" ht="16.5" customHeight="1">
      <c r="A192" s="23"/>
      <c r="B192" s="26"/>
      <c r="C192" s="111"/>
      <c r="D192" s="110"/>
      <c r="E192" s="25"/>
      <c r="F192" s="111"/>
      <c r="G192" s="110"/>
      <c r="H192" s="110"/>
      <c r="I192" s="126"/>
      <c r="J192" s="110"/>
    </row>
    <row r="193" spans="1:10" ht="16.5" customHeight="1">
      <c r="A193" s="23"/>
      <c r="B193" s="26"/>
      <c r="C193" s="111"/>
      <c r="D193" s="110"/>
      <c r="E193" s="25"/>
      <c r="F193" s="111"/>
      <c r="G193" s="110"/>
      <c r="H193" s="110"/>
      <c r="I193" s="126"/>
      <c r="J193" s="110"/>
    </row>
    <row r="194" spans="1:10" ht="16.5" customHeight="1">
      <c r="A194" s="23"/>
      <c r="B194" s="26"/>
      <c r="C194" s="111"/>
      <c r="D194" s="110"/>
      <c r="E194" s="25"/>
      <c r="F194" s="111"/>
      <c r="G194" s="110"/>
      <c r="H194" s="110"/>
      <c r="I194" s="126"/>
      <c r="J194" s="110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127" t="s">
        <v>44</v>
      </c>
      <c r="B196" s="128"/>
      <c r="C196" s="127" t="s">
        <v>45</v>
      </c>
      <c r="D196" s="128"/>
      <c r="E196" s="128"/>
      <c r="F196" s="18" t="s">
        <v>46</v>
      </c>
      <c r="G196" s="127" t="s">
        <v>47</v>
      </c>
      <c r="H196" s="128"/>
      <c r="I196" s="127" t="s">
        <v>48</v>
      </c>
      <c r="J196" s="128"/>
    </row>
    <row r="197" spans="1:10" ht="14.25" customHeight="1">
      <c r="A197" s="8"/>
      <c r="B197" s="19"/>
      <c r="C197" s="129" t="s">
        <v>49</v>
      </c>
      <c r="D197" s="130"/>
      <c r="E197" s="19"/>
      <c r="F197" s="129" t="s">
        <v>29</v>
      </c>
      <c r="G197" s="130"/>
      <c r="H197" s="130"/>
      <c r="I197" s="130"/>
      <c r="J197" s="130"/>
    </row>
    <row r="198" spans="1:10">
      <c r="A198" s="9"/>
      <c r="C198" s="7"/>
      <c r="D198" s="7"/>
      <c r="E198" s="7"/>
    </row>
    <row r="199" spans="1:10" ht="14.25" customHeight="1">
      <c r="A199" s="111" t="s">
        <v>85</v>
      </c>
      <c r="B199" s="110"/>
      <c r="C199" s="111" t="s">
        <v>86</v>
      </c>
      <c r="D199" s="110"/>
      <c r="E199" s="110"/>
      <c r="F199" s="27" t="s">
        <v>52</v>
      </c>
      <c r="G199" s="125">
        <v>192</v>
      </c>
      <c r="H199" s="110"/>
      <c r="I199" s="125">
        <v>12</v>
      </c>
      <c r="J199" s="110"/>
    </row>
    <row r="200" spans="1:10" ht="24.95" customHeight="1">
      <c r="A200" s="109" t="s">
        <v>87</v>
      </c>
      <c r="B200" s="110"/>
      <c r="C200" s="111" t="s">
        <v>11</v>
      </c>
      <c r="D200" s="110"/>
      <c r="E200" s="110"/>
      <c r="F200" s="111"/>
      <c r="G200" s="110"/>
      <c r="H200" s="110"/>
      <c r="I200" s="110"/>
      <c r="J200" s="110"/>
    </row>
    <row r="201" spans="1:10" ht="14.25" customHeight="1">
      <c r="A201" s="111" t="s">
        <v>62</v>
      </c>
      <c r="B201" s="110"/>
      <c r="C201" s="111" t="s">
        <v>63</v>
      </c>
      <c r="D201" s="110"/>
      <c r="E201" s="110"/>
      <c r="F201" s="27" t="s">
        <v>27</v>
      </c>
      <c r="G201" s="125">
        <v>12.096</v>
      </c>
      <c r="H201" s="110"/>
      <c r="I201" s="125">
        <v>0.75600000000000001</v>
      </c>
      <c r="J201" s="110"/>
    </row>
    <row r="202" spans="1:10" ht="24.95" customHeight="1">
      <c r="A202" s="109" t="s">
        <v>64</v>
      </c>
      <c r="B202" s="110"/>
      <c r="C202" s="111"/>
      <c r="D202" s="110"/>
      <c r="E202" s="110"/>
      <c r="F202" s="111"/>
      <c r="G202" s="110"/>
      <c r="H202" s="110"/>
      <c r="I202" s="110"/>
      <c r="J202" s="110"/>
    </row>
    <row r="203" spans="1:10" ht="14.25" customHeight="1">
      <c r="A203" s="111" t="s">
        <v>65</v>
      </c>
      <c r="B203" s="110"/>
      <c r="C203" s="111" t="s">
        <v>66</v>
      </c>
      <c r="D203" s="110"/>
      <c r="E203" s="110"/>
      <c r="F203" s="27"/>
      <c r="G203" s="125">
        <v>0.57599999999999996</v>
      </c>
      <c r="H203" s="110"/>
      <c r="I203" s="125">
        <v>3.5999999999999997E-2</v>
      </c>
      <c r="J203" s="110"/>
    </row>
    <row r="204" spans="1:10" ht="24.95" customHeight="1">
      <c r="A204" s="109" t="s">
        <v>67</v>
      </c>
      <c r="B204" s="110"/>
      <c r="C204" s="111" t="s">
        <v>68</v>
      </c>
      <c r="D204" s="110"/>
      <c r="E204" s="110"/>
      <c r="F204" s="111"/>
      <c r="G204" s="110"/>
      <c r="H204" s="110"/>
      <c r="I204" s="110"/>
      <c r="J204" s="110"/>
    </row>
    <row r="205" spans="1:10" ht="14.25" customHeight="1">
      <c r="A205" s="111"/>
      <c r="B205" s="110"/>
      <c r="C205" s="111"/>
      <c r="D205" s="110"/>
      <c r="E205" s="110"/>
      <c r="F205" s="27"/>
      <c r="G205" s="125"/>
      <c r="H205" s="110"/>
      <c r="I205" s="125"/>
      <c r="J205" s="110"/>
    </row>
    <row r="206" spans="1:10" ht="24.95" customHeight="1">
      <c r="A206" s="109"/>
      <c r="B206" s="110"/>
      <c r="C206" s="111"/>
      <c r="D206" s="110"/>
      <c r="E206" s="110"/>
      <c r="F206" s="111"/>
      <c r="G206" s="110"/>
      <c r="H206" s="110"/>
      <c r="I206" s="110"/>
      <c r="J206" s="110"/>
    </row>
    <row r="207" spans="1:10" ht="14.25" customHeight="1">
      <c r="A207" s="111"/>
      <c r="B207" s="110"/>
      <c r="C207" s="111"/>
      <c r="D207" s="110"/>
      <c r="E207" s="110"/>
      <c r="F207" s="27"/>
      <c r="G207" s="125"/>
      <c r="H207" s="110"/>
      <c r="I207" s="125"/>
      <c r="J207" s="110"/>
    </row>
    <row r="208" spans="1:10" ht="24.95" customHeight="1">
      <c r="A208" s="109"/>
      <c r="B208" s="110"/>
      <c r="C208" s="111"/>
      <c r="D208" s="110"/>
      <c r="E208" s="110"/>
      <c r="F208" s="111"/>
      <c r="G208" s="110"/>
      <c r="H208" s="110"/>
      <c r="I208" s="110"/>
      <c r="J208" s="110"/>
    </row>
    <row r="209" spans="1:22" s="5" customFormat="1" ht="18" customHeight="1">
      <c r="A209" s="112" t="s">
        <v>119</v>
      </c>
      <c r="B209" s="113"/>
      <c r="C209" s="113"/>
      <c r="D209" s="113"/>
      <c r="E209" s="28" t="s">
        <v>120</v>
      </c>
      <c r="F209" s="29"/>
      <c r="G209" s="114" t="s">
        <v>121</v>
      </c>
      <c r="H209" s="115"/>
      <c r="I209" s="30" t="s">
        <v>122</v>
      </c>
      <c r="J209" s="31" t="s">
        <v>123</v>
      </c>
    </row>
    <row r="210" spans="1:22" s="7" customFormat="1" ht="18" customHeight="1">
      <c r="A210" s="116" t="str">
        <f>F174</f>
        <v>463301-2130灯具ｶﾊﾞｰPC IN</v>
      </c>
      <c r="B210" s="117"/>
      <c r="C210" s="117"/>
      <c r="D210" s="117"/>
      <c r="E210" s="120" t="str">
        <f>IFERROR(IF(OR(J210="", F180="", F180=0, J210/F180=0), C201&amp;" 　 "&amp;""&amp;"      枚", C201&amp;" 　 "&amp;J210/F180&amp;"      枚"), C201&amp;" 　 "&amp;""&amp;"      枚")</f>
        <v>灯具-1 　 11      枚</v>
      </c>
      <c r="F210" s="121"/>
      <c r="G210" s="32" t="s">
        <v>124</v>
      </c>
      <c r="H210" s="33">
        <f>_xlfn.XLOOKUP($B176, [2]加工記録２!$CD:$CD,[2]加工記録２!AH:AH)</f>
        <v>7</v>
      </c>
      <c r="I210" s="122">
        <f>MAX(I222:I226)</f>
        <v>45807</v>
      </c>
      <c r="J210" s="89">
        <f>_xlfn.XLOOKUP($B176, [2]加工記録２!$CD:$CD,[2]加工記録２!AD:AD,,0)</f>
        <v>176</v>
      </c>
    </row>
    <row r="211" spans="1:22" s="5" customFormat="1" ht="18" customHeight="1">
      <c r="A211" s="118"/>
      <c r="B211" s="119"/>
      <c r="C211" s="119"/>
      <c r="D211" s="119"/>
      <c r="E211" s="124" t="s">
        <v>125</v>
      </c>
      <c r="F211" s="124"/>
      <c r="G211" s="32" t="s">
        <v>126</v>
      </c>
      <c r="H211" s="33">
        <f>_xlfn.XLOOKUP($B176, [2]加工記録２!$CD:$CD,[2]加工記録２!AI:AI,,0)</f>
        <v>19</v>
      </c>
      <c r="I211" s="123"/>
      <c r="J211" s="89"/>
      <c r="K211" s="34"/>
    </row>
    <row r="212" spans="1:22" s="7" customFormat="1" ht="18" customHeight="1">
      <c r="A212" s="80" t="s">
        <v>127</v>
      </c>
      <c r="B212" s="92" t="str">
        <f>_xlfn.XLOOKUP(A183,[2]!テーブル5[品目コード],[2]!テーブル5[温度換算],,2)</f>
        <v>-</v>
      </c>
      <c r="C212" s="94" t="s">
        <v>128</v>
      </c>
      <c r="D212" s="96">
        <f>_xlfn.XLOOKUP(A183,[2]!テーブル5[品目コード],[2]!テーブル5[取数],,2)</f>
        <v>1</v>
      </c>
      <c r="E212" s="98" t="s">
        <v>129</v>
      </c>
      <c r="F212" s="98"/>
      <c r="G212" s="32" t="s">
        <v>130</v>
      </c>
      <c r="H212" s="33">
        <f>_xlfn.XLOOKUP($B176, [2]加工記録２!$CD:$CD,[2]加工記録２!AJ:AJ,,0)</f>
        <v>0</v>
      </c>
      <c r="I212" s="30" t="s">
        <v>131</v>
      </c>
      <c r="J212" s="30" t="s">
        <v>132</v>
      </c>
      <c r="K212" s="35"/>
    </row>
    <row r="213" spans="1:22" s="5" customFormat="1" ht="18" customHeight="1">
      <c r="A213" s="80"/>
      <c r="B213" s="93"/>
      <c r="C213" s="95"/>
      <c r="D213" s="97"/>
      <c r="E213" s="99" t="str">
        <f>_xlfn.XLOOKUP(A183,[2]!テーブル5[品目コード],[2]!テーブル5[備考１],,2)</f>
        <v>梱包:1370(切詰)</v>
      </c>
      <c r="F213" s="99"/>
      <c r="G213" s="32" t="s">
        <v>133</v>
      </c>
      <c r="H213" s="33">
        <f>_xlfn.XLOOKUP($B176, [2]加工記録２!$CD:$CD,[2]加工記録２!AK:AK,,0)</f>
        <v>0</v>
      </c>
      <c r="I213" s="100" t="str">
        <f>_xlfn.XLOOKUP($B176, [2]加工記録２!$CD:$CD,[2]加工記録２!CA:CA,,0)</f>
        <v>-</v>
      </c>
      <c r="J213" s="100" t="str">
        <f>_xlfn.XLOOKUP($B176, [2]加工記録２!$CD:$CD,[2]加工記録２!CB:CB,,0)</f>
        <v>高森</v>
      </c>
      <c r="K213" s="34"/>
    </row>
    <row r="214" spans="1:22" s="7" customFormat="1" ht="18" customHeight="1">
      <c r="A214" s="102" t="s">
        <v>134</v>
      </c>
      <c r="B214" s="103">
        <f>D174</f>
        <v>908</v>
      </c>
      <c r="C214" s="105" t="s">
        <v>135</v>
      </c>
      <c r="D214" s="86" t="str">
        <f>_xlfn.XLOOKUP(A183,[2]!テーブル5[品目コード],[2]!テーブル5[上限公差],,2)</f>
        <v>+2</v>
      </c>
      <c r="E214" s="99" t="str">
        <f>_xlfn.XLOOKUP(A183,[2]!テーブル5[品目コード],[2]!テーブル5[備考２],,2)</f>
        <v>クラフト紙：1996型　1/2</v>
      </c>
      <c r="F214" s="99"/>
      <c r="G214" s="32" t="s">
        <v>136</v>
      </c>
      <c r="H214" s="33">
        <f>_xlfn.XLOOKUP($B176, [2]加工記録２!$CD:$CD,[2]加工記録２!AL:AL,,0)</f>
        <v>0</v>
      </c>
      <c r="I214" s="101"/>
      <c r="J214" s="101"/>
      <c r="K214" s="35"/>
    </row>
    <row r="215" spans="1:22" s="5" customFormat="1" ht="18" customHeight="1">
      <c r="A215" s="102"/>
      <c r="B215" s="104"/>
      <c r="C215" s="106"/>
      <c r="D215" s="107"/>
      <c r="E215" s="108" t="s">
        <v>137</v>
      </c>
      <c r="F215" s="108"/>
      <c r="G215" s="32" t="s">
        <v>138</v>
      </c>
      <c r="H215" s="33">
        <f>_xlfn.XLOOKUP($B176, [2]加工記録２!$CD:$CD,[2]加工記録２!AM:AM,,0)</f>
        <v>0</v>
      </c>
      <c r="I215" s="36" t="s">
        <v>139</v>
      </c>
      <c r="J215" s="36" t="s">
        <v>140</v>
      </c>
      <c r="K215" s="34"/>
    </row>
    <row r="216" spans="1:22" s="7" customFormat="1" ht="18" customHeight="1">
      <c r="A216" s="80" t="s">
        <v>141</v>
      </c>
      <c r="B216" s="82" t="str">
        <f>_xlfn.XLOOKUP(A183,[2]!テーブル5[品目コード],[2]!テーブル5[切断寸法],,2)</f>
        <v>換算表確認</v>
      </c>
      <c r="C216" s="84" t="s">
        <v>142</v>
      </c>
      <c r="D216" s="86">
        <f>_xlfn.XLOOKUP(A183,[2]!テーブル5[品目コード],[2]!テーブル5[下限公差],,2)</f>
        <v>-2</v>
      </c>
      <c r="E216" s="88" t="str">
        <f>_xlfn.XLOOKUP(A183,[2]!テーブル5[品目コード],[2]!テーブル5[梱包方法],,2)</f>
        <v>ラベル２枚　長手有　鉢巻無</v>
      </c>
      <c r="F216" s="88"/>
      <c r="G216" s="32" t="s">
        <v>143</v>
      </c>
      <c r="H216" s="33">
        <f>_xlfn.XLOOKUP($B176, [2]加工記録２!$CD:$CD,[2]加工記録２!AN:AN,,0)</f>
        <v>0</v>
      </c>
      <c r="I216" s="89">
        <f>_xlfn.XLOOKUP($B176, [2]加工記録２!$CD:$CD,[2]加工記録２!AF:AF,,0)</f>
        <v>27</v>
      </c>
      <c r="J216" s="89">
        <f>_xlfn.XLOOKUP($B176, [2]加工記録２!$CD:$CD,[2]加工記録２!AE:AE,,0)</f>
        <v>27</v>
      </c>
      <c r="K216" s="35"/>
    </row>
    <row r="217" spans="1:22" s="5" customFormat="1" ht="18" customHeight="1" thickBot="1">
      <c r="A217" s="81"/>
      <c r="B217" s="83"/>
      <c r="C217" s="85"/>
      <c r="D217" s="87"/>
      <c r="E217" s="90"/>
      <c r="F217" s="90"/>
      <c r="G217" s="37" t="s">
        <v>144</v>
      </c>
      <c r="H217" s="38">
        <f>SUM(H210:H216)</f>
        <v>26</v>
      </c>
      <c r="I217" s="89"/>
      <c r="J217" s="89"/>
    </row>
    <row r="218" spans="1:22" s="47" customFormat="1" ht="18.95" customHeight="1">
      <c r="A218" s="39" t="s">
        <v>145</v>
      </c>
      <c r="B218" s="40" t="s">
        <v>146</v>
      </c>
      <c r="C218" s="41" t="s">
        <v>147</v>
      </c>
      <c r="D218" s="41" t="s">
        <v>148</v>
      </c>
      <c r="E218" s="42" t="s">
        <v>149</v>
      </c>
      <c r="F218" s="43" t="s">
        <v>150</v>
      </c>
      <c r="G218" s="42" t="s">
        <v>151</v>
      </c>
      <c r="H218" s="44" t="s">
        <v>152</v>
      </c>
      <c r="I218" s="45" t="s">
        <v>153</v>
      </c>
      <c r="J218" s="36" t="s">
        <v>154</v>
      </c>
      <c r="K218" s="46"/>
      <c r="L218" s="46"/>
      <c r="M218" s="46"/>
      <c r="N218" s="46"/>
    </row>
    <row r="219" spans="1:22" s="56" customFormat="1" ht="18.95" customHeight="1">
      <c r="A219" s="48" t="str">
        <f>IFERROR(_xlfn.XLOOKUP($B176&amp;$J210,[2]加工記録２!B:B&amp;[2]加工記録２!AD:AD,[2]加工記録２!BB:BB,,0),"/")</f>
        <v>/</v>
      </c>
      <c r="B219" s="49" t="str">
        <f>_xlfn.XLOOKUP($B176,[2]加工記録２!$CD:$CD,[2]加工記録２!BJ:BJ,,0)</f>
        <v>25D10-01</v>
      </c>
      <c r="C219" s="50"/>
      <c r="D219" s="51"/>
      <c r="E219" s="50"/>
      <c r="F219" s="52" t="s">
        <v>155</v>
      </c>
      <c r="G219" s="53">
        <f>IFERROR(SUM(H219*$D212),"")</f>
        <v>3</v>
      </c>
      <c r="H219" s="54">
        <f>_xlfn.XLOOKUP($B176,[2]加工記録２!$CD:$CD,[2]加工記録２!BR:BR,,0)</f>
        <v>3</v>
      </c>
      <c r="I219" s="91">
        <f>_xlfn.XLOOKUP($B176, [2]加工記録２!$CD:$CD,[2]加工記録２!AO:AO,,0)</f>
        <v>0</v>
      </c>
      <c r="J219" s="89">
        <f>_xlfn.XLOOKUP($B176, [2]加工記録２!$CD:$CD,[2]加工記録２!AG:AG,,0)</f>
        <v>203</v>
      </c>
      <c r="K219" s="55"/>
      <c r="L219" s="55"/>
      <c r="M219" s="55"/>
      <c r="N219" s="55"/>
      <c r="V219" s="57"/>
    </row>
    <row r="220" spans="1:22" s="56" customFormat="1" ht="18.95" customHeight="1" thickBot="1">
      <c r="A220" s="58">
        <f>IFERROR(_xlfn.XLOOKUP($B176&amp;$J210,[2]加工記録２!$CD:$CD&amp;[2]加工記録２!AD:AD,[2]加工記録２!BC:BC,,0),"/")</f>
        <v>45806</v>
      </c>
      <c r="B220" s="59" t="str">
        <f>_xlfn.XLOOKUP($B176,[2]加工記録２!$CD:$CD,[2]加工記録２!BK:BK,,0)</f>
        <v>25E17-01</v>
      </c>
      <c r="C220" s="59" t="str">
        <f>_xlfn.XLOOKUP($B176,[2]加工記録２!$CD:$CD,[2]加工記録２!P:P,,0)</f>
        <v/>
      </c>
      <c r="D220" s="60" t="str">
        <f>IFERROR(_xlfn.XLOOKUP(IF(_xlfn.XLOOKUP($B176,[2]加工記録２!$CD:$CD,[2]加工記録２!C:C,,0)="","",_xlfn.XLOOKUP($B176,[2]加工記録２!$CD:$CD,[2]加工記録２!C:C,,0))&amp;C220,[2]温度換算!A:A,[2]温度換算!C:C),"")</f>
        <v/>
      </c>
      <c r="E220" s="61" t="str">
        <f>_xlfn.XLOOKUP($B176, [2]加工記録２!$CD:$CD,[2]加工記録２!W:W,,0)</f>
        <v/>
      </c>
      <c r="F220" s="62"/>
      <c r="G220" s="63">
        <f>IFERROR(SUM(H220*$D212),"")</f>
        <v>200</v>
      </c>
      <c r="H220" s="64">
        <f>_xlfn.XLOOKUP($B176,[2]加工記録２!$CD:$CD,[2]加工記録２!BS:BS,,0)</f>
        <v>200</v>
      </c>
      <c r="I220" s="91"/>
      <c r="J220" s="89"/>
      <c r="K220" s="55"/>
      <c r="L220" s="55"/>
      <c r="M220" s="55"/>
      <c r="N220" s="55"/>
    </row>
    <row r="221" spans="1:22" s="56" customFormat="1" ht="18.95" customHeight="1" thickBot="1">
      <c r="A221" s="58" t="str">
        <f>IFERROR(_xlfn.XLOOKUP($B176&amp;$J210,[2]加工記録２!$CD:$CD&amp;[2]加工記録２!AD:AD,[2]加工記録２!BD:BD,,0),"/")</f>
        <v/>
      </c>
      <c r="B221" s="59" t="str">
        <f>_xlfn.XLOOKUP($B176,[2]加工記録２!CD:CD,[2]加工記録２!BL:BL,,0)</f>
        <v/>
      </c>
      <c r="C221" s="59" t="str">
        <f>_xlfn.XLOOKUP($B176,[2]加工記録２!$CD:$CD,[2]加工記録２!Q:Q,,0)</f>
        <v/>
      </c>
      <c r="D221" s="60" t="str">
        <f>IFERROR(_xlfn.XLOOKUP(IF(_xlfn.XLOOKUP($B176,[2]加工記録２!$CD:$CD,[2]加工記録２!C:C,,0)="","",_xlfn.XLOOKUP($B176,[2]加工記録２!$CD:$CD,[2]加工記録２!C:C,,0))&amp;C221,[2]温度換算!A:A,[2]温度換算!C:C),"")</f>
        <v/>
      </c>
      <c r="E221" s="61" t="str">
        <f>_xlfn.XLOOKUP($B176, [2]加工記録２!$CD:$CD,[2]加工記録２!X:X,,0)</f>
        <v/>
      </c>
      <c r="F221" s="62"/>
      <c r="G221" s="63" t="str">
        <f>IFERROR(SUM(H221*$D212),"")</f>
        <v/>
      </c>
      <c r="H221" s="64" t="str">
        <f>_xlfn.XLOOKUP($B176,[2]加工記録２!$CD:$CD,[2]加工記録２!BT:BT,,0)</f>
        <v/>
      </c>
      <c r="I221" s="65" t="s">
        <v>156</v>
      </c>
      <c r="J221" s="66" t="s">
        <v>157</v>
      </c>
      <c r="K221" s="55"/>
      <c r="L221" s="55"/>
      <c r="M221" s="55"/>
      <c r="N221" s="55"/>
    </row>
    <row r="222" spans="1:22" s="56" customFormat="1" ht="18.95" customHeight="1">
      <c r="A222" s="58" t="str">
        <f>IFERROR(_xlfn.XLOOKUP($B176&amp;$J210,[2]加工記録２!$CD:$CD&amp;[2]加工記録２!AD:AD,[2]加工記録２!BE:BE,,0),"/")</f>
        <v/>
      </c>
      <c r="B222" s="59" t="str">
        <f>_xlfn.XLOOKUP($B176,[2]加工記録２!$CD:$CD,[2]加工記録２!BM:BM,,0)</f>
        <v/>
      </c>
      <c r="C222" s="59" t="str">
        <f>_xlfn.XLOOKUP($B176,[2]加工記録２!$CD:$CD,[2]加工記録２!R:R,,0)</f>
        <v/>
      </c>
      <c r="D222" s="60" t="str">
        <f>IFERROR(_xlfn.XLOOKUP(IF(_xlfn.XLOOKUP($B176,[2]加工記録２!$CD:$CD,[2]加工記録２!C:C,,0)="","",_xlfn.XLOOKUP($B176,[2]加工記録２!$CD:$CD,[2]加工記録２!C:C,,0))&amp;C222,[2]温度換算!A:A,[2]温度換算!C:C),"")</f>
        <v/>
      </c>
      <c r="E222" s="61" t="str">
        <f>_xlfn.XLOOKUP($B176, [2]加工記録２!$CD:$CD,[2]加工記録２!Y:Y,,0)</f>
        <v/>
      </c>
      <c r="F222" s="62"/>
      <c r="G222" s="63" t="str">
        <f>IFERROR(SUM(H222*$D212),"")</f>
        <v/>
      </c>
      <c r="H222" s="64" t="str">
        <f>_xlfn.XLOOKUP($B176,[2]加工記録２!$CD:$CD,[2]加工記録２!BU:BU,,0)</f>
        <v/>
      </c>
      <c r="I222" s="67">
        <f>_xlfn.LET(_xlpm.val,_xlfn.XLOOKUP($B176,[2]加工記録２!$CD:$CD,[2]加工記録２!AQ:AQ,""),IF(OR(_xlpm.val="",_xlpm.val=0),"",_xlpm.val))</f>
        <v>45806</v>
      </c>
      <c r="J222" s="68">
        <f>_xlfn.LET(_xlpm.val,_xlfn.XLOOKUP($B176,[2]加工記録２!$CD:$CD,[2]加工記録２!AR:AR,""),IF(OR(_xlpm.val="",_xlpm.val=0),"",_xlpm.val))</f>
        <v>2</v>
      </c>
      <c r="K222" s="55"/>
      <c r="L222" s="55"/>
      <c r="M222" s="55"/>
      <c r="N222" s="55"/>
    </row>
    <row r="223" spans="1:22" s="56" customFormat="1" ht="18.95" customHeight="1">
      <c r="A223" s="58" t="str">
        <f>IFERROR(_xlfn.XLOOKUP($B176&amp;$J210,[2]加工記録２!$CD:$CD&amp;[2]加工記録２!AD:AD,[2]加工記録２!BF:BF,,0),"/")</f>
        <v/>
      </c>
      <c r="B223" s="59" t="str">
        <f>_xlfn.XLOOKUP($B176,[2]加工記録２!$CD:$CD,[2]加工記録２!BN:BN,,0)</f>
        <v/>
      </c>
      <c r="C223" s="59" t="str">
        <f>_xlfn.XLOOKUP($B176,[2]加工記録２!$CD:$CD,[2]加工記録２!S:S,,0)</f>
        <v/>
      </c>
      <c r="D223" s="60" t="str">
        <f>IFERROR(_xlfn.XLOOKUP(IF(_xlfn.XLOOKUP($B176,[2]加工記録２!$CD:$CD,[2]加工記録２!C:C,,0)="","",_xlfn.XLOOKUP($B176,[2]加工記録２!$CD:$CD,[2]加工記録２!C:C,,0))&amp;C223,[2]温度換算!A:A,[2]温度換算!C:C),"")</f>
        <v/>
      </c>
      <c r="E223" s="61" t="str">
        <f>_xlfn.XLOOKUP($B176, [2]加工記録２!$CD:$CD,[2]加工記録２!Z:Z,,0)</f>
        <v/>
      </c>
      <c r="F223" s="62"/>
      <c r="G223" s="63" t="str">
        <f>IFERROR(SUM(H223*$D212),"")</f>
        <v/>
      </c>
      <c r="H223" s="64" t="str">
        <f>_xlfn.XLOOKUP($B176,[2]加工記録２!$CD:$CD,[2]加工記録２!BV:BV,,0)</f>
        <v/>
      </c>
      <c r="I223" s="69">
        <f>_xlfn.LET(_xlpm.val,_xlfn.XLOOKUP($B176,[2]加工記録２!$CD:$CD,[2]加工記録２!AS:AS,""),IF(OR(_xlpm.val="",_xlpm.val=0),"",_xlpm.val))</f>
        <v>45807</v>
      </c>
      <c r="J223" s="70">
        <f>_xlfn.LET(_xlpm.val,_xlfn.XLOOKUP($B176,[2]加工記録２!$CD:$CD,[2]加工記録２!AT:AT,""),IF(OR(_xlpm.val="",_xlpm.val=0),"",_xlpm.val))</f>
        <v>9</v>
      </c>
      <c r="K223" s="55"/>
      <c r="L223" s="55"/>
      <c r="M223" s="55"/>
      <c r="N223" s="55"/>
    </row>
    <row r="224" spans="1:22" s="56" customFormat="1" ht="18.95" customHeight="1">
      <c r="A224" s="58" t="str">
        <f>IFERROR(_xlfn.XLOOKUP($B176&amp;$J210,[2]加工記録２!$CD:$CD&amp;[2]加工記録２!AD:AD,[2]加工記録２!BG:BG,,0),"/")</f>
        <v/>
      </c>
      <c r="B224" s="59" t="str">
        <f>_xlfn.XLOOKUP($B176,[2]加工記録２!$CD:$CD,[2]加工記録２!BO:BO,,0)</f>
        <v/>
      </c>
      <c r="C224" s="59" t="str">
        <f>_xlfn.XLOOKUP($B176,[2]加工記録２!$CD:$CD,[2]加工記録２!T:T,,0)</f>
        <v/>
      </c>
      <c r="D224" s="60" t="str">
        <f>IFERROR(_xlfn.XLOOKUP(IF(_xlfn.XLOOKUP($B176,[2]加工記録２!$CD:$CD,[2]加工記録２!C:C,,0)="","",_xlfn.XLOOKUP($B176,[2]加工記録２!$CD:$CD,[2]加工記録２!C:C,,0))&amp;C224,[2]温度換算!A:A,[2]温度換算!C:C),"")</f>
        <v/>
      </c>
      <c r="E224" s="61" t="str">
        <f>_xlfn.XLOOKUP($B176, [2]加工記録２!$CD:$CD,[2]加工記録２!AA:AA,,0)</f>
        <v/>
      </c>
      <c r="F224" s="62"/>
      <c r="G224" s="63" t="str">
        <f>IFERROR(SUM(H224*$D212),"")</f>
        <v/>
      </c>
      <c r="H224" s="64" t="str">
        <f>_xlfn.XLOOKUP($B176,[2]加工記録２!$CD:$CD,[2]加工記録２!BW:BW,,0)</f>
        <v/>
      </c>
      <c r="I224" s="69" t="str">
        <f>_xlfn.LET(_xlpm.val,_xlfn.XLOOKUP($B176,[2]加工記録２!$CD:$CD,[2]加工記録２!AU:AU,""),IF(OR(_xlpm.val="",_xlpm.val=0),"",_xlpm.val))</f>
        <v/>
      </c>
      <c r="J224" s="70" t="str">
        <f>_xlfn.LET(_xlpm.val,_xlfn.XLOOKUP($B176,[2]加工記録２!$CD:$CD,[2]加工記録２!AV:AV,""),IF(OR(_xlpm.val="",_xlpm.val=0),"",_xlpm.val))</f>
        <v/>
      </c>
      <c r="K224" s="55"/>
      <c r="L224" s="55"/>
      <c r="M224" s="55"/>
      <c r="N224" s="55"/>
    </row>
    <row r="225" spans="1:14" s="56" customFormat="1" ht="18.95" customHeight="1">
      <c r="A225" s="58" t="str">
        <f>IFERROR(_xlfn.XLOOKUP($B176&amp;$J210,[2]加工記録２!$CD:$CD&amp;[2]加工記録２!AD:AD,[2]加工記録２!BH:BH,,0),"/")</f>
        <v/>
      </c>
      <c r="B225" s="59" t="str">
        <f>_xlfn.XLOOKUP($B176,[2]加工記録２!$CD:$CD,[2]加工記録２!BP:BP,,0)</f>
        <v/>
      </c>
      <c r="C225" s="59" t="str">
        <f>_xlfn.XLOOKUP($B176,[2]加工記録２!$CD:$CD,[2]加工記録２!U:U,,0)</f>
        <v/>
      </c>
      <c r="D225" s="60" t="str">
        <f>IFERROR(_xlfn.XLOOKUP(IF(_xlfn.XLOOKUP($B176,[2]加工記録２!$CD:$CD,[2]加工記録２!C:C,,0)="","",_xlfn.XLOOKUP($B176,[2]加工記録２!$CD:$CD,[2]加工記録２!C:C,,0))&amp;C225,[2]温度換算!A:A,[2]温度換算!C:C),"")</f>
        <v/>
      </c>
      <c r="E225" s="61" t="str">
        <f>_xlfn.XLOOKUP($B176, [2]加工記録２!$CD:$CD,[2]加工記録２!AB:AB,,0)</f>
        <v/>
      </c>
      <c r="F225" s="62"/>
      <c r="G225" s="63" t="str">
        <f>IFERROR(SUM(H225*$D212),"")</f>
        <v/>
      </c>
      <c r="H225" s="64" t="str">
        <f>_xlfn.XLOOKUP($B176,[2]加工記録２!$CD:$CD,[2]加工記録２!BX:BX,,0)</f>
        <v/>
      </c>
      <c r="I225" s="69" t="str">
        <f>_xlfn.LET(_xlpm.val,_xlfn.XLOOKUP($B176,[2]加工記録２!$CD:$CD,[2]加工記録２!AW:AW,""),IF(OR(_xlpm.val="",_xlpm.val=0),"",_xlpm.val))</f>
        <v/>
      </c>
      <c r="J225" s="70" t="str">
        <f>_xlfn.LET(_xlpm.val,_xlfn.XLOOKUP($B176,[2]加工記録２!$CD:$CD,[2]加工記録２!AX:AX,""),IF(OR(_xlpm.val="",_xlpm.val=0),"",_xlpm.val))</f>
        <v/>
      </c>
      <c r="K225" s="55"/>
      <c r="L225" s="55"/>
      <c r="M225" s="55"/>
      <c r="N225" s="55"/>
    </row>
    <row r="226" spans="1:14" s="56" customFormat="1" ht="18.95" customHeight="1" thickBot="1">
      <c r="A226" s="71" t="str">
        <f>IFERROR(_xlfn.XLOOKUP($B176&amp;$J210,[2]加工記録２!$CD:$CD&amp;[2]加工記録２!AD:AD,[2]加工記録２!BI:BI,,0),"/")</f>
        <v/>
      </c>
      <c r="B226" s="72" t="str">
        <f>_xlfn.XLOOKUP($B176,[2]加工記録２!$CD:$CD,[2]加工記録２!BQ:BQ,,0)</f>
        <v/>
      </c>
      <c r="C226" s="72" t="str">
        <f>_xlfn.XLOOKUP($B176,[2]加工記録２!$CD:$CD,[2]加工記録２!V:V,,0)</f>
        <v/>
      </c>
      <c r="D226" s="73" t="str">
        <f>IFERROR(_xlfn.XLOOKUP(IF(_xlfn.XLOOKUP($B176,[2]加工記録２!$CD:$CD,[2]加工記録２!C:C,,0)="","",_xlfn.XLOOKUP($B176,[2]加工記録２!$CD:$CD,[2]加工記録２!C:C,,0))&amp;C226,[2]温度換算!A:A,[2]温度換算!C:C),"")</f>
        <v/>
      </c>
      <c r="E226" s="74" t="str">
        <f>_xlfn.XLOOKUP($B176, [2]加工記録２!$CD:$CD,[2]加工記録２!AC:AC,,0)</f>
        <v/>
      </c>
      <c r="F226" s="75"/>
      <c r="G226" s="76" t="str">
        <f>IFERROR(SUM(H226*$D212),"")</f>
        <v/>
      </c>
      <c r="H226" s="77" t="str">
        <f>_xlfn.XLOOKUP($B176,[2]加工記録２!$CD:$CD,[2]加工記録２!BY:BY,,0)</f>
        <v/>
      </c>
      <c r="I226" s="78" t="str">
        <f>_xlfn.LET(_xlpm.val,_xlfn.XLOOKUP($B176,[2]加工記録２!$CD:$CD,[2]加工記録２!AY:AY,""),IF(OR(_xlpm.val="",_xlpm.val=0),"",_xlpm.val))</f>
        <v/>
      </c>
      <c r="J226" s="79" t="str">
        <f>_xlfn.LET(_xlpm.val,_xlfn.XLOOKUP($B176,[2]加工記録２!$CD:$CD,[2]加工記録２!AZ:AZ,""),IF(OR(_xlpm.val="",_xlpm.val=0),"",_xlpm.val))</f>
        <v/>
      </c>
      <c r="K226" s="55"/>
      <c r="L226" s="55"/>
      <c r="M226" s="55"/>
      <c r="N226" s="55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51" t="s">
        <v>0</v>
      </c>
      <c r="C229" s="110"/>
      <c r="D229" s="110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110"/>
      <c r="C230" s="110"/>
      <c r="D230" s="110"/>
      <c r="E230" s="13"/>
      <c r="F230" s="13"/>
      <c r="G230" s="13"/>
      <c r="H230" s="13"/>
      <c r="I230" s="13"/>
      <c r="J230" s="13"/>
    </row>
    <row r="231" spans="1:14" ht="14.25" customHeight="1">
      <c r="A231" s="152" t="s">
        <v>1</v>
      </c>
      <c r="B231" s="152" t="s">
        <v>88</v>
      </c>
      <c r="C231" s="152" t="s">
        <v>3</v>
      </c>
      <c r="D231" s="153">
        <v>1183</v>
      </c>
      <c r="E231" s="152" t="s">
        <v>4</v>
      </c>
      <c r="F231" s="154" t="s">
        <v>89</v>
      </c>
      <c r="G231" s="110"/>
      <c r="H231" s="150"/>
      <c r="I231" s="14" t="s">
        <v>6</v>
      </c>
      <c r="J231" s="14" t="s">
        <v>7</v>
      </c>
    </row>
    <row r="232" spans="1:14" ht="14.25" customHeight="1">
      <c r="A232" s="110"/>
      <c r="B232" s="110"/>
      <c r="C232" s="110"/>
      <c r="D232" s="110"/>
      <c r="E232" s="110"/>
      <c r="F232" s="110"/>
      <c r="G232" s="110"/>
      <c r="H232" s="150"/>
      <c r="I232" s="155"/>
      <c r="J232" s="155"/>
    </row>
    <row r="233" spans="1:14" ht="17.45" customHeight="1">
      <c r="A233" s="136" t="s">
        <v>8</v>
      </c>
      <c r="B233" s="136" t="s">
        <v>90</v>
      </c>
      <c r="E233" s="136" t="s">
        <v>10</v>
      </c>
      <c r="F233" s="158" t="s">
        <v>11</v>
      </c>
      <c r="G233" s="110"/>
      <c r="H233" s="150"/>
      <c r="I233" s="156"/>
      <c r="J233" s="156"/>
    </row>
    <row r="234" spans="1:14" ht="17.45" customHeight="1">
      <c r="A234" s="110"/>
      <c r="B234" s="110"/>
      <c r="E234" s="110"/>
      <c r="F234" s="110"/>
      <c r="G234" s="110"/>
      <c r="H234" s="150"/>
      <c r="I234" s="15"/>
      <c r="J234" s="15"/>
    </row>
    <row r="235" spans="1:14" ht="17.45" customHeight="1">
      <c r="A235" s="136" t="s">
        <v>12</v>
      </c>
      <c r="B235" s="136" t="s">
        <v>91</v>
      </c>
      <c r="E235" s="2" t="s">
        <v>14</v>
      </c>
      <c r="F235" s="137" t="s">
        <v>15</v>
      </c>
      <c r="G235" s="110"/>
      <c r="H235" s="22"/>
    </row>
    <row r="236" spans="1:14" ht="17.45" customHeight="1">
      <c r="A236" s="110"/>
      <c r="B236" s="110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45817</v>
      </c>
      <c r="E237" s="2" t="s">
        <v>19</v>
      </c>
      <c r="F237" s="138">
        <v>16</v>
      </c>
      <c r="G237" s="110"/>
      <c r="H237" s="22"/>
    </row>
    <row r="238" spans="1:14" ht="17.45" customHeight="1">
      <c r="A238" s="2" t="s">
        <v>20</v>
      </c>
      <c r="B238" s="4">
        <v>45817</v>
      </c>
      <c r="E238" s="2" t="s">
        <v>21</v>
      </c>
      <c r="F238" s="22">
        <v>24</v>
      </c>
      <c r="G238" s="139" t="s">
        <v>22</v>
      </c>
      <c r="H238" s="141">
        <v>384</v>
      </c>
      <c r="I238" s="142"/>
      <c r="J238" s="143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140"/>
      <c r="H239" s="140"/>
      <c r="I239" s="130"/>
      <c r="J239" s="144"/>
    </row>
    <row r="240" spans="1:14" ht="13.5" customHeight="1">
      <c r="A240" s="145" t="s">
        <v>92</v>
      </c>
      <c r="B240" s="110"/>
      <c r="C240" s="110"/>
      <c r="D240" s="21"/>
      <c r="F240" s="3"/>
      <c r="G240" s="146" t="s">
        <v>26</v>
      </c>
      <c r="H240" s="148" t="s">
        <v>27</v>
      </c>
      <c r="I240" s="149" t="s">
        <v>28</v>
      </c>
      <c r="J240" s="150"/>
    </row>
    <row r="241" spans="1:10" ht="13.5" customHeight="1">
      <c r="A241" s="110"/>
      <c r="B241" s="110"/>
      <c r="C241" s="110"/>
      <c r="D241" s="21"/>
      <c r="F241" s="3"/>
      <c r="G241" s="147"/>
      <c r="H241" s="147"/>
      <c r="I241" s="130"/>
      <c r="J241" s="144"/>
    </row>
    <row r="242" spans="1:10" ht="13.5" customHeight="1">
      <c r="A242" s="1" t="s">
        <v>29</v>
      </c>
    </row>
    <row r="243" spans="1:10" ht="63" customHeight="1">
      <c r="A243" s="131"/>
      <c r="B243" s="132"/>
      <c r="C243" s="132"/>
      <c r="D243" s="132"/>
      <c r="E243" s="132"/>
      <c r="F243" s="132"/>
      <c r="G243" s="132"/>
      <c r="H243" s="132"/>
      <c r="I243" s="132"/>
      <c r="J243" s="132"/>
    </row>
    <row r="244" spans="1:10" ht="18.75">
      <c r="A244" s="24" t="s">
        <v>30</v>
      </c>
      <c r="B244" s="17" t="s">
        <v>31</v>
      </c>
      <c r="C244" s="133" t="s">
        <v>32</v>
      </c>
      <c r="D244" s="134"/>
      <c r="E244" s="17" t="s">
        <v>33</v>
      </c>
      <c r="F244" s="133" t="s">
        <v>34</v>
      </c>
      <c r="G244" s="134"/>
      <c r="H244" s="134"/>
      <c r="I244" s="135" t="s">
        <v>35</v>
      </c>
      <c r="J244" s="134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111" t="s">
        <v>37</v>
      </c>
      <c r="D246" s="110"/>
      <c r="E246" s="25" t="s">
        <v>40</v>
      </c>
      <c r="F246" s="111" t="s">
        <v>41</v>
      </c>
      <c r="G246" s="110"/>
      <c r="H246" s="110"/>
      <c r="I246" s="126"/>
      <c r="J246" s="110"/>
    </row>
    <row r="247" spans="1:10" ht="16.5" customHeight="1">
      <c r="A247" s="23">
        <v>1</v>
      </c>
      <c r="B247" s="26" t="s">
        <v>36</v>
      </c>
      <c r="C247" s="111" t="s">
        <v>37</v>
      </c>
      <c r="D247" s="110"/>
      <c r="E247" s="25" t="s">
        <v>42</v>
      </c>
      <c r="F247" s="111" t="s">
        <v>43</v>
      </c>
      <c r="G247" s="110"/>
      <c r="H247" s="110"/>
      <c r="I247" s="126"/>
      <c r="J247" s="110"/>
    </row>
    <row r="248" spans="1:10" ht="16.5" customHeight="1">
      <c r="A248" s="23"/>
      <c r="B248" s="26"/>
      <c r="C248" s="111"/>
      <c r="D248" s="110"/>
      <c r="E248" s="25"/>
      <c r="F248" s="111"/>
      <c r="G248" s="110"/>
      <c r="H248" s="110"/>
      <c r="I248" s="126"/>
      <c r="J248" s="110"/>
    </row>
    <row r="249" spans="1:10" ht="16.5" customHeight="1">
      <c r="A249" s="23"/>
      <c r="B249" s="26"/>
      <c r="C249" s="111"/>
      <c r="D249" s="110"/>
      <c r="E249" s="25"/>
      <c r="F249" s="111"/>
      <c r="G249" s="110"/>
      <c r="H249" s="110"/>
      <c r="I249" s="126"/>
      <c r="J249" s="110"/>
    </row>
    <row r="250" spans="1:10" ht="16.5" customHeight="1">
      <c r="A250" s="23"/>
      <c r="B250" s="26"/>
      <c r="C250" s="111"/>
      <c r="D250" s="110"/>
      <c r="E250" s="25"/>
      <c r="F250" s="111"/>
      <c r="G250" s="110"/>
      <c r="H250" s="110"/>
      <c r="I250" s="126"/>
      <c r="J250" s="110"/>
    </row>
    <row r="251" spans="1:10" ht="16.5" customHeight="1">
      <c r="A251" s="23"/>
      <c r="B251" s="26"/>
      <c r="C251" s="111"/>
      <c r="D251" s="110"/>
      <c r="E251" s="25"/>
      <c r="F251" s="111"/>
      <c r="G251" s="110"/>
      <c r="H251" s="110"/>
      <c r="I251" s="126"/>
      <c r="J251" s="110"/>
    </row>
    <row r="252" spans="1:10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127" t="s">
        <v>44</v>
      </c>
      <c r="B253" s="128"/>
      <c r="C253" s="127" t="s">
        <v>45</v>
      </c>
      <c r="D253" s="128"/>
      <c r="E253" s="128"/>
      <c r="F253" s="18" t="s">
        <v>46</v>
      </c>
      <c r="G253" s="127" t="s">
        <v>47</v>
      </c>
      <c r="H253" s="128"/>
      <c r="I253" s="127" t="s">
        <v>48</v>
      </c>
      <c r="J253" s="128"/>
    </row>
    <row r="254" spans="1:10" ht="14.25" customHeight="1">
      <c r="A254" s="8"/>
      <c r="B254" s="19"/>
      <c r="C254" s="129" t="s">
        <v>49</v>
      </c>
      <c r="D254" s="130"/>
      <c r="E254" s="19"/>
      <c r="F254" s="129" t="s">
        <v>29</v>
      </c>
      <c r="G254" s="130"/>
      <c r="H254" s="130"/>
      <c r="I254" s="130"/>
      <c r="J254" s="130"/>
    </row>
    <row r="255" spans="1:10">
      <c r="A255" s="9"/>
      <c r="C255" s="7"/>
      <c r="D255" s="7"/>
      <c r="E255" s="7"/>
    </row>
    <row r="256" spans="1:10" ht="14.25" customHeight="1">
      <c r="A256" s="111" t="s">
        <v>93</v>
      </c>
      <c r="B256" s="110"/>
      <c r="C256" s="111" t="s">
        <v>94</v>
      </c>
      <c r="D256" s="110"/>
      <c r="E256" s="110"/>
      <c r="F256" s="27" t="s">
        <v>52</v>
      </c>
      <c r="G256" s="125">
        <v>384</v>
      </c>
      <c r="H256" s="110"/>
      <c r="I256" s="125">
        <v>24</v>
      </c>
      <c r="J256" s="110"/>
    </row>
    <row r="257" spans="1:11" ht="24.95" customHeight="1">
      <c r="A257" s="109" t="s">
        <v>95</v>
      </c>
      <c r="B257" s="110"/>
      <c r="C257" s="111" t="s">
        <v>11</v>
      </c>
      <c r="D257" s="110"/>
      <c r="E257" s="110"/>
      <c r="F257" s="111"/>
      <c r="G257" s="110"/>
      <c r="H257" s="110"/>
      <c r="I257" s="110"/>
      <c r="J257" s="110"/>
    </row>
    <row r="258" spans="1:11" ht="14.25" customHeight="1">
      <c r="A258" s="111" t="s">
        <v>62</v>
      </c>
      <c r="B258" s="110"/>
      <c r="C258" s="111" t="s">
        <v>63</v>
      </c>
      <c r="D258" s="110"/>
      <c r="E258" s="110"/>
      <c r="F258" s="27" t="s">
        <v>27</v>
      </c>
      <c r="G258" s="125">
        <v>24.192</v>
      </c>
      <c r="H258" s="110"/>
      <c r="I258" s="125">
        <v>1.512</v>
      </c>
      <c r="J258" s="110"/>
    </row>
    <row r="259" spans="1:11" ht="24.95" customHeight="1">
      <c r="A259" s="109" t="s">
        <v>64</v>
      </c>
      <c r="B259" s="110"/>
      <c r="C259" s="111"/>
      <c r="D259" s="110"/>
      <c r="E259" s="110"/>
      <c r="F259" s="111"/>
      <c r="G259" s="110"/>
      <c r="H259" s="110"/>
      <c r="I259" s="110"/>
      <c r="J259" s="110"/>
    </row>
    <row r="260" spans="1:11" ht="14.25" customHeight="1">
      <c r="A260" s="111" t="s">
        <v>65</v>
      </c>
      <c r="B260" s="110"/>
      <c r="C260" s="111" t="s">
        <v>66</v>
      </c>
      <c r="D260" s="110"/>
      <c r="E260" s="110"/>
      <c r="F260" s="27"/>
      <c r="G260" s="125">
        <v>1.536</v>
      </c>
      <c r="H260" s="110"/>
      <c r="I260" s="125">
        <v>9.6000000000000002E-2</v>
      </c>
      <c r="J260" s="110"/>
    </row>
    <row r="261" spans="1:11" ht="24.95" customHeight="1">
      <c r="A261" s="109" t="s">
        <v>67</v>
      </c>
      <c r="B261" s="110"/>
      <c r="C261" s="111" t="s">
        <v>68</v>
      </c>
      <c r="D261" s="110"/>
      <c r="E261" s="110"/>
      <c r="F261" s="111"/>
      <c r="G261" s="110"/>
      <c r="H261" s="110"/>
      <c r="I261" s="110"/>
      <c r="J261" s="110"/>
    </row>
    <row r="262" spans="1:11" ht="14.25" customHeight="1">
      <c r="A262" s="111"/>
      <c r="B262" s="110"/>
      <c r="C262" s="111"/>
      <c r="D262" s="110"/>
      <c r="E262" s="110"/>
      <c r="F262" s="27"/>
      <c r="G262" s="125"/>
      <c r="H262" s="110"/>
      <c r="I262" s="125"/>
      <c r="J262" s="110"/>
    </row>
    <row r="263" spans="1:11" ht="24.95" customHeight="1">
      <c r="A263" s="109"/>
      <c r="B263" s="110"/>
      <c r="C263" s="111"/>
      <c r="D263" s="110"/>
      <c r="E263" s="110"/>
      <c r="F263" s="111"/>
      <c r="G263" s="110"/>
      <c r="H263" s="110"/>
      <c r="I263" s="110"/>
      <c r="J263" s="110"/>
    </row>
    <row r="264" spans="1:11" ht="14.25" customHeight="1">
      <c r="A264" s="111"/>
      <c r="B264" s="110"/>
      <c r="C264" s="111"/>
      <c r="D264" s="110"/>
      <c r="E264" s="110"/>
      <c r="F264" s="27"/>
      <c r="G264" s="125"/>
      <c r="H264" s="110"/>
      <c r="I264" s="125"/>
      <c r="J264" s="110"/>
    </row>
    <row r="265" spans="1:11" ht="24.95" customHeight="1">
      <c r="A265" s="109"/>
      <c r="B265" s="110"/>
      <c r="C265" s="111"/>
      <c r="D265" s="110"/>
      <c r="E265" s="110"/>
      <c r="F265" s="111"/>
      <c r="G265" s="110"/>
      <c r="H265" s="110"/>
      <c r="I265" s="110"/>
      <c r="J265" s="110"/>
    </row>
    <row r="266" spans="1:11" s="5" customFormat="1" ht="18" customHeight="1">
      <c r="A266" s="112" t="s">
        <v>119</v>
      </c>
      <c r="B266" s="113"/>
      <c r="C266" s="113"/>
      <c r="D266" s="113"/>
      <c r="E266" s="28" t="s">
        <v>120</v>
      </c>
      <c r="F266" s="29"/>
      <c r="G266" s="114" t="s">
        <v>121</v>
      </c>
      <c r="H266" s="115"/>
      <c r="I266" s="30" t="s">
        <v>122</v>
      </c>
      <c r="J266" s="31" t="s">
        <v>123</v>
      </c>
    </row>
    <row r="267" spans="1:11" s="7" customFormat="1" ht="18" customHeight="1">
      <c r="A267" s="116" t="str">
        <f>F231</f>
        <v>463301-2050灯具ｶﾊﾞｰPC IN</v>
      </c>
      <c r="B267" s="117"/>
      <c r="C267" s="117"/>
      <c r="D267" s="117"/>
      <c r="E267" s="120" t="str">
        <f>IFERROR(IF(OR(J267="", F237="", F237=0, J267/F237=0), C258&amp;" 　 "&amp;""&amp;"      枚", C258&amp;" 　 "&amp;J267/F237&amp;"      枚"), C258&amp;" 　 "&amp;""&amp;"      枚")</f>
        <v>灯具-1 　 18      枚</v>
      </c>
      <c r="F267" s="121"/>
      <c r="G267" s="32" t="s">
        <v>124</v>
      </c>
      <c r="H267" s="33">
        <f>_xlfn.XLOOKUP($B233, [2]加工記録２!$CD:$CD,[2]加工記録２!AH:AH)</f>
        <v>8</v>
      </c>
      <c r="I267" s="122">
        <f>MAX(I279:I283)</f>
        <v>45811</v>
      </c>
      <c r="J267" s="89">
        <f>_xlfn.XLOOKUP($B233, [2]加工記録２!$CD:$CD,[2]加工記録２!AD:AD,,0)</f>
        <v>288</v>
      </c>
    </row>
    <row r="268" spans="1:11" s="5" customFormat="1" ht="18" customHeight="1">
      <c r="A268" s="118"/>
      <c r="B268" s="119"/>
      <c r="C268" s="119"/>
      <c r="D268" s="119"/>
      <c r="E268" s="124" t="s">
        <v>125</v>
      </c>
      <c r="F268" s="124"/>
      <c r="G268" s="32" t="s">
        <v>126</v>
      </c>
      <c r="H268" s="33">
        <f>_xlfn.XLOOKUP($B233, [2]加工記録２!$CD:$CD,[2]加工記録２!AI:AI,,0)</f>
        <v>87</v>
      </c>
      <c r="I268" s="123"/>
      <c r="J268" s="89"/>
      <c r="K268" s="34"/>
    </row>
    <row r="269" spans="1:11" s="7" customFormat="1" ht="18" customHeight="1">
      <c r="A269" s="80" t="s">
        <v>127</v>
      </c>
      <c r="B269" s="92" t="str">
        <f>_xlfn.XLOOKUP(A240,[2]!テーブル5[品目コード],[2]!テーブル5[温度換算],,2)</f>
        <v>-</v>
      </c>
      <c r="C269" s="94" t="s">
        <v>128</v>
      </c>
      <c r="D269" s="96">
        <f>_xlfn.XLOOKUP(A240,[2]!テーブル5[品目コード],[2]!テーブル5[取数],,2)</f>
        <v>1</v>
      </c>
      <c r="E269" s="98" t="s">
        <v>129</v>
      </c>
      <c r="F269" s="98"/>
      <c r="G269" s="32" t="s">
        <v>130</v>
      </c>
      <c r="H269" s="33">
        <f>_xlfn.XLOOKUP($B233, [2]加工記録２!$CD:$CD,[2]加工記録２!AJ:AJ,,0)</f>
        <v>7</v>
      </c>
      <c r="I269" s="30" t="s">
        <v>131</v>
      </c>
      <c r="J269" s="30" t="s">
        <v>132</v>
      </c>
      <c r="K269" s="35"/>
    </row>
    <row r="270" spans="1:11" s="5" customFormat="1" ht="18" customHeight="1">
      <c r="A270" s="80"/>
      <c r="B270" s="93"/>
      <c r="C270" s="95"/>
      <c r="D270" s="97"/>
      <c r="E270" s="99" t="str">
        <f>_xlfn.XLOOKUP(A240,[2]!テーブル5[品目コード],[2]!テーブル5[備考１],,2)</f>
        <v>梱包箱:1370　隙間埋め</v>
      </c>
      <c r="F270" s="99"/>
      <c r="G270" s="32" t="s">
        <v>133</v>
      </c>
      <c r="H270" s="33">
        <f>_xlfn.XLOOKUP($B233, [2]加工記録２!$CD:$CD,[2]加工記録２!AK:AK,,0)</f>
        <v>0</v>
      </c>
      <c r="I270" s="100" t="str">
        <f>_xlfn.XLOOKUP($B233, [2]加工記録２!$CD:$CD,[2]加工記録２!CA:CA,,0)</f>
        <v>-</v>
      </c>
      <c r="J270" s="100" t="str">
        <f>_xlfn.XLOOKUP($B233, [2]加工記録２!$CD:$CD,[2]加工記録２!CB:CB,,0)</f>
        <v>高森
水野・富田</v>
      </c>
      <c r="K270" s="34"/>
    </row>
    <row r="271" spans="1:11" s="7" customFormat="1" ht="18" customHeight="1">
      <c r="A271" s="102" t="s">
        <v>134</v>
      </c>
      <c r="B271" s="103">
        <f>D231</f>
        <v>1183</v>
      </c>
      <c r="C271" s="105" t="s">
        <v>135</v>
      </c>
      <c r="D271" s="86" t="str">
        <f>_xlfn.XLOOKUP(A240,[2]!テーブル5[品目コード],[2]!テーブル5[上限公差],,2)</f>
        <v>+2</v>
      </c>
      <c r="E271" s="99" t="str">
        <f>_xlfn.XLOOKUP(A240,[2]!テーブル5[品目コード],[2]!テーブル5[備考２],,2)</f>
        <v>クラフト紙：1370型</v>
      </c>
      <c r="F271" s="99"/>
      <c r="G271" s="32" t="s">
        <v>136</v>
      </c>
      <c r="H271" s="33">
        <f>_xlfn.XLOOKUP($B233, [2]加工記録２!$CD:$CD,[2]加工記録２!AL:AL,,0)</f>
        <v>0</v>
      </c>
      <c r="I271" s="101"/>
      <c r="J271" s="101"/>
      <c r="K271" s="35"/>
    </row>
    <row r="272" spans="1:11" s="5" customFormat="1" ht="18" customHeight="1">
      <c r="A272" s="102"/>
      <c r="B272" s="104"/>
      <c r="C272" s="106"/>
      <c r="D272" s="107"/>
      <c r="E272" s="108" t="s">
        <v>137</v>
      </c>
      <c r="F272" s="108"/>
      <c r="G272" s="32" t="s">
        <v>138</v>
      </c>
      <c r="H272" s="33">
        <f>_xlfn.XLOOKUP($B233, [2]加工記録２!$CD:$CD,[2]加工記録２!AM:AM,,0)</f>
        <v>0</v>
      </c>
      <c r="I272" s="36" t="s">
        <v>139</v>
      </c>
      <c r="J272" s="36" t="s">
        <v>140</v>
      </c>
      <c r="K272" s="34"/>
    </row>
    <row r="273" spans="1:22" s="7" customFormat="1" ht="18" customHeight="1">
      <c r="A273" s="80" t="s">
        <v>141</v>
      </c>
      <c r="B273" s="82" t="str">
        <f>_xlfn.XLOOKUP(A240,[2]!テーブル5[品目コード],[2]!テーブル5[切断寸法],,2)</f>
        <v>換算表確認</v>
      </c>
      <c r="C273" s="84" t="s">
        <v>142</v>
      </c>
      <c r="D273" s="86">
        <f>_xlfn.XLOOKUP(A240,[2]!テーブル5[品目コード],[2]!テーブル5[下限公差],,2)</f>
        <v>-2</v>
      </c>
      <c r="E273" s="88" t="str">
        <f>_xlfn.XLOOKUP(A240,[2]!テーブル5[品目コード],[2]!テーブル5[梱包方法],,2)</f>
        <v>ラベル2枚　長手有　鉢巻１</v>
      </c>
      <c r="F273" s="88"/>
      <c r="G273" s="32" t="s">
        <v>143</v>
      </c>
      <c r="H273" s="33">
        <f>_xlfn.XLOOKUP($B233, [2]加工記録２!$CD:$CD,[2]加工記録２!AN:AN,,0)</f>
        <v>0</v>
      </c>
      <c r="I273" s="89">
        <f>_xlfn.XLOOKUP($B233, [2]加工記録２!$CD:$CD,[2]加工記録２!AF:AF,,0)</f>
        <v>102</v>
      </c>
      <c r="J273" s="89">
        <f>_xlfn.XLOOKUP($B233, [2]加工記録２!$CD:$CD,[2]加工記録２!AE:AE,,0)</f>
        <v>102</v>
      </c>
      <c r="K273" s="35"/>
    </row>
    <row r="274" spans="1:22" s="5" customFormat="1" ht="18" customHeight="1" thickBot="1">
      <c r="A274" s="81"/>
      <c r="B274" s="83"/>
      <c r="C274" s="85"/>
      <c r="D274" s="87"/>
      <c r="E274" s="90"/>
      <c r="F274" s="90"/>
      <c r="G274" s="37" t="s">
        <v>144</v>
      </c>
      <c r="H274" s="38">
        <f>SUM(H267:H273)</f>
        <v>102</v>
      </c>
      <c r="I274" s="89"/>
      <c r="J274" s="89"/>
    </row>
    <row r="275" spans="1:22" s="47" customFormat="1" ht="18.95" customHeight="1">
      <c r="A275" s="39" t="s">
        <v>145</v>
      </c>
      <c r="B275" s="40" t="s">
        <v>146</v>
      </c>
      <c r="C275" s="41" t="s">
        <v>147</v>
      </c>
      <c r="D275" s="41" t="s">
        <v>148</v>
      </c>
      <c r="E275" s="42" t="s">
        <v>149</v>
      </c>
      <c r="F275" s="43" t="s">
        <v>150</v>
      </c>
      <c r="G275" s="42" t="s">
        <v>151</v>
      </c>
      <c r="H275" s="44" t="s">
        <v>152</v>
      </c>
      <c r="I275" s="45" t="s">
        <v>153</v>
      </c>
      <c r="J275" s="36" t="s">
        <v>154</v>
      </c>
      <c r="K275" s="46"/>
      <c r="L275" s="46"/>
      <c r="M275" s="46"/>
      <c r="N275" s="46"/>
    </row>
    <row r="276" spans="1:22" s="56" customFormat="1" ht="18.95" customHeight="1">
      <c r="A276" s="48" t="str">
        <f>IFERROR(_xlfn.XLOOKUP($B233&amp;$J267,[2]加工記録２!B:B&amp;[2]加工記録２!AD:AD,[2]加工記録２!BB:BB,,0),"/")</f>
        <v>/</v>
      </c>
      <c r="B276" s="49" t="str">
        <f>_xlfn.XLOOKUP($B233,[2]加工記録２!$CD:$CD,[2]加工記録２!BJ:BJ,,0)</f>
        <v>25C11-01</v>
      </c>
      <c r="C276" s="50"/>
      <c r="D276" s="51"/>
      <c r="E276" s="50"/>
      <c r="F276" s="52" t="s">
        <v>155</v>
      </c>
      <c r="G276" s="53">
        <f>IFERROR(SUM(H276*$D269),"")</f>
        <v>3</v>
      </c>
      <c r="H276" s="54">
        <f>_xlfn.XLOOKUP($B233,[2]加工記録２!$CD:$CD,[2]加工記録２!BR:BR,,0)</f>
        <v>3</v>
      </c>
      <c r="I276" s="91">
        <f>_xlfn.XLOOKUP($B233, [2]加工記録２!$CD:$CD,[2]加工記録２!AO:AO,,0)</f>
        <v>0</v>
      </c>
      <c r="J276" s="89">
        <f>_xlfn.XLOOKUP($B233, [2]加工記録２!$CD:$CD,[2]加工記録２!AG:AG,,0)</f>
        <v>390</v>
      </c>
      <c r="K276" s="55"/>
      <c r="L276" s="55"/>
      <c r="M276" s="55"/>
      <c r="N276" s="55"/>
      <c r="V276" s="57"/>
    </row>
    <row r="277" spans="1:22" s="56" customFormat="1" ht="18.95" customHeight="1" thickBot="1">
      <c r="A277" s="58">
        <f>IFERROR(_xlfn.XLOOKUP($B233&amp;$J267,[2]加工記録２!$CD:$CD&amp;[2]加工記録２!AD:AD,[2]加工記録２!BC:BC,,0),"/")</f>
        <v>45807</v>
      </c>
      <c r="B277" s="59" t="str">
        <f>_xlfn.XLOOKUP($B233,[2]加工記録２!$CD:$CD,[2]加工記録２!BK:BK,,0)</f>
        <v>25E17-01</v>
      </c>
      <c r="C277" s="59" t="str">
        <f>_xlfn.XLOOKUP($B233,[2]加工記録２!$CD:$CD,[2]加工記録２!P:P,,0)</f>
        <v/>
      </c>
      <c r="D277" s="60" t="str">
        <f>IFERROR(_xlfn.XLOOKUP(IF(_xlfn.XLOOKUP($B233,[2]加工記録２!$CD:$CD,[2]加工記録２!C:C,,0)="","",_xlfn.XLOOKUP($B233,[2]加工記録２!$CD:$CD,[2]加工記録２!C:C,,0))&amp;C277,[2]温度換算!A:A,[2]温度換算!C:C),"")</f>
        <v/>
      </c>
      <c r="E277" s="61" t="str">
        <f>_xlfn.XLOOKUP($B233, [2]加工記録２!$CD:$CD,[2]加工記録２!W:W,,0)</f>
        <v/>
      </c>
      <c r="F277" s="62"/>
      <c r="G277" s="63">
        <f>IFERROR(SUM(H277*$D269),"")</f>
        <v>200</v>
      </c>
      <c r="H277" s="64">
        <f>_xlfn.XLOOKUP($B233,[2]加工記録２!$CD:$CD,[2]加工記録２!BS:BS,,0)</f>
        <v>200</v>
      </c>
      <c r="I277" s="91"/>
      <c r="J277" s="89"/>
      <c r="K277" s="55"/>
      <c r="L277" s="55"/>
      <c r="M277" s="55"/>
      <c r="N277" s="55"/>
    </row>
    <row r="278" spans="1:22" s="56" customFormat="1" ht="18.95" customHeight="1" thickBot="1">
      <c r="A278" s="58">
        <f>IFERROR(_xlfn.XLOOKUP($B233&amp;$J267,[2]加工記録２!$CD:$CD&amp;[2]加工記録２!AD:AD,[2]加工記録２!BD:BD,,0),"/")</f>
        <v>45810</v>
      </c>
      <c r="B278" s="59" t="str">
        <f>_xlfn.XLOOKUP($B233,[2]加工記録２!CD:CD,[2]加工記録２!BL:BL,,0)</f>
        <v>25E20-02</v>
      </c>
      <c r="C278" s="59" t="str">
        <f>_xlfn.XLOOKUP($B233,[2]加工記録２!$CD:$CD,[2]加工記録２!Q:Q,,0)</f>
        <v/>
      </c>
      <c r="D278" s="60" t="str">
        <f>IFERROR(_xlfn.XLOOKUP(IF(_xlfn.XLOOKUP($B233,[2]加工記録２!$CD:$CD,[2]加工記録２!C:C,,0)="","",_xlfn.XLOOKUP($B233,[2]加工記録２!$CD:$CD,[2]加工記録２!C:C,,0))&amp;C278,[2]温度換算!A:A,[2]温度換算!C:C),"")</f>
        <v/>
      </c>
      <c r="E278" s="61" t="str">
        <f>_xlfn.XLOOKUP($B233, [2]加工記録２!$CD:$CD,[2]加工記録２!X:X,,0)</f>
        <v/>
      </c>
      <c r="F278" s="62"/>
      <c r="G278" s="63">
        <f>IFERROR(SUM(H278*$D269),"")</f>
        <v>187</v>
      </c>
      <c r="H278" s="64">
        <f>_xlfn.XLOOKUP($B233,[2]加工記録２!$CD:$CD,[2]加工記録２!BT:BT,,0)</f>
        <v>187</v>
      </c>
      <c r="I278" s="65" t="s">
        <v>156</v>
      </c>
      <c r="J278" s="66" t="s">
        <v>157</v>
      </c>
      <c r="K278" s="55"/>
      <c r="L278" s="55"/>
      <c r="M278" s="55"/>
      <c r="N278" s="55"/>
    </row>
    <row r="279" spans="1:22" s="56" customFormat="1" ht="18.95" customHeight="1">
      <c r="A279" s="58">
        <f>IFERROR(_xlfn.XLOOKUP($B233&amp;$J267,[2]加工記録２!$CD:$CD&amp;[2]加工記録２!AD:AD,[2]加工記録２!BE:BE,,0),"/")</f>
        <v>45811</v>
      </c>
      <c r="B279" s="59" t="str">
        <f>_xlfn.XLOOKUP($B233,[2]加工記録２!$CD:$CD,[2]加工記録２!BM:BM,,0)</f>
        <v>25E20-02</v>
      </c>
      <c r="C279" s="59" t="str">
        <f>_xlfn.XLOOKUP($B233,[2]加工記録２!$CD:$CD,[2]加工記録２!R:R,,0)</f>
        <v/>
      </c>
      <c r="D279" s="60" t="str">
        <f>IFERROR(_xlfn.XLOOKUP(IF(_xlfn.XLOOKUP($B233,[2]加工記録２!$CD:$CD,[2]加工記録２!C:C,,0)="","",_xlfn.XLOOKUP($B233,[2]加工記録２!$CD:$CD,[2]加工記録２!C:C,,0))&amp;C279,[2]温度換算!A:A,[2]温度換算!C:C),"")</f>
        <v/>
      </c>
      <c r="E279" s="61" t="str">
        <f>_xlfn.XLOOKUP($B233, [2]加工記録２!$CD:$CD,[2]加工記録２!Y:Y,,0)</f>
        <v/>
      </c>
      <c r="F279" s="62"/>
      <c r="G279" s="63" t="str">
        <f>IFERROR(SUM(H279*$D269),"")</f>
        <v/>
      </c>
      <c r="H279" s="64" t="str">
        <f>_xlfn.XLOOKUP($B233,[2]加工記録２!$CD:$CD,[2]加工記録２!BU:BU,,0)</f>
        <v/>
      </c>
      <c r="I279" s="67" t="str">
        <f>_xlfn.LET(_xlpm.val,_xlfn.XLOOKUP($B233,[2]加工記録２!$CD:$CD,[2]加工記録２!AQ:AQ,""),IF(OR(_xlpm.val="",_xlpm.val=0),"",_xlpm.val))</f>
        <v/>
      </c>
      <c r="J279" s="68" t="str">
        <f>_xlfn.LET(_xlpm.val,_xlfn.XLOOKUP($B233,[2]加工記録２!$CD:$CD,[2]加工記録２!AR:AR,""),IF(OR(_xlpm.val="",_xlpm.val=0),"",_xlpm.val))</f>
        <v/>
      </c>
      <c r="K279" s="55"/>
      <c r="L279" s="55"/>
      <c r="M279" s="55"/>
      <c r="N279" s="55"/>
    </row>
    <row r="280" spans="1:22" s="56" customFormat="1" ht="18.95" customHeight="1">
      <c r="A280" s="58" t="str">
        <f>IFERROR(_xlfn.XLOOKUP($B233&amp;$J267,[2]加工記録２!$CD:$CD&amp;[2]加工記録２!AD:AD,[2]加工記録２!BF:BF,,0),"/")</f>
        <v/>
      </c>
      <c r="B280" s="59" t="str">
        <f>_xlfn.XLOOKUP($B233,[2]加工記録２!$CD:$CD,[2]加工記録２!BN:BN,,0)</f>
        <v/>
      </c>
      <c r="C280" s="59" t="str">
        <f>_xlfn.XLOOKUP($B233,[2]加工記録２!$CD:$CD,[2]加工記録２!S:S,,0)</f>
        <v/>
      </c>
      <c r="D280" s="60" t="str">
        <f>IFERROR(_xlfn.XLOOKUP(IF(_xlfn.XLOOKUP($B233,[2]加工記録２!$CD:$CD,[2]加工記録２!C:C,,0)="","",_xlfn.XLOOKUP($B233,[2]加工記録２!$CD:$CD,[2]加工記録２!C:C,,0))&amp;C280,[2]温度換算!A:A,[2]温度換算!C:C),"")</f>
        <v/>
      </c>
      <c r="E280" s="61" t="str">
        <f>_xlfn.XLOOKUP($B233, [2]加工記録２!$CD:$CD,[2]加工記録２!Z:Z,,0)</f>
        <v/>
      </c>
      <c r="F280" s="62"/>
      <c r="G280" s="63" t="str">
        <f>IFERROR(SUM(H280*$D269),"")</f>
        <v/>
      </c>
      <c r="H280" s="64" t="str">
        <f>_xlfn.XLOOKUP($B233,[2]加工記録２!$CD:$CD,[2]加工記録２!BV:BV,,0)</f>
        <v/>
      </c>
      <c r="I280" s="69">
        <f>_xlfn.LET(_xlpm.val,_xlfn.XLOOKUP($B233,[2]加工記録２!$CD:$CD,[2]加工記録２!AS:AS,""),IF(OR(_xlpm.val="",_xlpm.val=0),"",_xlpm.val))</f>
        <v>45807</v>
      </c>
      <c r="J280" s="70">
        <f>_xlfn.LET(_xlpm.val,_xlfn.XLOOKUP($B233,[2]加工記録２!$CD:$CD,[2]加工記録２!AT:AT,""),IF(OR(_xlpm.val="",_xlpm.val=0),"",_xlpm.val))</f>
        <v>7</v>
      </c>
      <c r="K280" s="55"/>
      <c r="L280" s="55"/>
      <c r="M280" s="55"/>
      <c r="N280" s="55"/>
    </row>
    <row r="281" spans="1:22" s="56" customFormat="1" ht="18.95" customHeight="1">
      <c r="A281" s="58" t="str">
        <f>IFERROR(_xlfn.XLOOKUP($B233&amp;$J267,[2]加工記録２!$CD:$CD&amp;[2]加工記録２!AD:AD,[2]加工記録２!BG:BG,,0),"/")</f>
        <v/>
      </c>
      <c r="B281" s="59" t="str">
        <f>_xlfn.XLOOKUP($B233,[2]加工記録２!$CD:$CD,[2]加工記録２!BO:BO,,0)</f>
        <v/>
      </c>
      <c r="C281" s="59" t="str">
        <f>_xlfn.XLOOKUP($B233,[2]加工記録２!$CD:$CD,[2]加工記録２!T:T,,0)</f>
        <v/>
      </c>
      <c r="D281" s="60" t="str">
        <f>IFERROR(_xlfn.XLOOKUP(IF(_xlfn.XLOOKUP($B233,[2]加工記録２!$CD:$CD,[2]加工記録２!C:C,,0)="","",_xlfn.XLOOKUP($B233,[2]加工記録２!$CD:$CD,[2]加工記録２!C:C,,0))&amp;C281,[2]温度換算!A:A,[2]温度換算!C:C),"")</f>
        <v/>
      </c>
      <c r="E281" s="61" t="str">
        <f>_xlfn.XLOOKUP($B233, [2]加工記録２!$CD:$CD,[2]加工記録２!AA:AA,,0)</f>
        <v/>
      </c>
      <c r="F281" s="62"/>
      <c r="G281" s="63" t="str">
        <f>IFERROR(SUM(H281*$D269),"")</f>
        <v/>
      </c>
      <c r="H281" s="64" t="str">
        <f>_xlfn.XLOOKUP($B233,[2]加工記録２!$CD:$CD,[2]加工記録２!BW:BW,,0)</f>
        <v/>
      </c>
      <c r="I281" s="69">
        <f>_xlfn.LET(_xlpm.val,_xlfn.XLOOKUP($B233,[2]加工記録２!$CD:$CD,[2]加工記録２!AU:AU,""),IF(OR(_xlpm.val="",_xlpm.val=0),"",_xlpm.val))</f>
        <v>45810</v>
      </c>
      <c r="J281" s="70">
        <f>_xlfn.LET(_xlpm.val,_xlfn.XLOOKUP($B233,[2]加工記録２!$CD:$CD,[2]加工記録２!AV:AV,""),IF(OR(_xlpm.val="",_xlpm.val=0),"",_xlpm.val))</f>
        <v>8</v>
      </c>
      <c r="K281" s="55"/>
      <c r="L281" s="55"/>
      <c r="M281" s="55"/>
      <c r="N281" s="55"/>
    </row>
    <row r="282" spans="1:22" s="56" customFormat="1" ht="18.95" customHeight="1">
      <c r="A282" s="58" t="str">
        <f>IFERROR(_xlfn.XLOOKUP($B233&amp;$J267,[2]加工記録２!$CD:$CD&amp;[2]加工記録２!AD:AD,[2]加工記録２!BH:BH,,0),"/")</f>
        <v/>
      </c>
      <c r="B282" s="59" t="str">
        <f>_xlfn.XLOOKUP($B233,[2]加工記録２!$CD:$CD,[2]加工記録２!BP:BP,,0)</f>
        <v/>
      </c>
      <c r="C282" s="59" t="str">
        <f>_xlfn.XLOOKUP($B233,[2]加工記録２!$CD:$CD,[2]加工記録２!U:U,,0)</f>
        <v/>
      </c>
      <c r="D282" s="60" t="str">
        <f>IFERROR(_xlfn.XLOOKUP(IF(_xlfn.XLOOKUP($B233,[2]加工記録２!$CD:$CD,[2]加工記録２!C:C,,0)="","",_xlfn.XLOOKUP($B233,[2]加工記録２!$CD:$CD,[2]加工記録２!C:C,,0))&amp;C282,[2]温度換算!A:A,[2]温度換算!C:C),"")</f>
        <v/>
      </c>
      <c r="E282" s="61" t="str">
        <f>_xlfn.XLOOKUP($B233, [2]加工記録２!$CD:$CD,[2]加工記録２!AB:AB,,0)</f>
        <v/>
      </c>
      <c r="F282" s="62"/>
      <c r="G282" s="63" t="str">
        <f>IFERROR(SUM(H282*$D269),"")</f>
        <v/>
      </c>
      <c r="H282" s="64" t="str">
        <f>_xlfn.XLOOKUP($B233,[2]加工記録２!$CD:$CD,[2]加工記録２!BX:BX,,0)</f>
        <v/>
      </c>
      <c r="I282" s="69">
        <f>_xlfn.LET(_xlpm.val,_xlfn.XLOOKUP($B233,[2]加工記録２!$CD:$CD,[2]加工記録２!AW:AW,""),IF(OR(_xlpm.val="",_xlpm.val=0),"",_xlpm.val))</f>
        <v>45811</v>
      </c>
      <c r="J282" s="70">
        <f>_xlfn.LET(_xlpm.val,_xlfn.XLOOKUP($B233,[2]加工記録２!$CD:$CD,[2]加工記録２!AX:AX,""),IF(OR(_xlpm.val="",_xlpm.val=0),"",_xlpm.val))</f>
        <v>3</v>
      </c>
      <c r="K282" s="55"/>
      <c r="L282" s="55"/>
      <c r="M282" s="55"/>
      <c r="N282" s="55"/>
    </row>
    <row r="283" spans="1:22" s="56" customFormat="1" ht="18.95" customHeight="1" thickBot="1">
      <c r="A283" s="71" t="str">
        <f>IFERROR(_xlfn.XLOOKUP($B233&amp;$J267,[2]加工記録２!$CD:$CD&amp;[2]加工記録２!AD:AD,[2]加工記録２!BI:BI,,0),"/")</f>
        <v/>
      </c>
      <c r="B283" s="72" t="str">
        <f>_xlfn.XLOOKUP($B233,[2]加工記録２!$CD:$CD,[2]加工記録２!BQ:BQ,,0)</f>
        <v/>
      </c>
      <c r="C283" s="72" t="str">
        <f>_xlfn.XLOOKUP($B233,[2]加工記録２!$CD:$CD,[2]加工記録２!V:V,,0)</f>
        <v/>
      </c>
      <c r="D283" s="73" t="str">
        <f>IFERROR(_xlfn.XLOOKUP(IF(_xlfn.XLOOKUP($B233,[2]加工記録２!$CD:$CD,[2]加工記録２!C:C,,0)="","",_xlfn.XLOOKUP($B233,[2]加工記録２!$CD:$CD,[2]加工記録２!C:C,,0))&amp;C283,[2]温度換算!A:A,[2]温度換算!C:C),"")</f>
        <v/>
      </c>
      <c r="E283" s="74" t="str">
        <f>_xlfn.XLOOKUP($B233, [2]加工記録２!$CD:$CD,[2]加工記録２!AC:AC,,0)</f>
        <v/>
      </c>
      <c r="F283" s="75"/>
      <c r="G283" s="76" t="str">
        <f>IFERROR(SUM(H283*$D269),"")</f>
        <v/>
      </c>
      <c r="H283" s="77" t="str">
        <f>_xlfn.XLOOKUP($B233,[2]加工記録２!$CD:$CD,[2]加工記録２!BY:BY,,0)</f>
        <v/>
      </c>
      <c r="I283" s="78" t="str">
        <f>_xlfn.LET(_xlpm.val,_xlfn.XLOOKUP($B233,[2]加工記録２!$CD:$CD,[2]加工記録２!AY:AY,""),IF(OR(_xlpm.val="",_xlpm.val=0),"",_xlpm.val))</f>
        <v/>
      </c>
      <c r="J283" s="79" t="str">
        <f>_xlfn.LET(_xlpm.val,_xlfn.XLOOKUP($B233,[2]加工記録２!$CD:$CD,[2]加工記録２!AZ:AZ,""),IF(OR(_xlpm.val="",_xlpm.val=0),"",_xlpm.val))</f>
        <v/>
      </c>
      <c r="K283" s="55"/>
      <c r="L283" s="55"/>
      <c r="M283" s="55"/>
      <c r="N283" s="55"/>
    </row>
    <row r="284" spans="1:22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22" ht="6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22" ht="14.25" customHeight="1">
      <c r="A286" s="12"/>
      <c r="B286" s="151" t="s">
        <v>0</v>
      </c>
      <c r="C286" s="110"/>
      <c r="D286" s="110"/>
      <c r="E286" s="12"/>
      <c r="F286" s="12"/>
      <c r="G286" s="12"/>
      <c r="H286" s="12"/>
      <c r="I286" s="12"/>
      <c r="J286" s="12"/>
    </row>
    <row r="287" spans="1:22" ht="14.25" customHeight="1">
      <c r="A287" s="13"/>
      <c r="B287" s="110"/>
      <c r="C287" s="110"/>
      <c r="D287" s="110"/>
      <c r="E287" s="13"/>
      <c r="F287" s="13"/>
      <c r="G287" s="13"/>
      <c r="H287" s="13"/>
      <c r="I287" s="13"/>
      <c r="J287" s="13"/>
    </row>
    <row r="288" spans="1:22" ht="14.25" customHeight="1">
      <c r="A288" s="152" t="s">
        <v>1</v>
      </c>
      <c r="B288" s="152" t="s">
        <v>96</v>
      </c>
      <c r="C288" s="152" t="s">
        <v>3</v>
      </c>
      <c r="D288" s="153">
        <v>1540</v>
      </c>
      <c r="E288" s="152" t="s">
        <v>4</v>
      </c>
      <c r="F288" s="154" t="s">
        <v>97</v>
      </c>
      <c r="G288" s="110"/>
      <c r="H288" s="150"/>
      <c r="I288" s="14" t="s">
        <v>6</v>
      </c>
      <c r="J288" s="14" t="s">
        <v>7</v>
      </c>
    </row>
    <row r="289" spans="1:10" ht="14.25" customHeight="1">
      <c r="A289" s="110"/>
      <c r="B289" s="110"/>
      <c r="C289" s="110"/>
      <c r="D289" s="110"/>
      <c r="E289" s="110"/>
      <c r="F289" s="110"/>
      <c r="G289" s="110"/>
      <c r="H289" s="150"/>
      <c r="I289" s="155"/>
      <c r="J289" s="155"/>
    </row>
    <row r="290" spans="1:10" ht="17.45" customHeight="1">
      <c r="A290" s="136" t="s">
        <v>8</v>
      </c>
      <c r="B290" s="136" t="s">
        <v>98</v>
      </c>
      <c r="E290" s="136" t="s">
        <v>10</v>
      </c>
      <c r="F290" s="158" t="s">
        <v>11</v>
      </c>
      <c r="G290" s="110"/>
      <c r="H290" s="150"/>
      <c r="I290" s="156"/>
      <c r="J290" s="156"/>
    </row>
    <row r="291" spans="1:10" ht="17.45" customHeight="1">
      <c r="A291" s="110"/>
      <c r="B291" s="110"/>
      <c r="E291" s="110"/>
      <c r="F291" s="110"/>
      <c r="G291" s="110"/>
      <c r="H291" s="150"/>
      <c r="I291" s="15"/>
      <c r="J291" s="15"/>
    </row>
    <row r="292" spans="1:10" ht="17.45" customHeight="1">
      <c r="A292" s="136" t="s">
        <v>12</v>
      </c>
      <c r="B292" s="136" t="s">
        <v>99</v>
      </c>
      <c r="E292" s="2" t="s">
        <v>14</v>
      </c>
      <c r="F292" s="137" t="s">
        <v>15</v>
      </c>
      <c r="G292" s="110"/>
      <c r="H292" s="22"/>
    </row>
    <row r="293" spans="1:10" ht="17.45" customHeight="1">
      <c r="A293" s="110"/>
      <c r="B293" s="110"/>
      <c r="E293" s="2" t="s">
        <v>16</v>
      </c>
      <c r="F293" s="22" t="s">
        <v>17</v>
      </c>
      <c r="G293" s="22"/>
      <c r="H293" s="22"/>
    </row>
    <row r="294" spans="1:10" ht="17.45" customHeight="1">
      <c r="A294" s="2" t="s">
        <v>18</v>
      </c>
      <c r="B294" s="4">
        <v>45817</v>
      </c>
      <c r="E294" s="2" t="s">
        <v>19</v>
      </c>
      <c r="F294" s="138">
        <v>16</v>
      </c>
      <c r="G294" s="110"/>
      <c r="H294" s="22"/>
    </row>
    <row r="295" spans="1:10" ht="17.45" customHeight="1">
      <c r="A295" s="2" t="s">
        <v>20</v>
      </c>
      <c r="B295" s="4">
        <v>45817</v>
      </c>
      <c r="E295" s="2" t="s">
        <v>21</v>
      </c>
      <c r="F295" s="22">
        <v>6</v>
      </c>
      <c r="G295" s="139" t="s">
        <v>22</v>
      </c>
      <c r="H295" s="141">
        <v>96</v>
      </c>
      <c r="I295" s="142"/>
      <c r="J295" s="143"/>
    </row>
    <row r="296" spans="1:10" ht="17.45" customHeight="1">
      <c r="A296" s="20"/>
      <c r="B296" s="21"/>
      <c r="C296" s="21"/>
      <c r="D296" s="21"/>
      <c r="E296" s="2" t="s">
        <v>23</v>
      </c>
      <c r="F296" s="22" t="s">
        <v>24</v>
      </c>
      <c r="G296" s="140"/>
      <c r="H296" s="140"/>
      <c r="I296" s="130"/>
      <c r="J296" s="144"/>
    </row>
    <row r="297" spans="1:10" ht="13.5" customHeight="1">
      <c r="A297" s="145" t="s">
        <v>100</v>
      </c>
      <c r="B297" s="110"/>
      <c r="C297" s="110"/>
      <c r="D297" s="21"/>
      <c r="F297" s="3"/>
      <c r="G297" s="146" t="s">
        <v>26</v>
      </c>
      <c r="H297" s="148" t="s">
        <v>27</v>
      </c>
      <c r="I297" s="149" t="s">
        <v>28</v>
      </c>
      <c r="J297" s="150"/>
    </row>
    <row r="298" spans="1:10" ht="13.5" customHeight="1">
      <c r="A298" s="110"/>
      <c r="B298" s="110"/>
      <c r="C298" s="110"/>
      <c r="D298" s="21"/>
      <c r="F298" s="3"/>
      <c r="G298" s="147"/>
      <c r="H298" s="147"/>
      <c r="I298" s="130"/>
      <c r="J298" s="144"/>
    </row>
    <row r="299" spans="1:10" ht="13.5" customHeight="1">
      <c r="A299" s="1" t="s">
        <v>29</v>
      </c>
    </row>
    <row r="300" spans="1:10" ht="63" customHeight="1">
      <c r="A300" s="131"/>
      <c r="B300" s="132"/>
      <c r="C300" s="132"/>
      <c r="D300" s="132"/>
      <c r="E300" s="132"/>
      <c r="F300" s="132"/>
      <c r="G300" s="132"/>
      <c r="H300" s="132"/>
      <c r="I300" s="132"/>
      <c r="J300" s="132"/>
    </row>
    <row r="301" spans="1:10" ht="18.75">
      <c r="A301" s="24" t="s">
        <v>30</v>
      </c>
      <c r="B301" s="17" t="s">
        <v>31</v>
      </c>
      <c r="C301" s="133" t="s">
        <v>32</v>
      </c>
      <c r="D301" s="134"/>
      <c r="E301" s="17" t="s">
        <v>33</v>
      </c>
      <c r="F301" s="133" t="s">
        <v>34</v>
      </c>
      <c r="G301" s="134"/>
      <c r="H301" s="134"/>
      <c r="I301" s="135" t="s">
        <v>35</v>
      </c>
      <c r="J301" s="134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3">
        <v>1</v>
      </c>
      <c r="B303" s="25" t="s">
        <v>36</v>
      </c>
      <c r="C303" s="111" t="s">
        <v>37</v>
      </c>
      <c r="D303" s="110"/>
      <c r="E303" s="25" t="s">
        <v>40</v>
      </c>
      <c r="F303" s="111" t="s">
        <v>41</v>
      </c>
      <c r="G303" s="110"/>
      <c r="H303" s="110"/>
      <c r="I303" s="126"/>
      <c r="J303" s="110"/>
    </row>
    <row r="304" spans="1:10" ht="16.5" customHeight="1">
      <c r="A304" s="23">
        <v>1</v>
      </c>
      <c r="B304" s="26" t="s">
        <v>36</v>
      </c>
      <c r="C304" s="111" t="s">
        <v>37</v>
      </c>
      <c r="D304" s="110"/>
      <c r="E304" s="25" t="s">
        <v>42</v>
      </c>
      <c r="F304" s="111" t="s">
        <v>43</v>
      </c>
      <c r="G304" s="110"/>
      <c r="H304" s="110"/>
      <c r="I304" s="126"/>
      <c r="J304" s="110"/>
    </row>
    <row r="305" spans="1:10" ht="16.5" customHeight="1">
      <c r="A305" s="23"/>
      <c r="B305" s="26"/>
      <c r="C305" s="111"/>
      <c r="D305" s="110"/>
      <c r="E305" s="25"/>
      <c r="F305" s="111"/>
      <c r="G305" s="110"/>
      <c r="H305" s="110"/>
      <c r="I305" s="126"/>
      <c r="J305" s="110"/>
    </row>
    <row r="306" spans="1:10" ht="16.5" customHeight="1">
      <c r="A306" s="23"/>
      <c r="B306" s="26"/>
      <c r="C306" s="111"/>
      <c r="D306" s="110"/>
      <c r="E306" s="25"/>
      <c r="F306" s="111"/>
      <c r="G306" s="110"/>
      <c r="H306" s="110"/>
      <c r="I306" s="126"/>
      <c r="J306" s="110"/>
    </row>
    <row r="307" spans="1:10" ht="16.5" customHeight="1">
      <c r="A307" s="23"/>
      <c r="B307" s="26"/>
      <c r="C307" s="111"/>
      <c r="D307" s="110"/>
      <c r="E307" s="25"/>
      <c r="F307" s="111"/>
      <c r="G307" s="110"/>
      <c r="H307" s="110"/>
      <c r="I307" s="126"/>
      <c r="J307" s="110"/>
    </row>
    <row r="308" spans="1:10" ht="16.5" customHeight="1">
      <c r="A308" s="23"/>
      <c r="B308" s="26"/>
      <c r="C308" s="111"/>
      <c r="D308" s="110"/>
      <c r="E308" s="25"/>
      <c r="F308" s="111"/>
      <c r="G308" s="110"/>
      <c r="H308" s="110"/>
      <c r="I308" s="126"/>
      <c r="J308" s="110"/>
    </row>
    <row r="309" spans="1:10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8.75">
      <c r="A310" s="127" t="s">
        <v>44</v>
      </c>
      <c r="B310" s="128"/>
      <c r="C310" s="127" t="s">
        <v>45</v>
      </c>
      <c r="D310" s="128"/>
      <c r="E310" s="128"/>
      <c r="F310" s="18" t="s">
        <v>46</v>
      </c>
      <c r="G310" s="127" t="s">
        <v>47</v>
      </c>
      <c r="H310" s="128"/>
      <c r="I310" s="127" t="s">
        <v>48</v>
      </c>
      <c r="J310" s="128"/>
    </row>
    <row r="311" spans="1:10" ht="14.25" customHeight="1">
      <c r="A311" s="8"/>
      <c r="B311" s="19"/>
      <c r="C311" s="129" t="s">
        <v>49</v>
      </c>
      <c r="D311" s="130"/>
      <c r="E311" s="19"/>
      <c r="F311" s="129" t="s">
        <v>29</v>
      </c>
      <c r="G311" s="130"/>
      <c r="H311" s="130"/>
      <c r="I311" s="130"/>
      <c r="J311" s="130"/>
    </row>
    <row r="312" spans="1:10">
      <c r="A312" s="9"/>
      <c r="C312" s="7"/>
      <c r="D312" s="7"/>
      <c r="E312" s="7"/>
    </row>
    <row r="313" spans="1:10" ht="14.25" customHeight="1">
      <c r="A313" s="111" t="s">
        <v>101</v>
      </c>
      <c r="B313" s="110"/>
      <c r="C313" s="111" t="s">
        <v>102</v>
      </c>
      <c r="D313" s="110"/>
      <c r="E313" s="110"/>
      <c r="F313" s="27" t="s">
        <v>52</v>
      </c>
      <c r="G313" s="125">
        <v>96</v>
      </c>
      <c r="H313" s="110"/>
      <c r="I313" s="125">
        <v>6</v>
      </c>
      <c r="J313" s="110"/>
    </row>
    <row r="314" spans="1:10" ht="24.95" customHeight="1">
      <c r="A314" s="109" t="s">
        <v>103</v>
      </c>
      <c r="B314" s="110"/>
      <c r="C314" s="111" t="s">
        <v>11</v>
      </c>
      <c r="D314" s="110"/>
      <c r="E314" s="110"/>
      <c r="F314" s="111"/>
      <c r="G314" s="110"/>
      <c r="H314" s="110"/>
      <c r="I314" s="110"/>
      <c r="J314" s="110"/>
    </row>
    <row r="315" spans="1:10" ht="14.25" customHeight="1">
      <c r="A315" s="111" t="s">
        <v>77</v>
      </c>
      <c r="B315" s="110"/>
      <c r="C315" s="111" t="s">
        <v>78</v>
      </c>
      <c r="D315" s="110"/>
      <c r="E315" s="110"/>
      <c r="F315" s="27" t="s">
        <v>27</v>
      </c>
      <c r="G315" s="125">
        <v>6.048</v>
      </c>
      <c r="H315" s="110"/>
      <c r="I315" s="125">
        <v>0.378</v>
      </c>
      <c r="J315" s="110"/>
    </row>
    <row r="316" spans="1:10" ht="24.95" customHeight="1">
      <c r="A316" s="109" t="s">
        <v>79</v>
      </c>
      <c r="B316" s="110"/>
      <c r="C316" s="111"/>
      <c r="D316" s="110"/>
      <c r="E316" s="110"/>
      <c r="F316" s="111"/>
      <c r="G316" s="110"/>
      <c r="H316" s="110"/>
      <c r="I316" s="110"/>
      <c r="J316" s="110"/>
    </row>
    <row r="317" spans="1:10" ht="14.25" customHeight="1">
      <c r="A317" s="111" t="s">
        <v>65</v>
      </c>
      <c r="B317" s="110"/>
      <c r="C317" s="111" t="s">
        <v>66</v>
      </c>
      <c r="D317" s="110"/>
      <c r="E317" s="110"/>
      <c r="F317" s="27"/>
      <c r="G317" s="125">
        <v>0.48</v>
      </c>
      <c r="H317" s="110"/>
      <c r="I317" s="125">
        <v>0.03</v>
      </c>
      <c r="J317" s="110"/>
    </row>
    <row r="318" spans="1:10" ht="24.95" customHeight="1">
      <c r="A318" s="109" t="s">
        <v>67</v>
      </c>
      <c r="B318" s="110"/>
      <c r="C318" s="111" t="s">
        <v>68</v>
      </c>
      <c r="D318" s="110"/>
      <c r="E318" s="110"/>
      <c r="F318" s="111"/>
      <c r="G318" s="110"/>
      <c r="H318" s="110"/>
      <c r="I318" s="110"/>
      <c r="J318" s="110"/>
    </row>
    <row r="319" spans="1:10" ht="14.25" customHeight="1">
      <c r="A319" s="111"/>
      <c r="B319" s="110"/>
      <c r="C319" s="111"/>
      <c r="D319" s="110"/>
      <c r="E319" s="110"/>
      <c r="F319" s="27"/>
      <c r="G319" s="125"/>
      <c r="H319" s="110"/>
      <c r="I319" s="125"/>
      <c r="J319" s="110"/>
    </row>
    <row r="320" spans="1:10" ht="24.95" customHeight="1">
      <c r="A320" s="109"/>
      <c r="B320" s="110"/>
      <c r="C320" s="111"/>
      <c r="D320" s="110"/>
      <c r="E320" s="110"/>
      <c r="F320" s="111"/>
      <c r="G320" s="110"/>
      <c r="H320" s="110"/>
      <c r="I320" s="110"/>
      <c r="J320" s="110"/>
    </row>
    <row r="321" spans="1:22" ht="14.25" customHeight="1">
      <c r="A321" s="111"/>
      <c r="B321" s="110"/>
      <c r="C321" s="111"/>
      <c r="D321" s="110"/>
      <c r="E321" s="110"/>
      <c r="F321" s="27"/>
      <c r="G321" s="125"/>
      <c r="H321" s="110"/>
      <c r="I321" s="125"/>
      <c r="J321" s="110"/>
    </row>
    <row r="322" spans="1:22" ht="24.95" customHeight="1">
      <c r="A322" s="109"/>
      <c r="B322" s="110"/>
      <c r="C322" s="111"/>
      <c r="D322" s="110"/>
      <c r="E322" s="110"/>
      <c r="F322" s="111"/>
      <c r="G322" s="110"/>
      <c r="H322" s="110"/>
      <c r="I322" s="110"/>
      <c r="J322" s="110"/>
    </row>
    <row r="323" spans="1:22" s="5" customFormat="1" ht="18" customHeight="1">
      <c r="A323" s="112" t="s">
        <v>119</v>
      </c>
      <c r="B323" s="113"/>
      <c r="C323" s="113"/>
      <c r="D323" s="113"/>
      <c r="E323" s="28" t="s">
        <v>120</v>
      </c>
      <c r="F323" s="29"/>
      <c r="G323" s="114" t="s">
        <v>121</v>
      </c>
      <c r="H323" s="115"/>
      <c r="I323" s="30" t="s">
        <v>122</v>
      </c>
      <c r="J323" s="31" t="s">
        <v>123</v>
      </c>
    </row>
    <row r="324" spans="1:22" s="7" customFormat="1" ht="18" customHeight="1">
      <c r="A324" s="116" t="str">
        <f>F288</f>
        <v>463301-2080灯具ｶﾊﾞｰPC IN</v>
      </c>
      <c r="B324" s="117"/>
      <c r="C324" s="117"/>
      <c r="D324" s="117"/>
      <c r="E324" s="120" t="str">
        <f>IFERROR(IF(OR(J324="", F294="", F294=0, J324/F294=0), C315&amp;" 　 "&amp;""&amp;"      枚", C315&amp;" 　 "&amp;J324/F294&amp;"      枚"), C315&amp;" 　 "&amp;""&amp;"      枚")</f>
        <v>灯具-2 　 6      枚</v>
      </c>
      <c r="F324" s="121"/>
      <c r="G324" s="32" t="s">
        <v>124</v>
      </c>
      <c r="H324" s="33">
        <f>_xlfn.XLOOKUP(RIGHT($B292,8), [1]加工記録２!$B:$B,[1]加工記録２!AH:AH)</f>
        <v>11</v>
      </c>
      <c r="I324" s="122">
        <f>MAX(I336:I340)</f>
        <v>45805</v>
      </c>
      <c r="J324" s="89">
        <f>_xlfn.XLOOKUP(RIGHT($B292,8), [1]加工記録２!$B:$B,[1]加工記録２!AD:AD,,0)</f>
        <v>96</v>
      </c>
    </row>
    <row r="325" spans="1:22" s="5" customFormat="1" ht="18" customHeight="1">
      <c r="A325" s="118"/>
      <c r="B325" s="119"/>
      <c r="C325" s="119"/>
      <c r="D325" s="119"/>
      <c r="E325" s="124" t="s">
        <v>125</v>
      </c>
      <c r="F325" s="124"/>
      <c r="G325" s="32" t="s">
        <v>126</v>
      </c>
      <c r="H325" s="33">
        <f>_xlfn.XLOOKUP(RIGHT($B292,8), [1]加工記録２!$B:$B,[1]加工記録２!AI:AI,,0)</f>
        <v>3</v>
      </c>
      <c r="I325" s="123"/>
      <c r="J325" s="89"/>
      <c r="K325" s="34"/>
    </row>
    <row r="326" spans="1:22" s="7" customFormat="1" ht="18" customHeight="1">
      <c r="A326" s="80" t="s">
        <v>127</v>
      </c>
      <c r="B326" s="92" t="str">
        <f>_xlfn.XLOOKUP(A297,[1]!テーブル5[品目コード],[1]!テーブル5[温度換算],,2)</f>
        <v>-</v>
      </c>
      <c r="C326" s="94" t="s">
        <v>128</v>
      </c>
      <c r="D326" s="96">
        <f>_xlfn.XLOOKUP(A297,[1]!テーブル5[品目コード],[1]!テーブル5[取数],,2)</f>
        <v>1</v>
      </c>
      <c r="E326" s="98" t="s">
        <v>129</v>
      </c>
      <c r="F326" s="98"/>
      <c r="G326" s="32" t="s">
        <v>130</v>
      </c>
      <c r="H326" s="33">
        <f>_xlfn.XLOOKUP(RIGHT($B292,8), [1]加工記録２!$B:$B,[1]加工記録２!AJ:AJ,,0)</f>
        <v>1</v>
      </c>
      <c r="I326" s="30" t="s">
        <v>131</v>
      </c>
      <c r="J326" s="30" t="s">
        <v>132</v>
      </c>
      <c r="K326" s="35"/>
    </row>
    <row r="327" spans="1:22" s="5" customFormat="1" ht="18" customHeight="1">
      <c r="A327" s="80"/>
      <c r="B327" s="93"/>
      <c r="C327" s="95"/>
      <c r="D327" s="97"/>
      <c r="E327" s="99" t="str">
        <f>_xlfn.XLOOKUP(A297,[1]!テーブル5[品目コード],[1]!テーブル5[備考１],,2)</f>
        <v>梱包箱:1996(切詰)</v>
      </c>
      <c r="F327" s="99"/>
      <c r="G327" s="32" t="s">
        <v>133</v>
      </c>
      <c r="H327" s="33">
        <f>_xlfn.XLOOKUP(RIGHT($B292,8), [1]加工記録２!$B:$B,[1]加工記録２!AK:AK,,0)</f>
        <v>0</v>
      </c>
      <c r="I327" s="100" t="str">
        <f>_xlfn.XLOOKUP(RIGHT($B292,8), [1]加工記録２!$B:$B,[1]加工記録２!CA:CA,,0)</f>
        <v>-</v>
      </c>
      <c r="J327" s="100" t="str">
        <f>_xlfn.XLOOKUP(RIGHT($B292,8), [1]加工記録２!$B:$B,[1]加工記録２!CB:CB,,0)</f>
        <v>高森・水野</v>
      </c>
      <c r="K327" s="34"/>
    </row>
    <row r="328" spans="1:22" s="7" customFormat="1" ht="18" customHeight="1">
      <c r="A328" s="102" t="s">
        <v>134</v>
      </c>
      <c r="B328" s="103">
        <f>D288</f>
        <v>1540</v>
      </c>
      <c r="C328" s="105" t="s">
        <v>135</v>
      </c>
      <c r="D328" s="86" t="str">
        <f>_xlfn.XLOOKUP(A297,[1]!テーブル5[品目コード],[1]!テーブル5[上限公差],,2)</f>
        <v>+2</v>
      </c>
      <c r="E328" s="99" t="str">
        <f>_xlfn.XLOOKUP(A297,[1]!テーブル5[品目コード],[1]!テーブル5[備考２],,2)</f>
        <v>クラフト紙：切詰</v>
      </c>
      <c r="F328" s="99"/>
      <c r="G328" s="32" t="s">
        <v>136</v>
      </c>
      <c r="H328" s="33">
        <f>_xlfn.XLOOKUP(RIGHT($B292,8), [1]加工記録２!$B:$B,[1]加工記録２!AL:AL,,0)</f>
        <v>0</v>
      </c>
      <c r="I328" s="101"/>
      <c r="J328" s="101"/>
      <c r="K328" s="35"/>
    </row>
    <row r="329" spans="1:22" s="5" customFormat="1" ht="18" customHeight="1">
      <c r="A329" s="102"/>
      <c r="B329" s="104"/>
      <c r="C329" s="106"/>
      <c r="D329" s="107"/>
      <c r="E329" s="108" t="s">
        <v>137</v>
      </c>
      <c r="F329" s="108"/>
      <c r="G329" s="32" t="s">
        <v>138</v>
      </c>
      <c r="H329" s="33">
        <f>_xlfn.XLOOKUP(RIGHT($B292,8), [1]加工記録２!$B:$B,[1]加工記録２!AM:AM,,0)</f>
        <v>0</v>
      </c>
      <c r="I329" s="36" t="s">
        <v>139</v>
      </c>
      <c r="J329" s="36" t="s">
        <v>140</v>
      </c>
      <c r="K329" s="34"/>
    </row>
    <row r="330" spans="1:22" s="7" customFormat="1" ht="18" customHeight="1">
      <c r="A330" s="80" t="s">
        <v>141</v>
      </c>
      <c r="B330" s="82" t="str">
        <f>_xlfn.XLOOKUP(A297,[1]!テーブル5[品目コード],[1]!テーブル5[切断寸法],,2)</f>
        <v>換算表確認</v>
      </c>
      <c r="C330" s="84" t="s">
        <v>142</v>
      </c>
      <c r="D330" s="86">
        <f>_xlfn.XLOOKUP(A297,[1]!テーブル5[品目コード],[1]!テーブル5[下限公差],,2)</f>
        <v>-2</v>
      </c>
      <c r="E330" s="88" t="str">
        <f>_xlfn.XLOOKUP(A297,[1]!テーブル5[品目コード],[1]!テーブル5[梱包方法],,2)</f>
        <v>ラベル2枚　長手有　鉢巻１</v>
      </c>
      <c r="F330" s="88"/>
      <c r="G330" s="32" t="s">
        <v>143</v>
      </c>
      <c r="H330" s="33">
        <f>_xlfn.XLOOKUP(RIGHT($B292,8), [1]加工記録２!$B:$B,[1]加工記録２!AN:AN,,0)</f>
        <v>0</v>
      </c>
      <c r="I330" s="89">
        <f>_xlfn.XLOOKUP(RIGHT($B292,8), [1]加工記録２!$B:$B,[1]加工記録２!AF:AF,,0)</f>
        <v>15</v>
      </c>
      <c r="J330" s="89">
        <f>_xlfn.XLOOKUP(RIGHT($B292,8), [1]加工記録２!$B:$B,[1]加工記録２!AE:AE,,0)</f>
        <v>15</v>
      </c>
      <c r="K330" s="35"/>
    </row>
    <row r="331" spans="1:22" s="5" customFormat="1" ht="18" customHeight="1" thickBot="1">
      <c r="A331" s="81"/>
      <c r="B331" s="83"/>
      <c r="C331" s="85"/>
      <c r="D331" s="87"/>
      <c r="E331" s="90"/>
      <c r="F331" s="90"/>
      <c r="G331" s="37" t="s">
        <v>144</v>
      </c>
      <c r="H331" s="38">
        <f>SUM(H324:H330)</f>
        <v>15</v>
      </c>
      <c r="I331" s="89"/>
      <c r="J331" s="89"/>
    </row>
    <row r="332" spans="1:22" s="47" customFormat="1" ht="18.95" customHeight="1">
      <c r="A332" s="39" t="s">
        <v>145</v>
      </c>
      <c r="B332" s="40" t="s">
        <v>146</v>
      </c>
      <c r="C332" s="41" t="s">
        <v>147</v>
      </c>
      <c r="D332" s="41" t="s">
        <v>148</v>
      </c>
      <c r="E332" s="42" t="s">
        <v>149</v>
      </c>
      <c r="F332" s="43" t="s">
        <v>150</v>
      </c>
      <c r="G332" s="42" t="s">
        <v>151</v>
      </c>
      <c r="H332" s="44" t="s">
        <v>152</v>
      </c>
      <c r="I332" s="45" t="s">
        <v>153</v>
      </c>
      <c r="J332" s="36" t="s">
        <v>154</v>
      </c>
      <c r="K332" s="46"/>
      <c r="L332" s="46"/>
      <c r="M332" s="46"/>
      <c r="N332" s="46"/>
    </row>
    <row r="333" spans="1:22" s="56" customFormat="1" ht="18.95" customHeight="1">
      <c r="A333" s="48">
        <f>IFERROR(_xlfn.XLOOKUP(RIGHT($B292,8)&amp;$J324,[1]加工記録２!B:B&amp;[1]加工記録２!AD:AD,[1]加工記録２!BB:BB,,0),"/")</f>
        <v>45769</v>
      </c>
      <c r="B333" s="49" t="str">
        <f>_xlfn.XLOOKUP(RIGHT($B292,8),[1]加工記録２!$B:$B,[1]加工記録２!BJ:BJ,,0)</f>
        <v>25D10-01</v>
      </c>
      <c r="C333" s="50"/>
      <c r="D333" s="51"/>
      <c r="E333" s="50"/>
      <c r="F333" s="52" t="s">
        <v>155</v>
      </c>
      <c r="G333" s="53">
        <f>IFERROR(SUM(H333*$D326),"")</f>
        <v>11</v>
      </c>
      <c r="H333" s="54">
        <f>_xlfn.XLOOKUP(RIGHT($B292,8),[1]加工記録２!$B:$B,[1]加工記録２!BR:BR,,0)</f>
        <v>11</v>
      </c>
      <c r="I333" s="91">
        <f>_xlfn.XLOOKUP(RIGHT($B292,8), [1]加工記録２!$B:$B,[1]加工記録２!AO:AO,,0)</f>
        <v>0</v>
      </c>
      <c r="J333" s="89">
        <f>_xlfn.XLOOKUP(RIGHT($B292,8), [1]加工記録２!$B:$B,[1]加工記録２!AG:AG,,0)</f>
        <v>111</v>
      </c>
      <c r="K333" s="55"/>
      <c r="L333" s="55"/>
      <c r="M333" s="55"/>
      <c r="N333" s="55"/>
      <c r="V333" s="57"/>
    </row>
    <row r="334" spans="1:22" s="56" customFormat="1" ht="18.95" customHeight="1" thickBot="1">
      <c r="A334" s="58">
        <f>IFERROR(_xlfn.XLOOKUP(RIGHT($B292,8)&amp;$J324,[1]加工記録２!B:B&amp;[1]加工記録２!AD:AD,[1]加工記録２!BC:BC,,0),"/")</f>
        <v>45805</v>
      </c>
      <c r="B334" s="59" t="str">
        <f>_xlfn.XLOOKUP(RIGHT($B292,8),[1]加工記録２!$B:$B,[1]加工記録２!BK:BK,,0)</f>
        <v>25E21-01</v>
      </c>
      <c r="C334" s="59" t="str">
        <f>_xlfn.XLOOKUP(RIGHT($B292,8),[1]加工記録２!$B:$B,[1]加工記録２!P:P,,0)</f>
        <v/>
      </c>
      <c r="D334" s="60" t="str">
        <f>IFERROR(_xlfn.XLOOKUP(IF(_xlfn.XLOOKUP(RIGHT($B292,8),[1]加工記録２!$B:$B,[1]加工記録２!C:C,,0)="","",_xlfn.XLOOKUP(RIGHT($B292,8),[1]加工記録２!$B:$B,[1]加工記録２!C:C,,0))&amp;C334,[1]温度換算!A:A,[1]温度換算!C:C),"")</f>
        <v/>
      </c>
      <c r="E334" s="61" t="str">
        <f>_xlfn.XLOOKUP(RIGHT($B292,8), [1]加工記録２!$B:$B,[1]加工記録２!W:W,,0)</f>
        <v/>
      </c>
      <c r="F334" s="62"/>
      <c r="G334" s="63">
        <f>IFERROR(SUM(H334*$D326),"")</f>
        <v>100</v>
      </c>
      <c r="H334" s="64">
        <f>_xlfn.XLOOKUP(RIGHT($B292,8),[1]加工記録２!$B:$B,[1]加工記録２!BS:BS,,0)</f>
        <v>100</v>
      </c>
      <c r="I334" s="91"/>
      <c r="J334" s="89"/>
      <c r="K334" s="55"/>
      <c r="L334" s="55"/>
      <c r="M334" s="55"/>
      <c r="N334" s="55"/>
    </row>
    <row r="335" spans="1:22" s="56" customFormat="1" ht="18.95" customHeight="1" thickBot="1">
      <c r="A335" s="58" t="str">
        <f>IFERROR(_xlfn.XLOOKUP(RIGHT($B292,8)&amp;$J324,[1]加工記録２!B:B&amp;[1]加工記録２!AD:AD,[1]加工記録２!BD:BD,,0),"/")</f>
        <v/>
      </c>
      <c r="B335" s="59" t="str">
        <f>_xlfn.XLOOKUP(RIGHT($B292,8),[1]加工記録２!B:B,[1]加工記録２!BL:BL,,0)</f>
        <v/>
      </c>
      <c r="C335" s="59" t="str">
        <f>_xlfn.XLOOKUP(RIGHT($B292,8),[1]加工記録２!$B:$B,[1]加工記録２!Q:Q,,0)</f>
        <v/>
      </c>
      <c r="D335" s="60" t="str">
        <f>IFERROR(_xlfn.XLOOKUP(IF(_xlfn.XLOOKUP(RIGHT($B292,8),[1]加工記録２!$B:$B,[1]加工記録２!C:C,,0)="","",_xlfn.XLOOKUP(RIGHT($B292,8),[1]加工記録２!$B:$B,[1]加工記録２!C:C,,0))&amp;C335,[1]温度換算!A:A,[1]温度換算!C:C),"")</f>
        <v/>
      </c>
      <c r="E335" s="61" t="str">
        <f>_xlfn.XLOOKUP(RIGHT($B292,8), [1]加工記録２!$B:$B,[1]加工記録２!X:X,,0)</f>
        <v/>
      </c>
      <c r="F335" s="62"/>
      <c r="G335" s="63" t="str">
        <f>IFERROR(SUM(H335*$D326),"")</f>
        <v/>
      </c>
      <c r="H335" s="64" t="str">
        <f>_xlfn.XLOOKUP(RIGHT($B292,8),[1]加工記録２!$B:$B,[1]加工記録２!BT:BT,,0)</f>
        <v/>
      </c>
      <c r="I335" s="65" t="s">
        <v>156</v>
      </c>
      <c r="J335" s="66" t="s">
        <v>157</v>
      </c>
      <c r="K335" s="55"/>
      <c r="L335" s="55"/>
      <c r="M335" s="55"/>
      <c r="N335" s="55"/>
    </row>
    <row r="336" spans="1:22" s="56" customFormat="1" ht="18.95" customHeight="1">
      <c r="A336" s="58" t="str">
        <f>IFERROR(_xlfn.XLOOKUP(RIGHT($B292,8)&amp;$J324,[1]加工記録２!B:B&amp;[1]加工記録２!AD:AD,[1]加工記録２!BE:BE,,0),"/")</f>
        <v/>
      </c>
      <c r="B336" s="59" t="str">
        <f>_xlfn.XLOOKUP(RIGHT($B292,8),[1]加工記録２!B:B,[1]加工記録２!BM:BM,,0)</f>
        <v/>
      </c>
      <c r="C336" s="59" t="str">
        <f>_xlfn.XLOOKUP(RIGHT($B292,8),[1]加工記録２!$B:$B,[1]加工記録２!R:R,,0)</f>
        <v/>
      </c>
      <c r="D336" s="60" t="str">
        <f>IFERROR(_xlfn.XLOOKUP(IF(_xlfn.XLOOKUP(RIGHT($B292,8),[1]加工記録２!$B:$B,[1]加工記録２!C:C,,0)="","",_xlfn.XLOOKUP(RIGHT($B292,8),[1]加工記録２!$B:$B,[1]加工記録２!C:C,,0))&amp;C336,[1]温度換算!A:A,[1]温度換算!C:C),"")</f>
        <v/>
      </c>
      <c r="E336" s="61" t="str">
        <f>_xlfn.XLOOKUP(RIGHT($B292,8), [1]加工記録２!$B:$B,[1]加工記録２!Y:Y,,0)</f>
        <v/>
      </c>
      <c r="F336" s="62"/>
      <c r="G336" s="63" t="str">
        <f>IFERROR(SUM(H336*$D326),"")</f>
        <v/>
      </c>
      <c r="H336" s="64" t="str">
        <f>_xlfn.XLOOKUP(RIGHT($B292,8),[1]加工記録２!$B:$B,[1]加工記録２!BU:BU,,0)</f>
        <v/>
      </c>
      <c r="I336" s="67" t="str">
        <f>_xlfn.LET(_xlpm.val,_xlfn.XLOOKUP(RIGHT($B292,8),[1]加工記録２!$B:$B,[1]加工記録２!AQ:AQ,""),IF(OR(_xlpm.val="",_xlpm.val=0),"",_xlpm.val))</f>
        <v/>
      </c>
      <c r="J336" s="68" t="str">
        <f>_xlfn.LET(_xlpm.val,_xlfn.XLOOKUP(RIGHT($B292,8),[1]加工記録２!$B:$B,[1]加工記録２!AR:AR,""),IF(OR(_xlpm.val="",_xlpm.val=0),"",_xlpm.val))</f>
        <v/>
      </c>
      <c r="K336" s="55"/>
      <c r="L336" s="55"/>
      <c r="M336" s="55"/>
      <c r="N336" s="55"/>
    </row>
    <row r="337" spans="1:14" s="56" customFormat="1" ht="18.95" customHeight="1">
      <c r="A337" s="58" t="str">
        <f>IFERROR(_xlfn.XLOOKUP(RIGHT($B292,8)&amp;$J324,[1]加工記録２!B:B&amp;[1]加工記録２!AD:AD,[1]加工記録２!BF:BF,,0),"/")</f>
        <v/>
      </c>
      <c r="B337" s="59" t="str">
        <f>_xlfn.XLOOKUP(RIGHT($B292,8),[1]加工記録２!B:B,[1]加工記録２!BN:BN,,0)</f>
        <v/>
      </c>
      <c r="C337" s="59" t="str">
        <f>_xlfn.XLOOKUP(RIGHT($B292,8),[1]加工記録２!$B:$B,[1]加工記録２!S:S,,0)</f>
        <v/>
      </c>
      <c r="D337" s="60" t="str">
        <f>IFERROR(_xlfn.XLOOKUP(IF(_xlfn.XLOOKUP(RIGHT($B292,8),[1]加工記録２!$B:$B,[1]加工記録２!C:C,,0)="","",_xlfn.XLOOKUP(RIGHT($B292,8),[1]加工記録２!$B:$B,[1]加工記録２!C:C,,0))&amp;C337,[1]温度換算!A:A,[1]温度換算!C:C),"")</f>
        <v/>
      </c>
      <c r="E337" s="61" t="str">
        <f>_xlfn.XLOOKUP(RIGHT($B292,8), [1]加工記録２!$B:$B,[1]加工記録２!Z:Z,,0)</f>
        <v/>
      </c>
      <c r="F337" s="62"/>
      <c r="G337" s="63" t="str">
        <f>IFERROR(SUM(H337*$D326),"")</f>
        <v/>
      </c>
      <c r="H337" s="64" t="str">
        <f>_xlfn.XLOOKUP(RIGHT($B292,8),[1]加工記録２!$B:$B,[1]加工記録２!BV:BV,,0)</f>
        <v/>
      </c>
      <c r="I337" s="69">
        <f>_xlfn.LET(_xlpm.val,_xlfn.XLOOKUP(RIGHT($B292,8),[1]加工記録２!$B:$B,[1]加工記録２!AS:AS,""),IF(OR(_xlpm.val="",_xlpm.val=0),"",_xlpm.val))</f>
        <v>45805</v>
      </c>
      <c r="J337" s="70">
        <f>_xlfn.LET(_xlpm.val,_xlfn.XLOOKUP(RIGHT($B292,8),[1]加工記録２!$B:$B,[1]加工記録２!AT:AT,""),IF(OR(_xlpm.val="",_xlpm.val=0),"",_xlpm.val))</f>
        <v>6</v>
      </c>
      <c r="K337" s="55"/>
      <c r="L337" s="55"/>
      <c r="M337" s="55"/>
      <c r="N337" s="55"/>
    </row>
    <row r="338" spans="1:14" s="56" customFormat="1" ht="18.95" customHeight="1">
      <c r="A338" s="58" t="str">
        <f>IFERROR(_xlfn.XLOOKUP(RIGHT($B292,8)&amp;$J324,[1]加工記録２!B:B&amp;[1]加工記録２!AD:AD,[1]加工記録２!BG:BG,,0),"/")</f>
        <v/>
      </c>
      <c r="B338" s="59" t="str">
        <f>_xlfn.XLOOKUP(RIGHT($B292,8),[1]加工記録２!B:B,[1]加工記録２!BO:BO,,0)</f>
        <v/>
      </c>
      <c r="C338" s="59" t="str">
        <f>_xlfn.XLOOKUP(RIGHT($B292,8),[1]加工記録２!$B:$B,[1]加工記録２!T:T,,0)</f>
        <v/>
      </c>
      <c r="D338" s="60" t="str">
        <f>IFERROR(_xlfn.XLOOKUP(IF(_xlfn.XLOOKUP(RIGHT($B292,8),[1]加工記録２!$B:$B,[1]加工記録２!C:C,,0)="","",_xlfn.XLOOKUP(RIGHT($B292,8),[1]加工記録２!$B:$B,[1]加工記録２!C:C,,0))&amp;C338,[1]温度換算!A:A,[1]温度換算!C:C),"")</f>
        <v/>
      </c>
      <c r="E338" s="61" t="str">
        <f>_xlfn.XLOOKUP(RIGHT($B292,8), [1]加工記録２!$B:$B,[1]加工記録２!AA:AA,,0)</f>
        <v/>
      </c>
      <c r="F338" s="62"/>
      <c r="G338" s="63" t="str">
        <f>IFERROR(SUM(H338*$D326),"")</f>
        <v/>
      </c>
      <c r="H338" s="64" t="str">
        <f>_xlfn.XLOOKUP(RIGHT($B292,8),[1]加工記録２!$B:$B,[1]加工記録２!BW:BW,,0)</f>
        <v/>
      </c>
      <c r="I338" s="69" t="str">
        <f>_xlfn.LET(_xlpm.val,_xlfn.XLOOKUP(RIGHT($B292,8),[1]加工記録２!$B:$B,[1]加工記録２!AU:AU,""),IF(OR(_xlpm.val="",_xlpm.val=0),"",_xlpm.val))</f>
        <v/>
      </c>
      <c r="J338" s="70" t="str">
        <f>_xlfn.LET(_xlpm.val,_xlfn.XLOOKUP(RIGHT($B292,8),[1]加工記録２!$B:$B,[1]加工記録２!AV:AV,""),IF(OR(_xlpm.val="",_xlpm.val=0),"",_xlpm.val))</f>
        <v/>
      </c>
      <c r="K338" s="55"/>
      <c r="L338" s="55"/>
      <c r="M338" s="55"/>
      <c r="N338" s="55"/>
    </row>
    <row r="339" spans="1:14" s="56" customFormat="1" ht="18.95" customHeight="1">
      <c r="A339" s="58" t="str">
        <f>IFERROR(_xlfn.XLOOKUP(RIGHT($B292,8)&amp;$J324,[1]加工記録２!B:B&amp;[1]加工記録２!AD:AD,[1]加工記録２!BH:BH,,0),"/")</f>
        <v/>
      </c>
      <c r="B339" s="59" t="str">
        <f>_xlfn.XLOOKUP(RIGHT($B292,8),[1]加工記録２!B:B,[1]加工記録２!BP:BP,,0)</f>
        <v/>
      </c>
      <c r="C339" s="59" t="str">
        <f>_xlfn.XLOOKUP(RIGHT($B292,8),[1]加工記録２!$B:$B,[1]加工記録２!U:U,,0)</f>
        <v/>
      </c>
      <c r="D339" s="60" t="str">
        <f>IFERROR(_xlfn.XLOOKUP(IF(_xlfn.XLOOKUP(RIGHT($B292,8),[1]加工記録２!$B:$B,[1]加工記録２!C:C,,0)="","",_xlfn.XLOOKUP(RIGHT($B292,8),[1]加工記録２!$B:$B,[1]加工記録２!C:C,,0))&amp;C339,[1]温度換算!A:A,[1]温度換算!C:C),"")</f>
        <v/>
      </c>
      <c r="E339" s="61" t="str">
        <f>_xlfn.XLOOKUP(RIGHT($B292,8), [1]加工記録２!$B:$B,[1]加工記録２!AB:AB,,0)</f>
        <v/>
      </c>
      <c r="F339" s="62"/>
      <c r="G339" s="63" t="str">
        <f>IFERROR(SUM(H339*$D326),"")</f>
        <v/>
      </c>
      <c r="H339" s="64" t="str">
        <f>_xlfn.XLOOKUP(RIGHT($B292,8),[1]加工記録２!$B:$B,[1]加工記録２!BX:BX,,0)</f>
        <v/>
      </c>
      <c r="I339" s="69" t="str">
        <f>_xlfn.LET(_xlpm.val,_xlfn.XLOOKUP(RIGHT($B292,8),[1]加工記録２!$B:$B,[1]加工記録２!AW:AW,""),IF(OR(_xlpm.val="",_xlpm.val=0),"",_xlpm.val))</f>
        <v/>
      </c>
      <c r="J339" s="70" t="str">
        <f>_xlfn.LET(_xlpm.val,_xlfn.XLOOKUP(RIGHT($B292,8),[1]加工記録２!$B:$B,[1]加工記録２!AX:AX,""),IF(OR(_xlpm.val="",_xlpm.val=0),"",_xlpm.val))</f>
        <v/>
      </c>
      <c r="K339" s="55"/>
      <c r="L339" s="55"/>
      <c r="M339" s="55"/>
      <c r="N339" s="55"/>
    </row>
    <row r="340" spans="1:14" s="56" customFormat="1" ht="18.95" customHeight="1" thickBot="1">
      <c r="A340" s="71" t="str">
        <f>IFERROR(_xlfn.XLOOKUP(RIGHT($B292,8)&amp;$J324,[1]加工記録２!B:B&amp;[1]加工記録２!AD:AD,[1]加工記録２!BI:BI,,0),"/")</f>
        <v/>
      </c>
      <c r="B340" s="72" t="str">
        <f>_xlfn.XLOOKUP(RIGHT($B292,8),[1]加工記録２!B:B,[1]加工記録２!BQ:BQ,,0)</f>
        <v/>
      </c>
      <c r="C340" s="72" t="str">
        <f>_xlfn.XLOOKUP(RIGHT($B292,8),[1]加工記録２!$B:$B,[1]加工記録２!V:V,,0)</f>
        <v/>
      </c>
      <c r="D340" s="73" t="str">
        <f>IFERROR(_xlfn.XLOOKUP(IF(_xlfn.XLOOKUP(RIGHT($B292,8),[1]加工記録２!$B:$B,[1]加工記録２!C:C,,0)="","",_xlfn.XLOOKUP(RIGHT($B292,8),[1]加工記録２!$B:$B,[1]加工記録２!C:C,,0))&amp;C340,[1]温度換算!A:A,[1]温度換算!C:C),"")</f>
        <v/>
      </c>
      <c r="E340" s="74" t="str">
        <f>_xlfn.XLOOKUP(RIGHT($B292,8), [1]加工記録２!$B:$B,[1]加工記録２!AC:AC,,0)</f>
        <v/>
      </c>
      <c r="F340" s="75"/>
      <c r="G340" s="76" t="str">
        <f>IFERROR(SUM(H340*$D326),"")</f>
        <v/>
      </c>
      <c r="H340" s="77" t="str">
        <f>_xlfn.XLOOKUP(RIGHT($B292,8),[1]加工記録２!$B:$B,[1]加工記録２!BY:BY,,0)</f>
        <v/>
      </c>
      <c r="I340" s="78" t="str">
        <f>_xlfn.LET(_xlpm.val,_xlfn.XLOOKUP(RIGHT($B292,8),[1]加工記録２!$B:$B,[1]加工記録２!AY:AY,""),IF(OR(_xlpm.val="",_xlpm.val=0),"",_xlpm.val))</f>
        <v/>
      </c>
      <c r="J340" s="79" t="str">
        <f>_xlfn.LET(_xlpm.val,_xlfn.XLOOKUP(RIGHT($B292,8),[1]加工記録２!$B:$B,[1]加工記録２!AZ:AZ,""),IF(OR(_xlpm.val="",_xlpm.val=0),"",_xlpm.val))</f>
        <v/>
      </c>
      <c r="K340" s="55"/>
      <c r="L340" s="55"/>
      <c r="M340" s="55"/>
      <c r="N340" s="55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2"/>
      <c r="B343" s="151" t="s">
        <v>0</v>
      </c>
      <c r="C343" s="110"/>
      <c r="D343" s="110"/>
      <c r="E343" s="12"/>
      <c r="F343" s="12"/>
      <c r="G343" s="12"/>
      <c r="H343" s="12"/>
      <c r="I343" s="12"/>
      <c r="J343" s="12"/>
    </row>
    <row r="344" spans="1:14" ht="14.25" customHeight="1">
      <c r="A344" s="13"/>
      <c r="B344" s="110"/>
      <c r="C344" s="110"/>
      <c r="D344" s="110"/>
      <c r="E344" s="13"/>
      <c r="F344" s="13"/>
      <c r="G344" s="13"/>
      <c r="H344" s="13"/>
      <c r="I344" s="13"/>
      <c r="J344" s="13"/>
    </row>
    <row r="345" spans="1:14" ht="14.25" customHeight="1">
      <c r="A345" s="152" t="s">
        <v>1</v>
      </c>
      <c r="B345" s="152" t="s">
        <v>104</v>
      </c>
      <c r="C345" s="152" t="s">
        <v>3</v>
      </c>
      <c r="D345" s="153">
        <v>1815</v>
      </c>
      <c r="E345" s="152" t="s">
        <v>4</v>
      </c>
      <c r="F345" s="154" t="s">
        <v>105</v>
      </c>
      <c r="G345" s="110"/>
      <c r="H345" s="150"/>
      <c r="I345" s="14" t="s">
        <v>6</v>
      </c>
      <c r="J345" s="14" t="s">
        <v>7</v>
      </c>
    </row>
    <row r="346" spans="1:14" ht="14.25" customHeight="1">
      <c r="A346" s="110"/>
      <c r="B346" s="110"/>
      <c r="C346" s="110"/>
      <c r="D346" s="110"/>
      <c r="E346" s="110"/>
      <c r="F346" s="110"/>
      <c r="G346" s="110"/>
      <c r="H346" s="150"/>
      <c r="I346" s="155"/>
      <c r="J346" s="155"/>
    </row>
    <row r="347" spans="1:14" ht="17.45" customHeight="1">
      <c r="A347" s="136" t="s">
        <v>8</v>
      </c>
      <c r="B347" s="157" t="s">
        <v>159</v>
      </c>
      <c r="E347" s="136" t="s">
        <v>10</v>
      </c>
      <c r="F347" s="158" t="s">
        <v>11</v>
      </c>
      <c r="G347" s="110"/>
      <c r="H347" s="150"/>
      <c r="I347" s="156"/>
      <c r="J347" s="156"/>
    </row>
    <row r="348" spans="1:14" ht="17.45" customHeight="1">
      <c r="A348" s="110"/>
      <c r="B348" s="110"/>
      <c r="E348" s="110"/>
      <c r="F348" s="110"/>
      <c r="G348" s="110"/>
      <c r="H348" s="150"/>
      <c r="I348" s="15"/>
      <c r="J348" s="15"/>
    </row>
    <row r="349" spans="1:14" ht="17.45" customHeight="1">
      <c r="A349" s="136" t="s">
        <v>12</v>
      </c>
      <c r="B349" s="136" t="s">
        <v>106</v>
      </c>
      <c r="E349" s="2" t="s">
        <v>14</v>
      </c>
      <c r="F349" s="137" t="s">
        <v>15</v>
      </c>
      <c r="G349" s="110"/>
      <c r="H349" s="22"/>
    </row>
    <row r="350" spans="1:14" ht="17.45" customHeight="1">
      <c r="A350" s="110"/>
      <c r="B350" s="110"/>
      <c r="E350" s="2" t="s">
        <v>16</v>
      </c>
      <c r="F350" s="22" t="s">
        <v>17</v>
      </c>
      <c r="G350" s="22"/>
      <c r="H350" s="22"/>
    </row>
    <row r="351" spans="1:14" ht="17.45" customHeight="1">
      <c r="A351" s="2" t="s">
        <v>18</v>
      </c>
      <c r="B351" s="4">
        <v>45814</v>
      </c>
      <c r="E351" s="2" t="s">
        <v>19</v>
      </c>
      <c r="F351" s="138">
        <v>16</v>
      </c>
      <c r="G351" s="110"/>
      <c r="H351" s="22"/>
    </row>
    <row r="352" spans="1:14" ht="17.45" customHeight="1">
      <c r="A352" s="2" t="s">
        <v>20</v>
      </c>
      <c r="B352" s="4">
        <v>45814</v>
      </c>
      <c r="E352" s="2" t="s">
        <v>21</v>
      </c>
      <c r="F352" s="22">
        <v>24</v>
      </c>
      <c r="G352" s="139" t="s">
        <v>22</v>
      </c>
      <c r="H352" s="141">
        <v>384</v>
      </c>
      <c r="I352" s="142"/>
      <c r="J352" s="143"/>
    </row>
    <row r="353" spans="1:10" ht="17.45" customHeight="1">
      <c r="A353" s="20"/>
      <c r="B353" s="21"/>
      <c r="C353" s="21"/>
      <c r="D353" s="21"/>
      <c r="E353" s="2" t="s">
        <v>23</v>
      </c>
      <c r="F353" s="22" t="s">
        <v>24</v>
      </c>
      <c r="G353" s="140"/>
      <c r="H353" s="140"/>
      <c r="I353" s="130"/>
      <c r="J353" s="144"/>
    </row>
    <row r="354" spans="1:10" ht="13.5" customHeight="1">
      <c r="A354" s="145" t="s">
        <v>107</v>
      </c>
      <c r="B354" s="110"/>
      <c r="C354" s="110"/>
      <c r="D354" s="21"/>
      <c r="F354" s="3"/>
      <c r="G354" s="146" t="s">
        <v>26</v>
      </c>
      <c r="H354" s="148" t="s">
        <v>27</v>
      </c>
      <c r="I354" s="149" t="s">
        <v>28</v>
      </c>
      <c r="J354" s="150"/>
    </row>
    <row r="355" spans="1:10" ht="13.5" customHeight="1">
      <c r="A355" s="110"/>
      <c r="B355" s="110"/>
      <c r="C355" s="110"/>
      <c r="D355" s="21"/>
      <c r="F355" s="3"/>
      <c r="G355" s="147"/>
      <c r="H355" s="147"/>
      <c r="I355" s="130"/>
      <c r="J355" s="144"/>
    </row>
    <row r="356" spans="1:10" ht="13.5" customHeight="1">
      <c r="A356" s="1" t="s">
        <v>29</v>
      </c>
    </row>
    <row r="357" spans="1:10" ht="63" customHeight="1">
      <c r="A357" s="131"/>
      <c r="B357" s="132"/>
      <c r="C357" s="132"/>
      <c r="D357" s="132"/>
      <c r="E357" s="132"/>
      <c r="F357" s="132"/>
      <c r="G357" s="132"/>
      <c r="H357" s="132"/>
      <c r="I357" s="132"/>
      <c r="J357" s="132"/>
    </row>
    <row r="358" spans="1:10" ht="18.75">
      <c r="A358" s="24" t="s">
        <v>30</v>
      </c>
      <c r="B358" s="17" t="s">
        <v>31</v>
      </c>
      <c r="C358" s="133" t="s">
        <v>32</v>
      </c>
      <c r="D358" s="134"/>
      <c r="E358" s="17" t="s">
        <v>33</v>
      </c>
      <c r="F358" s="133" t="s">
        <v>34</v>
      </c>
      <c r="G358" s="134"/>
      <c r="H358" s="134"/>
      <c r="I358" s="135" t="s">
        <v>35</v>
      </c>
      <c r="J358" s="134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3">
        <v>1</v>
      </c>
      <c r="B360" s="25" t="s">
        <v>36</v>
      </c>
      <c r="C360" s="111" t="s">
        <v>37</v>
      </c>
      <c r="D360" s="110"/>
      <c r="E360" s="25" t="s">
        <v>40</v>
      </c>
      <c r="F360" s="111" t="s">
        <v>41</v>
      </c>
      <c r="G360" s="110"/>
      <c r="H360" s="110"/>
      <c r="I360" s="126"/>
      <c r="J360" s="110"/>
    </row>
    <row r="361" spans="1:10" ht="16.5" customHeight="1">
      <c r="A361" s="23">
        <v>1</v>
      </c>
      <c r="B361" s="26" t="s">
        <v>36</v>
      </c>
      <c r="C361" s="111" t="s">
        <v>37</v>
      </c>
      <c r="D361" s="110"/>
      <c r="E361" s="25" t="s">
        <v>42</v>
      </c>
      <c r="F361" s="111" t="s">
        <v>43</v>
      </c>
      <c r="G361" s="110"/>
      <c r="H361" s="110"/>
      <c r="I361" s="126"/>
      <c r="J361" s="110"/>
    </row>
    <row r="362" spans="1:10" ht="16.5" customHeight="1">
      <c r="A362" s="23"/>
      <c r="B362" s="26"/>
      <c r="C362" s="111"/>
      <c r="D362" s="110"/>
      <c r="E362" s="25"/>
      <c r="F362" s="111"/>
      <c r="G362" s="110"/>
      <c r="H362" s="110"/>
      <c r="I362" s="126"/>
      <c r="J362" s="110"/>
    </row>
    <row r="363" spans="1:10" ht="16.5" customHeight="1">
      <c r="A363" s="23"/>
      <c r="B363" s="26"/>
      <c r="C363" s="111"/>
      <c r="D363" s="110"/>
      <c r="E363" s="25"/>
      <c r="F363" s="111"/>
      <c r="G363" s="110"/>
      <c r="H363" s="110"/>
      <c r="I363" s="126"/>
      <c r="J363" s="110"/>
    </row>
    <row r="364" spans="1:10" ht="16.5" customHeight="1">
      <c r="A364" s="23"/>
      <c r="B364" s="26"/>
      <c r="C364" s="111"/>
      <c r="D364" s="110"/>
      <c r="E364" s="25"/>
      <c r="F364" s="111"/>
      <c r="G364" s="110"/>
      <c r="H364" s="110"/>
      <c r="I364" s="126"/>
      <c r="J364" s="110"/>
    </row>
    <row r="365" spans="1:10" ht="16.5" customHeight="1">
      <c r="A365" s="23"/>
      <c r="B365" s="26"/>
      <c r="C365" s="111"/>
      <c r="D365" s="110"/>
      <c r="E365" s="25"/>
      <c r="F365" s="111"/>
      <c r="G365" s="110"/>
      <c r="H365" s="110"/>
      <c r="I365" s="126"/>
      <c r="J365" s="110"/>
    </row>
    <row r="366" spans="1:10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8.75">
      <c r="A367" s="127" t="s">
        <v>44</v>
      </c>
      <c r="B367" s="128"/>
      <c r="C367" s="127" t="s">
        <v>45</v>
      </c>
      <c r="D367" s="128"/>
      <c r="E367" s="128"/>
      <c r="F367" s="18" t="s">
        <v>46</v>
      </c>
      <c r="G367" s="127" t="s">
        <v>47</v>
      </c>
      <c r="H367" s="128"/>
      <c r="I367" s="127" t="s">
        <v>48</v>
      </c>
      <c r="J367" s="128"/>
    </row>
    <row r="368" spans="1:10" ht="14.25" customHeight="1">
      <c r="A368" s="8"/>
      <c r="B368" s="19"/>
      <c r="C368" s="129" t="s">
        <v>49</v>
      </c>
      <c r="D368" s="130"/>
      <c r="E368" s="19"/>
      <c r="F368" s="129" t="s">
        <v>29</v>
      </c>
      <c r="G368" s="130"/>
      <c r="H368" s="130"/>
      <c r="I368" s="130"/>
      <c r="J368" s="130"/>
    </row>
    <row r="369" spans="1:11">
      <c r="A369" s="9"/>
      <c r="C369" s="7"/>
      <c r="D369" s="7"/>
      <c r="E369" s="7"/>
    </row>
    <row r="370" spans="1:11" ht="14.25" customHeight="1">
      <c r="A370" s="111" t="s">
        <v>108</v>
      </c>
      <c r="B370" s="110"/>
      <c r="C370" s="111" t="s">
        <v>109</v>
      </c>
      <c r="D370" s="110"/>
      <c r="E370" s="110"/>
      <c r="F370" s="27" t="s">
        <v>52</v>
      </c>
      <c r="G370" s="125">
        <v>384</v>
      </c>
      <c r="H370" s="110"/>
      <c r="I370" s="125">
        <v>24</v>
      </c>
      <c r="J370" s="110"/>
    </row>
    <row r="371" spans="1:11" ht="24.95" customHeight="1">
      <c r="A371" s="109" t="s">
        <v>110</v>
      </c>
      <c r="B371" s="110"/>
      <c r="C371" s="111" t="s">
        <v>11</v>
      </c>
      <c r="D371" s="110"/>
      <c r="E371" s="110"/>
      <c r="F371" s="111"/>
      <c r="G371" s="110"/>
      <c r="H371" s="110"/>
      <c r="I371" s="110"/>
      <c r="J371" s="110"/>
    </row>
    <row r="372" spans="1:11" ht="14.25" customHeight="1">
      <c r="A372" s="111" t="s">
        <v>77</v>
      </c>
      <c r="B372" s="110"/>
      <c r="C372" s="111" t="s">
        <v>78</v>
      </c>
      <c r="D372" s="110"/>
      <c r="E372" s="110"/>
      <c r="F372" s="27" t="s">
        <v>27</v>
      </c>
      <c r="G372" s="125">
        <v>24.192</v>
      </c>
      <c r="H372" s="110"/>
      <c r="I372" s="125">
        <v>1.512</v>
      </c>
      <c r="J372" s="110"/>
    </row>
    <row r="373" spans="1:11" ht="24.95" customHeight="1">
      <c r="A373" s="109" t="s">
        <v>79</v>
      </c>
      <c r="B373" s="110"/>
      <c r="C373" s="111"/>
      <c r="D373" s="110"/>
      <c r="E373" s="110"/>
      <c r="F373" s="111"/>
      <c r="G373" s="110"/>
      <c r="H373" s="110"/>
      <c r="I373" s="110"/>
      <c r="J373" s="110"/>
    </row>
    <row r="374" spans="1:11" ht="14.25" customHeight="1">
      <c r="A374" s="111" t="s">
        <v>65</v>
      </c>
      <c r="B374" s="110"/>
      <c r="C374" s="111" t="s">
        <v>66</v>
      </c>
      <c r="D374" s="110"/>
      <c r="E374" s="110"/>
      <c r="F374" s="27"/>
      <c r="G374" s="125">
        <v>2.3039999999999998</v>
      </c>
      <c r="H374" s="110"/>
      <c r="I374" s="125">
        <v>0.14399999999999999</v>
      </c>
      <c r="J374" s="110"/>
    </row>
    <row r="375" spans="1:11" ht="24.95" customHeight="1">
      <c r="A375" s="109" t="s">
        <v>67</v>
      </c>
      <c r="B375" s="110"/>
      <c r="C375" s="111" t="s">
        <v>68</v>
      </c>
      <c r="D375" s="110"/>
      <c r="E375" s="110"/>
      <c r="F375" s="111"/>
      <c r="G375" s="110"/>
      <c r="H375" s="110"/>
      <c r="I375" s="110"/>
      <c r="J375" s="110"/>
    </row>
    <row r="376" spans="1:11" ht="14.25" customHeight="1">
      <c r="A376" s="111"/>
      <c r="B376" s="110"/>
      <c r="C376" s="111"/>
      <c r="D376" s="110"/>
      <c r="E376" s="110"/>
      <c r="F376" s="27"/>
      <c r="G376" s="125"/>
      <c r="H376" s="110"/>
      <c r="I376" s="125"/>
      <c r="J376" s="110"/>
    </row>
    <row r="377" spans="1:11" ht="24.95" customHeight="1">
      <c r="A377" s="109"/>
      <c r="B377" s="110"/>
      <c r="C377" s="111"/>
      <c r="D377" s="110"/>
      <c r="E377" s="110"/>
      <c r="F377" s="111"/>
      <c r="G377" s="110"/>
      <c r="H377" s="110"/>
      <c r="I377" s="110"/>
      <c r="J377" s="110"/>
    </row>
    <row r="378" spans="1:11" ht="14.25" customHeight="1">
      <c r="A378" s="111"/>
      <c r="B378" s="110"/>
      <c r="C378" s="111"/>
      <c r="D378" s="110"/>
      <c r="E378" s="110"/>
      <c r="F378" s="27"/>
      <c r="G378" s="125"/>
      <c r="H378" s="110"/>
      <c r="I378" s="125"/>
      <c r="J378" s="110"/>
    </row>
    <row r="379" spans="1:11" ht="24.95" customHeight="1">
      <c r="A379" s="109"/>
      <c r="B379" s="110"/>
      <c r="C379" s="111"/>
      <c r="D379" s="110"/>
      <c r="E379" s="110"/>
      <c r="F379" s="111"/>
      <c r="G379" s="110"/>
      <c r="H379" s="110"/>
      <c r="I379" s="110"/>
      <c r="J379" s="110"/>
    </row>
    <row r="380" spans="1:11" s="5" customFormat="1" ht="18" customHeight="1">
      <c r="A380" s="112" t="s">
        <v>119</v>
      </c>
      <c r="B380" s="113"/>
      <c r="C380" s="113"/>
      <c r="D380" s="113"/>
      <c r="E380" s="28" t="s">
        <v>120</v>
      </c>
      <c r="F380" s="29"/>
      <c r="G380" s="114" t="s">
        <v>121</v>
      </c>
      <c r="H380" s="115"/>
      <c r="I380" s="30" t="s">
        <v>122</v>
      </c>
      <c r="J380" s="31" t="s">
        <v>123</v>
      </c>
    </row>
    <row r="381" spans="1:11" s="7" customFormat="1" ht="18" customHeight="1">
      <c r="A381" s="116" t="str">
        <f>F345</f>
        <v>463301-2110灯具ｶﾊﾞｰPC IN</v>
      </c>
      <c r="B381" s="117"/>
      <c r="C381" s="117"/>
      <c r="D381" s="117"/>
      <c r="E381" s="120" t="str">
        <f>IFERROR(IF(OR(J381="", F351="", F351=0, J381/F351=0), C372&amp;" 　 "&amp;""&amp;"      枚", C372&amp;" 　 "&amp;J381/F351&amp;"      枚"), C372&amp;" 　 "&amp;""&amp;"      枚")</f>
        <v>灯具-2 　 4      枚</v>
      </c>
      <c r="F381" s="121"/>
      <c r="G381" s="32" t="s">
        <v>124</v>
      </c>
      <c r="H381" s="33">
        <f>_xlfn.XLOOKUP(RIGHT($B349,8), [1]加工記録２!$B:$B,[1]加工記録２!AH:AH)</f>
        <v>18</v>
      </c>
      <c r="I381" s="122">
        <f>MAX(I393:I397)</f>
        <v>45799</v>
      </c>
      <c r="J381" s="89">
        <f>_xlfn.XLOOKUP(RIGHT($B349,8), [1]加工記録２!$B:$B,[1]加工記録２!AD:AD,,0)</f>
        <v>64</v>
      </c>
    </row>
    <row r="382" spans="1:11" s="5" customFormat="1" ht="18" customHeight="1">
      <c r="A382" s="118"/>
      <c r="B382" s="119"/>
      <c r="C382" s="119"/>
      <c r="D382" s="119"/>
      <c r="E382" s="124" t="s">
        <v>125</v>
      </c>
      <c r="F382" s="124"/>
      <c r="G382" s="32" t="s">
        <v>126</v>
      </c>
      <c r="H382" s="33">
        <f>_xlfn.XLOOKUP(RIGHT($B349,8), [1]加工記録２!$B:$B,[1]加工記録２!AI:AI,,0)</f>
        <v>44</v>
      </c>
      <c r="I382" s="123"/>
      <c r="J382" s="89"/>
      <c r="K382" s="34"/>
    </row>
    <row r="383" spans="1:11" s="7" customFormat="1" ht="18" customHeight="1">
      <c r="A383" s="80" t="s">
        <v>127</v>
      </c>
      <c r="B383" s="92" t="str">
        <f>_xlfn.XLOOKUP(A354,[1]!テーブル5[品目コード],[1]!テーブル5[温度換算],,2)</f>
        <v>-</v>
      </c>
      <c r="C383" s="94" t="s">
        <v>128</v>
      </c>
      <c r="D383" s="96">
        <f>_xlfn.XLOOKUP(A354,[1]!テーブル5[品目コード],[1]!テーブル5[取数],,2)</f>
        <v>1</v>
      </c>
      <c r="E383" s="98" t="s">
        <v>129</v>
      </c>
      <c r="F383" s="98"/>
      <c r="G383" s="32" t="s">
        <v>130</v>
      </c>
      <c r="H383" s="33">
        <f>_xlfn.XLOOKUP(RIGHT($B349,8), [1]加工記録２!$B:$B,[1]加工記録２!AJ:AJ,,0)</f>
        <v>0</v>
      </c>
      <c r="I383" s="30" t="s">
        <v>131</v>
      </c>
      <c r="J383" s="30" t="s">
        <v>132</v>
      </c>
      <c r="K383" s="35"/>
    </row>
    <row r="384" spans="1:11" s="5" customFormat="1" ht="18" customHeight="1">
      <c r="A384" s="80"/>
      <c r="B384" s="93"/>
      <c r="C384" s="95"/>
      <c r="D384" s="97"/>
      <c r="E384" s="99" t="str">
        <f>_xlfn.XLOOKUP(A354,[1]!テーブル5[品目コード],[1]!テーブル5[備考１],,2)</f>
        <v>梱包:箱1996　隙間埋め</v>
      </c>
      <c r="F384" s="99"/>
      <c r="G384" s="32" t="s">
        <v>133</v>
      </c>
      <c r="H384" s="33">
        <f>_xlfn.XLOOKUP(RIGHT($B349,8), [1]加工記録２!$B:$B,[1]加工記録２!AK:AK,,0)</f>
        <v>0</v>
      </c>
      <c r="I384" s="100">
        <f>_xlfn.XLOOKUP(RIGHT($B349,8), [1]加工記録２!$B:$B,[1]加工記録２!CA:CA,,0)</f>
        <v>0</v>
      </c>
      <c r="J384" s="100">
        <f>_xlfn.XLOOKUP(RIGHT($B349,8), [1]加工記録２!$B:$B,[1]加工記録２!CB:CB,,0)</f>
        <v>0</v>
      </c>
      <c r="K384" s="34"/>
    </row>
    <row r="385" spans="1:22" s="7" customFormat="1" ht="18" customHeight="1">
      <c r="A385" s="102" t="s">
        <v>134</v>
      </c>
      <c r="B385" s="103">
        <f>D345</f>
        <v>1815</v>
      </c>
      <c r="C385" s="105" t="s">
        <v>135</v>
      </c>
      <c r="D385" s="86" t="str">
        <f>_xlfn.XLOOKUP(A354,[1]!テーブル5[品目コード],[1]!テーブル5[上限公差],,2)</f>
        <v>+2</v>
      </c>
      <c r="E385" s="99" t="str">
        <f>_xlfn.XLOOKUP(A354,[1]!テーブル5[品目コード],[1]!テーブル5[備考２],,2)</f>
        <v>クラフト紙：1996型</v>
      </c>
      <c r="F385" s="99"/>
      <c r="G385" s="32" t="s">
        <v>136</v>
      </c>
      <c r="H385" s="33">
        <f>_xlfn.XLOOKUP(RIGHT($B349,8), [1]加工記録２!$B:$B,[1]加工記録２!AL:AL,,0)</f>
        <v>0</v>
      </c>
      <c r="I385" s="101"/>
      <c r="J385" s="101"/>
      <c r="K385" s="35"/>
    </row>
    <row r="386" spans="1:22" s="5" customFormat="1" ht="18" customHeight="1">
      <c r="A386" s="102"/>
      <c r="B386" s="104"/>
      <c r="C386" s="106"/>
      <c r="D386" s="107"/>
      <c r="E386" s="108" t="s">
        <v>137</v>
      </c>
      <c r="F386" s="108"/>
      <c r="G386" s="32" t="s">
        <v>138</v>
      </c>
      <c r="H386" s="33">
        <f>_xlfn.XLOOKUP(RIGHT($B349,8), [1]加工記録２!$B:$B,[1]加工記録２!AM:AM,,0)</f>
        <v>0</v>
      </c>
      <c r="I386" s="36" t="s">
        <v>139</v>
      </c>
      <c r="J386" s="36" t="s">
        <v>140</v>
      </c>
      <c r="K386" s="34"/>
    </row>
    <row r="387" spans="1:22" s="7" customFormat="1" ht="18" customHeight="1">
      <c r="A387" s="80" t="s">
        <v>141</v>
      </c>
      <c r="B387" s="82" t="str">
        <f>_xlfn.XLOOKUP(A354,[1]!テーブル5[品目コード],[1]!テーブル5[切断寸法],,2)</f>
        <v>換算表確認</v>
      </c>
      <c r="C387" s="84" t="s">
        <v>142</v>
      </c>
      <c r="D387" s="86">
        <f>_xlfn.XLOOKUP(A354,[1]!テーブル5[品目コード],[1]!テーブル5[下限公差],,2)</f>
        <v>-2</v>
      </c>
      <c r="E387" s="88" t="str">
        <f>_xlfn.XLOOKUP(A354,[1]!テーブル5[品目コード],[1]!テーブル5[梱包方法],,2)</f>
        <v>ラベル2枚　長手有　鉢巻１</v>
      </c>
      <c r="F387" s="88"/>
      <c r="G387" s="32" t="s">
        <v>143</v>
      </c>
      <c r="H387" s="33">
        <f>_xlfn.XLOOKUP(RIGHT($B349,8), [1]加工記録２!$B:$B,[1]加工記録２!AN:AN,,0)</f>
        <v>1</v>
      </c>
      <c r="I387" s="89">
        <f>_xlfn.XLOOKUP(RIGHT($B349,8), [1]加工記録２!$B:$B,[1]加工記録２!AF:AF,,0)</f>
        <v>63</v>
      </c>
      <c r="J387" s="89">
        <f>_xlfn.XLOOKUP(RIGHT($B349,8), [1]加工記録２!$B:$B,[1]加工記録２!AE:AE,,0)</f>
        <v>63</v>
      </c>
      <c r="K387" s="35"/>
    </row>
    <row r="388" spans="1:22" s="5" customFormat="1" ht="18" customHeight="1" thickBot="1">
      <c r="A388" s="81"/>
      <c r="B388" s="83"/>
      <c r="C388" s="85"/>
      <c r="D388" s="87"/>
      <c r="E388" s="90"/>
      <c r="F388" s="90"/>
      <c r="G388" s="37" t="s">
        <v>144</v>
      </c>
      <c r="H388" s="38">
        <f>SUM(H381:H387)</f>
        <v>63</v>
      </c>
      <c r="I388" s="89"/>
      <c r="J388" s="89"/>
    </row>
    <row r="389" spans="1:22" s="47" customFormat="1" ht="18.95" customHeight="1">
      <c r="A389" s="39" t="s">
        <v>145</v>
      </c>
      <c r="B389" s="40" t="s">
        <v>146</v>
      </c>
      <c r="C389" s="41" t="s">
        <v>147</v>
      </c>
      <c r="D389" s="41" t="s">
        <v>148</v>
      </c>
      <c r="E389" s="42" t="s">
        <v>149</v>
      </c>
      <c r="F389" s="43" t="s">
        <v>150</v>
      </c>
      <c r="G389" s="42" t="s">
        <v>151</v>
      </c>
      <c r="H389" s="44" t="s">
        <v>152</v>
      </c>
      <c r="I389" s="45" t="s">
        <v>153</v>
      </c>
      <c r="J389" s="36" t="s">
        <v>154</v>
      </c>
      <c r="K389" s="46"/>
      <c r="L389" s="46"/>
      <c r="M389" s="46"/>
      <c r="N389" s="46"/>
    </row>
    <row r="390" spans="1:22" s="56" customFormat="1" ht="18.95" customHeight="1">
      <c r="A390" s="48">
        <f>IFERROR(_xlfn.XLOOKUP(RIGHT($B349,8)&amp;$J381,[1]加工記録２!B:B&amp;[1]加工記録２!AD:AD,[1]加工記録２!BB:BB,,0),"/")</f>
        <v>45771</v>
      </c>
      <c r="B390" s="49" t="str">
        <f>_xlfn.XLOOKUP(RIGHT($B349,8),[1]加工記録２!$B:$B,[1]加工記録２!BJ:BJ,,0)</f>
        <v>25D11-01</v>
      </c>
      <c r="C390" s="50"/>
      <c r="D390" s="51"/>
      <c r="E390" s="50"/>
      <c r="F390" s="52" t="s">
        <v>155</v>
      </c>
      <c r="G390" s="53">
        <f>IFERROR(SUM(H390*$D383),"")</f>
        <v>1</v>
      </c>
      <c r="H390" s="54">
        <f>_xlfn.XLOOKUP(RIGHT($B349,8),[1]加工記録２!$B:$B,[1]加工記録２!BR:BR,,0)</f>
        <v>1</v>
      </c>
      <c r="I390" s="91">
        <f>_xlfn.XLOOKUP(RIGHT($B349,8), [1]加工記録２!$B:$B,[1]加工記録２!AO:AO,,0)</f>
        <v>0</v>
      </c>
      <c r="J390" s="89">
        <f>_xlfn.XLOOKUP(RIGHT($B349,8), [1]加工記録２!$B:$B,[1]加工記録２!AG:AG,,0)</f>
        <v>127</v>
      </c>
      <c r="K390" s="55"/>
      <c r="L390" s="55"/>
      <c r="M390" s="55"/>
      <c r="N390" s="55"/>
      <c r="V390" s="57"/>
    </row>
    <row r="391" spans="1:22" s="56" customFormat="1" ht="18.95" customHeight="1" thickBot="1">
      <c r="A391" s="58">
        <f>IFERROR(_xlfn.XLOOKUP(RIGHT($B349,8)&amp;$J381,[1]加工記録２!B:B&amp;[1]加工記録２!AD:AD,[1]加工記録２!BC:BC,,0),"/")</f>
        <v>45799</v>
      </c>
      <c r="B391" s="59" t="str">
        <f>_xlfn.XLOOKUP(RIGHT($B349,8),[1]加工記録２!$B:$B,[1]加工記録２!BK:BK,,0)</f>
        <v>25E16-01</v>
      </c>
      <c r="C391" s="59" t="str">
        <f>_xlfn.XLOOKUP(RIGHT($B349,8),[1]加工記録２!$B:$B,[1]加工記録２!P:P,,0)</f>
        <v/>
      </c>
      <c r="D391" s="60" t="str">
        <f>IFERROR(_xlfn.XLOOKUP(IF(_xlfn.XLOOKUP(RIGHT($B349,8),[1]加工記録２!$B:$B,[1]加工記録２!C:C,,0)="","",_xlfn.XLOOKUP(RIGHT($B349,8),[1]加工記録２!$B:$B,[1]加工記録２!C:C,,0))&amp;C391,[1]温度換算!A:A,[1]温度換算!C:C),"")</f>
        <v/>
      </c>
      <c r="E391" s="61" t="str">
        <f>_xlfn.XLOOKUP(RIGHT($B349,8), [1]加工記録２!$B:$B,[1]加工記録２!W:W,,0)</f>
        <v/>
      </c>
      <c r="F391" s="62"/>
      <c r="G391" s="63">
        <f>IFERROR(SUM(H391*$D383),"")</f>
        <v>126</v>
      </c>
      <c r="H391" s="64">
        <f>_xlfn.XLOOKUP(RIGHT($B349,8),[1]加工記録２!$B:$B,[1]加工記録２!BS:BS,,0)</f>
        <v>126</v>
      </c>
      <c r="I391" s="91"/>
      <c r="J391" s="89"/>
      <c r="K391" s="55"/>
      <c r="L391" s="55"/>
      <c r="M391" s="55"/>
      <c r="N391" s="55"/>
    </row>
    <row r="392" spans="1:22" s="56" customFormat="1" ht="18.95" customHeight="1" thickBot="1">
      <c r="A392" s="58" t="str">
        <f>IFERROR(_xlfn.XLOOKUP(RIGHT($B349,8)&amp;$J381,[1]加工記録２!B:B&amp;[1]加工記録２!AD:AD,[1]加工記録２!BD:BD,,0),"/")</f>
        <v/>
      </c>
      <c r="B392" s="59" t="str">
        <f>_xlfn.XLOOKUP(RIGHT($B349,8),[1]加工記録２!B:B,[1]加工記録２!BL:BL,,0)</f>
        <v/>
      </c>
      <c r="C392" s="59" t="str">
        <f>_xlfn.XLOOKUP(RIGHT($B349,8),[1]加工記録２!$B:$B,[1]加工記録２!Q:Q,,0)</f>
        <v/>
      </c>
      <c r="D392" s="60" t="str">
        <f>IFERROR(_xlfn.XLOOKUP(IF(_xlfn.XLOOKUP(RIGHT($B349,8),[1]加工記録２!$B:$B,[1]加工記録２!C:C,,0)="","",_xlfn.XLOOKUP(RIGHT($B349,8),[1]加工記録２!$B:$B,[1]加工記録２!C:C,,0))&amp;C392,[1]温度換算!A:A,[1]温度換算!C:C),"")</f>
        <v/>
      </c>
      <c r="E392" s="61" t="str">
        <f>_xlfn.XLOOKUP(RIGHT($B349,8), [1]加工記録２!$B:$B,[1]加工記録２!X:X,,0)</f>
        <v/>
      </c>
      <c r="F392" s="62"/>
      <c r="G392" s="63" t="str">
        <f>IFERROR(SUM(H392*$D383),"")</f>
        <v/>
      </c>
      <c r="H392" s="64" t="str">
        <f>_xlfn.XLOOKUP(RIGHT($B349,8),[1]加工記録２!$B:$B,[1]加工記録２!BT:BT,,0)</f>
        <v/>
      </c>
      <c r="I392" s="65" t="s">
        <v>156</v>
      </c>
      <c r="J392" s="66" t="s">
        <v>157</v>
      </c>
      <c r="K392" s="55"/>
      <c r="L392" s="55"/>
      <c r="M392" s="55"/>
      <c r="N392" s="55"/>
    </row>
    <row r="393" spans="1:22" s="56" customFormat="1" ht="18.95" customHeight="1">
      <c r="A393" s="58" t="str">
        <f>IFERROR(_xlfn.XLOOKUP(RIGHT($B349,8)&amp;$J381,[1]加工記録２!B:B&amp;[1]加工記録２!AD:AD,[1]加工記録２!BE:BE,,0),"/")</f>
        <v/>
      </c>
      <c r="B393" s="59" t="str">
        <f>_xlfn.XLOOKUP(RIGHT($B349,8),[1]加工記録２!B:B,[1]加工記録２!BM:BM,,0)</f>
        <v/>
      </c>
      <c r="C393" s="59" t="str">
        <f>_xlfn.XLOOKUP(RIGHT($B349,8),[1]加工記録２!$B:$B,[1]加工記録２!R:R,,0)</f>
        <v/>
      </c>
      <c r="D393" s="60" t="str">
        <f>IFERROR(_xlfn.XLOOKUP(IF(_xlfn.XLOOKUP(RIGHT($B349,8),[1]加工記録２!$B:$B,[1]加工記録２!C:C,,0)="","",_xlfn.XLOOKUP(RIGHT($B349,8),[1]加工記録２!$B:$B,[1]加工記録２!C:C,,0))&amp;C393,[1]温度換算!A:A,[1]温度換算!C:C),"")</f>
        <v/>
      </c>
      <c r="E393" s="61" t="str">
        <f>_xlfn.XLOOKUP(RIGHT($B349,8), [1]加工記録２!$B:$B,[1]加工記録２!Y:Y,,0)</f>
        <v/>
      </c>
      <c r="F393" s="62"/>
      <c r="G393" s="63" t="str">
        <f>IFERROR(SUM(H393*$D383),"")</f>
        <v/>
      </c>
      <c r="H393" s="64" t="str">
        <f>_xlfn.XLOOKUP(RIGHT($B349,8),[1]加工記録２!$B:$B,[1]加工記録２!BU:BU,,0)</f>
        <v/>
      </c>
      <c r="I393" s="67" t="str">
        <f>_xlfn.LET(_xlpm.val,_xlfn.XLOOKUP(RIGHT($B349,8),[1]加工記録２!$B:$B,[1]加工記録２!AQ:AQ,""),IF(OR(_xlpm.val="",_xlpm.val=0),"",_xlpm.val))</f>
        <v/>
      </c>
      <c r="J393" s="68" t="str">
        <f>_xlfn.LET(_xlpm.val,_xlfn.XLOOKUP(RIGHT($B349,8),[1]加工記録２!$B:$B,[1]加工記録２!AR:AR,""),IF(OR(_xlpm.val="",_xlpm.val=0),"",_xlpm.val))</f>
        <v/>
      </c>
      <c r="K393" s="55"/>
      <c r="L393" s="55"/>
      <c r="M393" s="55"/>
      <c r="N393" s="55"/>
    </row>
    <row r="394" spans="1:22" s="56" customFormat="1" ht="18.95" customHeight="1">
      <c r="A394" s="58" t="str">
        <f>IFERROR(_xlfn.XLOOKUP(RIGHT($B349,8)&amp;$J381,[1]加工記録２!B:B&amp;[1]加工記録２!AD:AD,[1]加工記録２!BF:BF,,0),"/")</f>
        <v/>
      </c>
      <c r="B394" s="59" t="str">
        <f>_xlfn.XLOOKUP(RIGHT($B349,8),[1]加工記録２!B:B,[1]加工記録２!BN:BN,,0)</f>
        <v/>
      </c>
      <c r="C394" s="59" t="str">
        <f>_xlfn.XLOOKUP(RIGHT($B349,8),[1]加工記録２!$B:$B,[1]加工記録２!S:S,,0)</f>
        <v/>
      </c>
      <c r="D394" s="60" t="str">
        <f>IFERROR(_xlfn.XLOOKUP(IF(_xlfn.XLOOKUP(RIGHT($B349,8),[1]加工記録２!$B:$B,[1]加工記録２!C:C,,0)="","",_xlfn.XLOOKUP(RIGHT($B349,8),[1]加工記録２!$B:$B,[1]加工記録２!C:C,,0))&amp;C394,[1]温度換算!A:A,[1]温度換算!C:C),"")</f>
        <v/>
      </c>
      <c r="E394" s="61" t="str">
        <f>_xlfn.XLOOKUP(RIGHT($B349,8), [1]加工記録２!$B:$B,[1]加工記録２!Z:Z,,0)</f>
        <v/>
      </c>
      <c r="F394" s="62"/>
      <c r="G394" s="63" t="str">
        <f>IFERROR(SUM(H394*$D383),"")</f>
        <v/>
      </c>
      <c r="H394" s="64" t="str">
        <f>_xlfn.XLOOKUP(RIGHT($B349,8),[1]加工記録２!$B:$B,[1]加工記録２!BV:BV,,0)</f>
        <v/>
      </c>
      <c r="I394" s="69">
        <f>_xlfn.LET(_xlpm.val,_xlfn.XLOOKUP(RIGHT($B349,8),[1]加工記録２!$B:$B,[1]加工記録２!AS:AS,""),IF(OR(_xlpm.val="",_xlpm.val=0),"",_xlpm.val))</f>
        <v>45799</v>
      </c>
      <c r="J394" s="70">
        <f>_xlfn.LET(_xlpm.val,_xlfn.XLOOKUP(RIGHT($B349,8),[1]加工記録２!$B:$B,[1]加工記録２!AT:AT,""),IF(OR(_xlpm.val="",_xlpm.val=0),"",_xlpm.val))</f>
        <v>4</v>
      </c>
      <c r="K394" s="55"/>
      <c r="L394" s="55"/>
      <c r="M394" s="55"/>
      <c r="N394" s="55"/>
    </row>
    <row r="395" spans="1:22" s="56" customFormat="1" ht="18.95" customHeight="1">
      <c r="A395" s="58" t="str">
        <f>IFERROR(_xlfn.XLOOKUP(RIGHT($B349,8)&amp;$J381,[1]加工記録２!B:B&amp;[1]加工記録２!AD:AD,[1]加工記録２!BG:BG,,0),"/")</f>
        <v/>
      </c>
      <c r="B395" s="59" t="str">
        <f>_xlfn.XLOOKUP(RIGHT($B349,8),[1]加工記録２!B:B,[1]加工記録２!BO:BO,,0)</f>
        <v/>
      </c>
      <c r="C395" s="59" t="str">
        <f>_xlfn.XLOOKUP(RIGHT($B349,8),[1]加工記録２!$B:$B,[1]加工記録２!T:T,,0)</f>
        <v/>
      </c>
      <c r="D395" s="60" t="str">
        <f>IFERROR(_xlfn.XLOOKUP(IF(_xlfn.XLOOKUP(RIGHT($B349,8),[1]加工記録２!$B:$B,[1]加工記録２!C:C,,0)="","",_xlfn.XLOOKUP(RIGHT($B349,8),[1]加工記録２!$B:$B,[1]加工記録２!C:C,,0))&amp;C395,[1]温度換算!A:A,[1]温度換算!C:C),"")</f>
        <v/>
      </c>
      <c r="E395" s="61" t="str">
        <f>_xlfn.XLOOKUP(RIGHT($B349,8), [1]加工記録２!$B:$B,[1]加工記録２!AA:AA,,0)</f>
        <v/>
      </c>
      <c r="F395" s="62"/>
      <c r="G395" s="63" t="str">
        <f>IFERROR(SUM(H395*$D383),"")</f>
        <v/>
      </c>
      <c r="H395" s="64" t="str">
        <f>_xlfn.XLOOKUP(RIGHT($B349,8),[1]加工記録２!$B:$B,[1]加工記録２!BW:BW,,0)</f>
        <v/>
      </c>
      <c r="I395" s="69" t="str">
        <f>_xlfn.LET(_xlpm.val,_xlfn.XLOOKUP(RIGHT($B349,8),[1]加工記録２!$B:$B,[1]加工記録２!AU:AU,""),IF(OR(_xlpm.val="",_xlpm.val=0),"",_xlpm.val))</f>
        <v/>
      </c>
      <c r="J395" s="70" t="str">
        <f>_xlfn.LET(_xlpm.val,_xlfn.XLOOKUP(RIGHT($B349,8),[1]加工記録２!$B:$B,[1]加工記録２!AV:AV,""),IF(OR(_xlpm.val="",_xlpm.val=0),"",_xlpm.val))</f>
        <v/>
      </c>
      <c r="K395" s="55"/>
      <c r="L395" s="55"/>
      <c r="M395" s="55"/>
      <c r="N395" s="55"/>
    </row>
    <row r="396" spans="1:22" s="56" customFormat="1" ht="18.95" customHeight="1">
      <c r="A396" s="58" t="str">
        <f>IFERROR(_xlfn.XLOOKUP(RIGHT($B349,8)&amp;$J381,[1]加工記録２!B:B&amp;[1]加工記録２!AD:AD,[1]加工記録２!BH:BH,,0),"/")</f>
        <v/>
      </c>
      <c r="B396" s="59" t="str">
        <f>_xlfn.XLOOKUP(RIGHT($B349,8),[1]加工記録２!B:B,[1]加工記録２!BP:BP,,0)</f>
        <v/>
      </c>
      <c r="C396" s="59" t="str">
        <f>_xlfn.XLOOKUP(RIGHT($B349,8),[1]加工記録２!$B:$B,[1]加工記録２!U:U,,0)</f>
        <v/>
      </c>
      <c r="D396" s="60" t="str">
        <f>IFERROR(_xlfn.XLOOKUP(IF(_xlfn.XLOOKUP(RIGHT($B349,8),[1]加工記録２!$B:$B,[1]加工記録２!C:C,,0)="","",_xlfn.XLOOKUP(RIGHT($B349,8),[1]加工記録２!$B:$B,[1]加工記録２!C:C,,0))&amp;C396,[1]温度換算!A:A,[1]温度換算!C:C),"")</f>
        <v/>
      </c>
      <c r="E396" s="61" t="str">
        <f>_xlfn.XLOOKUP(RIGHT($B349,8), [1]加工記録２!$B:$B,[1]加工記録２!AB:AB,,0)</f>
        <v/>
      </c>
      <c r="F396" s="62"/>
      <c r="G396" s="63" t="str">
        <f>IFERROR(SUM(H396*$D383),"")</f>
        <v/>
      </c>
      <c r="H396" s="64" t="str">
        <f>_xlfn.XLOOKUP(RIGHT($B349,8),[1]加工記録２!$B:$B,[1]加工記録２!BX:BX,,0)</f>
        <v/>
      </c>
      <c r="I396" s="69" t="str">
        <f>_xlfn.LET(_xlpm.val,_xlfn.XLOOKUP(RIGHT($B349,8),[1]加工記録２!$B:$B,[1]加工記録２!AW:AW,""),IF(OR(_xlpm.val="",_xlpm.val=0),"",_xlpm.val))</f>
        <v/>
      </c>
      <c r="J396" s="70" t="str">
        <f>_xlfn.LET(_xlpm.val,_xlfn.XLOOKUP(RIGHT($B349,8),[1]加工記録２!$B:$B,[1]加工記録２!AX:AX,""),IF(OR(_xlpm.val="",_xlpm.val=0),"",_xlpm.val))</f>
        <v/>
      </c>
      <c r="K396" s="55"/>
      <c r="L396" s="55"/>
      <c r="M396" s="55"/>
      <c r="N396" s="55"/>
    </row>
    <row r="397" spans="1:22" s="56" customFormat="1" ht="18.95" customHeight="1" thickBot="1">
      <c r="A397" s="71" t="str">
        <f>IFERROR(_xlfn.XLOOKUP(RIGHT($B349,8)&amp;$J381,[1]加工記録２!B:B&amp;[1]加工記録２!AD:AD,[1]加工記録２!BI:BI,,0),"/")</f>
        <v/>
      </c>
      <c r="B397" s="72" t="str">
        <f>_xlfn.XLOOKUP(RIGHT($B349,8),[1]加工記録２!B:B,[1]加工記録２!BQ:BQ,,0)</f>
        <v/>
      </c>
      <c r="C397" s="72" t="str">
        <f>_xlfn.XLOOKUP(RIGHT($B349,8),[1]加工記録２!$B:$B,[1]加工記録２!V:V,,0)</f>
        <v/>
      </c>
      <c r="D397" s="73" t="str">
        <f>IFERROR(_xlfn.XLOOKUP(IF(_xlfn.XLOOKUP(RIGHT($B349,8),[1]加工記録２!$B:$B,[1]加工記録２!C:C,,0)="","",_xlfn.XLOOKUP(RIGHT($B349,8),[1]加工記録２!$B:$B,[1]加工記録２!C:C,,0))&amp;C397,[1]温度換算!A:A,[1]温度換算!C:C),"")</f>
        <v/>
      </c>
      <c r="E397" s="74" t="str">
        <f>_xlfn.XLOOKUP(RIGHT($B349,8), [1]加工記録２!$B:$B,[1]加工記録２!AC:AC,,0)</f>
        <v/>
      </c>
      <c r="F397" s="75"/>
      <c r="G397" s="76" t="str">
        <f>IFERROR(SUM(H397*$D383),"")</f>
        <v/>
      </c>
      <c r="H397" s="77" t="str">
        <f>_xlfn.XLOOKUP(RIGHT($B349,8),[1]加工記録２!$B:$B,[1]加工記録２!BY:BY,,0)</f>
        <v/>
      </c>
      <c r="I397" s="78" t="str">
        <f>_xlfn.LET(_xlpm.val,_xlfn.XLOOKUP(RIGHT($B349,8),[1]加工記録２!$B:$B,[1]加工記録２!AY:AY,""),IF(OR(_xlpm.val="",_xlpm.val=0),"",_xlpm.val))</f>
        <v/>
      </c>
      <c r="J397" s="79" t="str">
        <f>_xlfn.LET(_xlpm.val,_xlfn.XLOOKUP(RIGHT($B349,8),[1]加工記録２!$B:$B,[1]加工記録２!AZ:AZ,""),IF(OR(_xlpm.val="",_xlpm.val=0),"",_xlpm.val))</f>
        <v/>
      </c>
      <c r="K397" s="55"/>
      <c r="L397" s="55"/>
      <c r="M397" s="55"/>
      <c r="N397" s="55"/>
    </row>
    <row r="398" spans="1:22" ht="13.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22" ht="6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22" ht="14.25" customHeight="1">
      <c r="A400" s="12"/>
      <c r="B400" s="151" t="s">
        <v>0</v>
      </c>
      <c r="C400" s="110"/>
      <c r="D400" s="110"/>
      <c r="E400" s="12"/>
      <c r="F400" s="12"/>
      <c r="G400" s="12"/>
      <c r="H400" s="12"/>
      <c r="I400" s="12"/>
      <c r="J400" s="12"/>
    </row>
    <row r="401" spans="1:10" ht="14.25" customHeight="1">
      <c r="A401" s="13"/>
      <c r="B401" s="110"/>
      <c r="C401" s="110"/>
      <c r="D401" s="110"/>
      <c r="E401" s="13"/>
      <c r="F401" s="13"/>
      <c r="G401" s="13"/>
      <c r="H401" s="13"/>
      <c r="I401" s="13"/>
      <c r="J401" s="13"/>
    </row>
    <row r="402" spans="1:10" ht="14.25" customHeight="1">
      <c r="A402" s="152" t="s">
        <v>1</v>
      </c>
      <c r="B402" s="152" t="s">
        <v>111</v>
      </c>
      <c r="C402" s="152" t="s">
        <v>3</v>
      </c>
      <c r="D402" s="153">
        <v>1966</v>
      </c>
      <c r="E402" s="152" t="s">
        <v>4</v>
      </c>
      <c r="F402" s="154" t="s">
        <v>112</v>
      </c>
      <c r="G402" s="110"/>
      <c r="H402" s="150"/>
      <c r="I402" s="14" t="s">
        <v>6</v>
      </c>
      <c r="J402" s="14" t="s">
        <v>7</v>
      </c>
    </row>
    <row r="403" spans="1:10" ht="14.25" customHeight="1">
      <c r="A403" s="110"/>
      <c r="B403" s="110"/>
      <c r="C403" s="110"/>
      <c r="D403" s="110"/>
      <c r="E403" s="110"/>
      <c r="F403" s="110"/>
      <c r="G403" s="110"/>
      <c r="H403" s="150"/>
      <c r="I403" s="155"/>
      <c r="J403" s="155"/>
    </row>
    <row r="404" spans="1:10" ht="17.45" customHeight="1">
      <c r="A404" s="136" t="s">
        <v>8</v>
      </c>
      <c r="B404" s="136" t="s">
        <v>113</v>
      </c>
      <c r="E404" s="136" t="s">
        <v>10</v>
      </c>
      <c r="F404" s="158" t="s">
        <v>11</v>
      </c>
      <c r="G404" s="110"/>
      <c r="H404" s="150"/>
      <c r="I404" s="156"/>
      <c r="J404" s="156"/>
    </row>
    <row r="405" spans="1:10" ht="17.45" customHeight="1">
      <c r="A405" s="110"/>
      <c r="B405" s="110"/>
      <c r="E405" s="110"/>
      <c r="F405" s="110"/>
      <c r="G405" s="110"/>
      <c r="H405" s="150"/>
      <c r="I405" s="15"/>
      <c r="J405" s="15"/>
    </row>
    <row r="406" spans="1:10" ht="17.45" customHeight="1">
      <c r="A406" s="136" t="s">
        <v>12</v>
      </c>
      <c r="B406" s="136" t="s">
        <v>114</v>
      </c>
      <c r="E406" s="2" t="s">
        <v>14</v>
      </c>
      <c r="F406" s="137" t="s">
        <v>15</v>
      </c>
      <c r="G406" s="110"/>
      <c r="H406" s="22"/>
    </row>
    <row r="407" spans="1:10" ht="17.45" customHeight="1">
      <c r="A407" s="110"/>
      <c r="B407" s="110"/>
      <c r="E407" s="2" t="s">
        <v>16</v>
      </c>
      <c r="F407" s="22" t="s">
        <v>17</v>
      </c>
      <c r="G407" s="22"/>
      <c r="H407" s="22"/>
    </row>
    <row r="408" spans="1:10" ht="17.45" customHeight="1">
      <c r="A408" s="2" t="s">
        <v>18</v>
      </c>
      <c r="B408" s="4">
        <v>45817</v>
      </c>
      <c r="E408" s="2" t="s">
        <v>19</v>
      </c>
      <c r="F408" s="138">
        <v>16</v>
      </c>
      <c r="G408" s="110"/>
      <c r="H408" s="22"/>
    </row>
    <row r="409" spans="1:10" ht="17.45" customHeight="1">
      <c r="A409" s="2" t="s">
        <v>20</v>
      </c>
      <c r="B409" s="4">
        <v>45817</v>
      </c>
      <c r="E409" s="2" t="s">
        <v>21</v>
      </c>
      <c r="F409" s="22">
        <v>12</v>
      </c>
      <c r="G409" s="139" t="s">
        <v>22</v>
      </c>
      <c r="H409" s="141">
        <v>192</v>
      </c>
      <c r="I409" s="142"/>
      <c r="J409" s="143"/>
    </row>
    <row r="410" spans="1:10" ht="17.45" customHeight="1">
      <c r="A410" s="20"/>
      <c r="B410" s="21"/>
      <c r="C410" s="21"/>
      <c r="D410" s="21"/>
      <c r="E410" s="2" t="s">
        <v>23</v>
      </c>
      <c r="F410" s="22" t="s">
        <v>24</v>
      </c>
      <c r="G410" s="140"/>
      <c r="H410" s="140"/>
      <c r="I410" s="130"/>
      <c r="J410" s="144"/>
    </row>
    <row r="411" spans="1:10" ht="13.5" customHeight="1">
      <c r="A411" s="145" t="s">
        <v>115</v>
      </c>
      <c r="B411" s="110"/>
      <c r="C411" s="110"/>
      <c r="D411" s="21"/>
      <c r="F411" s="3"/>
      <c r="G411" s="146" t="s">
        <v>26</v>
      </c>
      <c r="H411" s="148" t="s">
        <v>27</v>
      </c>
      <c r="I411" s="149" t="s">
        <v>28</v>
      </c>
      <c r="J411" s="150"/>
    </row>
    <row r="412" spans="1:10" ht="13.5" customHeight="1">
      <c r="A412" s="110"/>
      <c r="B412" s="110"/>
      <c r="C412" s="110"/>
      <c r="D412" s="21"/>
      <c r="F412" s="3"/>
      <c r="G412" s="147"/>
      <c r="H412" s="147"/>
      <c r="I412" s="130"/>
      <c r="J412" s="144"/>
    </row>
    <row r="413" spans="1:10" ht="13.5" customHeight="1">
      <c r="A413" s="1" t="s">
        <v>29</v>
      </c>
    </row>
    <row r="414" spans="1:10" ht="63" customHeight="1">
      <c r="A414" s="131"/>
      <c r="B414" s="132"/>
      <c r="C414" s="132"/>
      <c r="D414" s="132"/>
      <c r="E414" s="132"/>
      <c r="F414" s="132"/>
      <c r="G414" s="132"/>
      <c r="H414" s="132"/>
      <c r="I414" s="132"/>
      <c r="J414" s="132"/>
    </row>
    <row r="415" spans="1:10" ht="18.75">
      <c r="A415" s="24" t="s">
        <v>30</v>
      </c>
      <c r="B415" s="17" t="s">
        <v>31</v>
      </c>
      <c r="C415" s="133" t="s">
        <v>32</v>
      </c>
      <c r="D415" s="134"/>
      <c r="E415" s="17" t="s">
        <v>33</v>
      </c>
      <c r="F415" s="133" t="s">
        <v>34</v>
      </c>
      <c r="G415" s="134"/>
      <c r="H415" s="134"/>
      <c r="I415" s="135" t="s">
        <v>35</v>
      </c>
      <c r="J415" s="134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3">
        <v>1</v>
      </c>
      <c r="B417" s="25" t="s">
        <v>36</v>
      </c>
      <c r="C417" s="111" t="s">
        <v>37</v>
      </c>
      <c r="D417" s="110"/>
      <c r="E417" s="25" t="s">
        <v>40</v>
      </c>
      <c r="F417" s="111" t="s">
        <v>41</v>
      </c>
      <c r="G417" s="110"/>
      <c r="H417" s="110"/>
      <c r="I417" s="126"/>
      <c r="J417" s="110"/>
    </row>
    <row r="418" spans="1:10" ht="16.5" customHeight="1">
      <c r="A418" s="23">
        <v>1</v>
      </c>
      <c r="B418" s="26" t="s">
        <v>36</v>
      </c>
      <c r="C418" s="111" t="s">
        <v>37</v>
      </c>
      <c r="D418" s="110"/>
      <c r="E418" s="25" t="s">
        <v>42</v>
      </c>
      <c r="F418" s="111" t="s">
        <v>43</v>
      </c>
      <c r="G418" s="110"/>
      <c r="H418" s="110"/>
      <c r="I418" s="126"/>
      <c r="J418" s="110"/>
    </row>
    <row r="419" spans="1:10" ht="16.5" customHeight="1">
      <c r="A419" s="23"/>
      <c r="B419" s="26"/>
      <c r="C419" s="111"/>
      <c r="D419" s="110"/>
      <c r="E419" s="25"/>
      <c r="F419" s="111"/>
      <c r="G419" s="110"/>
      <c r="H419" s="110"/>
      <c r="I419" s="126"/>
      <c r="J419" s="110"/>
    </row>
    <row r="420" spans="1:10" ht="16.5" customHeight="1">
      <c r="A420" s="23"/>
      <c r="B420" s="26"/>
      <c r="C420" s="111"/>
      <c r="D420" s="110"/>
      <c r="E420" s="25"/>
      <c r="F420" s="111"/>
      <c r="G420" s="110"/>
      <c r="H420" s="110"/>
      <c r="I420" s="126"/>
      <c r="J420" s="110"/>
    </row>
    <row r="421" spans="1:10" ht="16.5" customHeight="1">
      <c r="A421" s="23"/>
      <c r="B421" s="26"/>
      <c r="C421" s="111"/>
      <c r="D421" s="110"/>
      <c r="E421" s="25"/>
      <c r="F421" s="111"/>
      <c r="G421" s="110"/>
      <c r="H421" s="110"/>
      <c r="I421" s="126"/>
      <c r="J421" s="110"/>
    </row>
    <row r="422" spans="1:10" ht="16.5" customHeight="1">
      <c r="A422" s="23"/>
      <c r="B422" s="26"/>
      <c r="C422" s="111"/>
      <c r="D422" s="110"/>
      <c r="E422" s="25"/>
      <c r="F422" s="111"/>
      <c r="G422" s="110"/>
      <c r="H422" s="110"/>
      <c r="I422" s="126"/>
      <c r="J422" s="110"/>
    </row>
    <row r="423" spans="1:10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8.75">
      <c r="A424" s="127" t="s">
        <v>44</v>
      </c>
      <c r="B424" s="128"/>
      <c r="C424" s="127" t="s">
        <v>45</v>
      </c>
      <c r="D424" s="128"/>
      <c r="E424" s="128"/>
      <c r="F424" s="18" t="s">
        <v>46</v>
      </c>
      <c r="G424" s="127" t="s">
        <v>47</v>
      </c>
      <c r="H424" s="128"/>
      <c r="I424" s="127" t="s">
        <v>48</v>
      </c>
      <c r="J424" s="128"/>
    </row>
    <row r="425" spans="1:10" ht="14.25" customHeight="1">
      <c r="A425" s="8"/>
      <c r="B425" s="19"/>
      <c r="C425" s="129" t="s">
        <v>49</v>
      </c>
      <c r="D425" s="130"/>
      <c r="E425" s="19"/>
      <c r="F425" s="129" t="s">
        <v>29</v>
      </c>
      <c r="G425" s="130"/>
      <c r="H425" s="130"/>
      <c r="I425" s="130"/>
      <c r="J425" s="130"/>
    </row>
    <row r="426" spans="1:10">
      <c r="A426" s="9"/>
      <c r="C426" s="7"/>
      <c r="D426" s="7"/>
      <c r="E426" s="7"/>
    </row>
    <row r="427" spans="1:10" ht="14.25" customHeight="1">
      <c r="A427" s="111" t="s">
        <v>116</v>
      </c>
      <c r="B427" s="110"/>
      <c r="C427" s="111" t="s">
        <v>117</v>
      </c>
      <c r="D427" s="110"/>
      <c r="E427" s="110"/>
      <c r="F427" s="27" t="s">
        <v>52</v>
      </c>
      <c r="G427" s="125">
        <v>192</v>
      </c>
      <c r="H427" s="110"/>
      <c r="I427" s="125">
        <v>12</v>
      </c>
      <c r="J427" s="110"/>
    </row>
    <row r="428" spans="1:10" ht="24.95" customHeight="1">
      <c r="A428" s="109" t="s">
        <v>118</v>
      </c>
      <c r="B428" s="110"/>
      <c r="C428" s="111" t="s">
        <v>11</v>
      </c>
      <c r="D428" s="110"/>
      <c r="E428" s="110"/>
      <c r="F428" s="111"/>
      <c r="G428" s="110"/>
      <c r="H428" s="110"/>
      <c r="I428" s="110"/>
      <c r="J428" s="110"/>
    </row>
    <row r="429" spans="1:10" ht="14.25" customHeight="1">
      <c r="A429" s="111" t="s">
        <v>77</v>
      </c>
      <c r="B429" s="110"/>
      <c r="C429" s="111" t="s">
        <v>78</v>
      </c>
      <c r="D429" s="110"/>
      <c r="E429" s="110"/>
      <c r="F429" s="27" t="s">
        <v>27</v>
      </c>
      <c r="G429" s="125">
        <v>12.096</v>
      </c>
      <c r="H429" s="110"/>
      <c r="I429" s="125">
        <v>0.75600000000000001</v>
      </c>
      <c r="J429" s="110"/>
    </row>
    <row r="430" spans="1:10" ht="24.95" customHeight="1">
      <c r="A430" s="109" t="s">
        <v>79</v>
      </c>
      <c r="B430" s="110"/>
      <c r="C430" s="111"/>
      <c r="D430" s="110"/>
      <c r="E430" s="110"/>
      <c r="F430" s="111"/>
      <c r="G430" s="110"/>
      <c r="H430" s="110"/>
      <c r="I430" s="110"/>
      <c r="J430" s="110"/>
    </row>
    <row r="431" spans="1:10" ht="14.25" customHeight="1">
      <c r="A431" s="111" t="s">
        <v>65</v>
      </c>
      <c r="B431" s="110"/>
      <c r="C431" s="111" t="s">
        <v>66</v>
      </c>
      <c r="D431" s="110"/>
      <c r="E431" s="110"/>
      <c r="F431" s="27"/>
      <c r="G431" s="125">
        <v>1.1519999999999999</v>
      </c>
      <c r="H431" s="110"/>
      <c r="I431" s="125">
        <v>7.1999999999999995E-2</v>
      </c>
      <c r="J431" s="110"/>
    </row>
    <row r="432" spans="1:10" ht="24.95" customHeight="1">
      <c r="A432" s="109" t="s">
        <v>67</v>
      </c>
      <c r="B432" s="110"/>
      <c r="C432" s="111" t="s">
        <v>68</v>
      </c>
      <c r="D432" s="110"/>
      <c r="E432" s="110"/>
      <c r="F432" s="111"/>
      <c r="G432" s="110"/>
      <c r="H432" s="110"/>
      <c r="I432" s="110"/>
      <c r="J432" s="110"/>
    </row>
    <row r="433" spans="1:22" ht="14.25" customHeight="1">
      <c r="A433" s="111"/>
      <c r="B433" s="110"/>
      <c r="C433" s="111"/>
      <c r="D433" s="110"/>
      <c r="E433" s="110"/>
      <c r="F433" s="27"/>
      <c r="G433" s="125"/>
      <c r="H433" s="110"/>
      <c r="I433" s="125"/>
      <c r="J433" s="110"/>
    </row>
    <row r="434" spans="1:22" ht="24.95" customHeight="1">
      <c r="A434" s="109"/>
      <c r="B434" s="110"/>
      <c r="C434" s="111"/>
      <c r="D434" s="110"/>
      <c r="E434" s="110"/>
      <c r="F434" s="111"/>
      <c r="G434" s="110"/>
      <c r="H434" s="110"/>
      <c r="I434" s="110"/>
      <c r="J434" s="110"/>
    </row>
    <row r="435" spans="1:22" ht="14.25" customHeight="1">
      <c r="A435" s="111"/>
      <c r="B435" s="110"/>
      <c r="C435" s="111"/>
      <c r="D435" s="110"/>
      <c r="E435" s="110"/>
      <c r="F435" s="27"/>
      <c r="G435" s="125"/>
      <c r="H435" s="110"/>
      <c r="I435" s="125"/>
      <c r="J435" s="110"/>
    </row>
    <row r="436" spans="1:22" ht="24.95" customHeight="1">
      <c r="A436" s="109"/>
      <c r="B436" s="110"/>
      <c r="C436" s="111"/>
      <c r="D436" s="110"/>
      <c r="E436" s="110"/>
      <c r="F436" s="111"/>
      <c r="G436" s="110"/>
      <c r="H436" s="110"/>
      <c r="I436" s="110"/>
      <c r="J436" s="110"/>
    </row>
    <row r="437" spans="1:22" s="5" customFormat="1" ht="18" customHeight="1">
      <c r="A437" s="112" t="s">
        <v>119</v>
      </c>
      <c r="B437" s="113"/>
      <c r="C437" s="113"/>
      <c r="D437" s="113"/>
      <c r="E437" s="28" t="s">
        <v>120</v>
      </c>
      <c r="F437" s="29"/>
      <c r="G437" s="114" t="s">
        <v>121</v>
      </c>
      <c r="H437" s="115"/>
      <c r="I437" s="30" t="s">
        <v>122</v>
      </c>
      <c r="J437" s="31" t="s">
        <v>123</v>
      </c>
    </row>
    <row r="438" spans="1:22" s="7" customFormat="1" ht="18" customHeight="1">
      <c r="A438" s="116" t="str">
        <f>F402</f>
        <v>463301-2070灯具ｶﾊﾞｰPC IN</v>
      </c>
      <c r="B438" s="117"/>
      <c r="C438" s="117"/>
      <c r="D438" s="117"/>
      <c r="E438" s="120" t="str">
        <f>IFERROR(IF(OR(J438="", F408="", F408=0, J438/F408=0), C429&amp;" 　 "&amp;""&amp;"      枚", C429&amp;" 　 "&amp;J438/F408&amp;"      枚"), C429&amp;" 　 "&amp;""&amp;"      枚")</f>
        <v>灯具-2 　 10      枚</v>
      </c>
      <c r="F438" s="121"/>
      <c r="G438" s="32" t="s">
        <v>124</v>
      </c>
      <c r="H438" s="33">
        <f>_xlfn.XLOOKUP(RIGHT($B406,8), [1]加工記録２!$B:$B,[1]加工記録２!AH:AH)</f>
        <v>3</v>
      </c>
      <c r="I438" s="122">
        <f>MAX(I450:I454)</f>
        <v>45806</v>
      </c>
      <c r="J438" s="89">
        <f>_xlfn.XLOOKUP(RIGHT($B406,8), [1]加工記録２!$B:$B,[1]加工記録２!AD:AD,,0)</f>
        <v>160</v>
      </c>
    </row>
    <row r="439" spans="1:22" s="5" customFormat="1" ht="18" customHeight="1">
      <c r="A439" s="118"/>
      <c r="B439" s="119"/>
      <c r="C439" s="119"/>
      <c r="D439" s="119"/>
      <c r="E439" s="124" t="s">
        <v>125</v>
      </c>
      <c r="F439" s="124"/>
      <c r="G439" s="32" t="s">
        <v>126</v>
      </c>
      <c r="H439" s="33">
        <f>_xlfn.XLOOKUP(RIGHT($B406,8), [1]加工記録２!$B:$B,[1]加工記録２!AI:AI,,0)</f>
        <v>24</v>
      </c>
      <c r="I439" s="123"/>
      <c r="J439" s="89"/>
      <c r="K439" s="34"/>
    </row>
    <row r="440" spans="1:22" s="7" customFormat="1" ht="18" customHeight="1">
      <c r="A440" s="80" t="s">
        <v>127</v>
      </c>
      <c r="B440" s="92" t="str">
        <f>_xlfn.XLOOKUP(A411,[1]!テーブル5[品目コード],[1]!テーブル5[温度換算],,2)</f>
        <v>-</v>
      </c>
      <c r="C440" s="94" t="s">
        <v>128</v>
      </c>
      <c r="D440" s="96">
        <f>_xlfn.XLOOKUP(A411,[1]!テーブル5[品目コード],[1]!テーブル5[取数],,2)</f>
        <v>1</v>
      </c>
      <c r="E440" s="98" t="s">
        <v>129</v>
      </c>
      <c r="F440" s="98"/>
      <c r="G440" s="32" t="s">
        <v>130</v>
      </c>
      <c r="H440" s="33">
        <f>_xlfn.XLOOKUP(RIGHT($B406,8), [1]加工記録２!$B:$B,[1]加工記録２!AJ:AJ,,0)</f>
        <v>2</v>
      </c>
      <c r="I440" s="30" t="s">
        <v>131</v>
      </c>
      <c r="J440" s="30" t="s">
        <v>132</v>
      </c>
      <c r="K440" s="35"/>
    </row>
    <row r="441" spans="1:22" s="5" customFormat="1" ht="18" customHeight="1">
      <c r="A441" s="80"/>
      <c r="B441" s="93"/>
      <c r="C441" s="95"/>
      <c r="D441" s="97"/>
      <c r="E441" s="99" t="str">
        <f>_xlfn.XLOOKUP(A411,[1]!テーブル5[品目コード],[1]!テーブル5[備考１],,2)</f>
        <v>梱包箱:1996</v>
      </c>
      <c r="F441" s="99"/>
      <c r="G441" s="32" t="s">
        <v>133</v>
      </c>
      <c r="H441" s="33">
        <f>_xlfn.XLOOKUP(RIGHT($B406,8), [1]加工記録２!$B:$B,[1]加工記録２!AK:AK,,0)</f>
        <v>0</v>
      </c>
      <c r="I441" s="100">
        <f>_xlfn.XLOOKUP(RIGHT($B406,8), [1]加工記録２!$B:$B,[1]加工記録２!CA:CA,,0)</f>
        <v>0</v>
      </c>
      <c r="J441" s="100" t="str">
        <f>_xlfn.XLOOKUP(RIGHT($B406,8), [1]加工記録２!$B:$B,[1]加工記録２!CB:CB,,0)</f>
        <v>高森</v>
      </c>
      <c r="K441" s="34"/>
    </row>
    <row r="442" spans="1:22" s="7" customFormat="1" ht="18" customHeight="1">
      <c r="A442" s="102" t="s">
        <v>134</v>
      </c>
      <c r="B442" s="103">
        <f>D402</f>
        <v>1966</v>
      </c>
      <c r="C442" s="105" t="s">
        <v>135</v>
      </c>
      <c r="D442" s="86" t="str">
        <f>_xlfn.XLOOKUP(A411,[1]!テーブル5[品目コード],[1]!テーブル5[上限公差],,2)</f>
        <v>+2</v>
      </c>
      <c r="E442" s="99" t="str">
        <f>_xlfn.XLOOKUP(A411,[1]!テーブル5[品目コード],[1]!テーブル5[備考２],,2)</f>
        <v>クラフト紙：1996型</v>
      </c>
      <c r="F442" s="99"/>
      <c r="G442" s="32" t="s">
        <v>136</v>
      </c>
      <c r="H442" s="33">
        <f>_xlfn.XLOOKUP(RIGHT($B406,8), [1]加工記録２!$B:$B,[1]加工記録２!AL:AL,,0)</f>
        <v>0</v>
      </c>
      <c r="I442" s="101"/>
      <c r="J442" s="101"/>
      <c r="K442" s="35"/>
    </row>
    <row r="443" spans="1:22" s="5" customFormat="1" ht="18" customHeight="1">
      <c r="A443" s="102"/>
      <c r="B443" s="104"/>
      <c r="C443" s="106"/>
      <c r="D443" s="107"/>
      <c r="E443" s="108" t="s">
        <v>137</v>
      </c>
      <c r="F443" s="108"/>
      <c r="G443" s="32" t="s">
        <v>138</v>
      </c>
      <c r="H443" s="33">
        <f>_xlfn.XLOOKUP(RIGHT($B406,8), [1]加工記録２!$B:$B,[1]加工記録２!AM:AM,,0)</f>
        <v>0</v>
      </c>
      <c r="I443" s="36" t="s">
        <v>139</v>
      </c>
      <c r="J443" s="36" t="s">
        <v>140</v>
      </c>
      <c r="K443" s="34"/>
    </row>
    <row r="444" spans="1:22" s="7" customFormat="1" ht="18" customHeight="1">
      <c r="A444" s="80" t="s">
        <v>141</v>
      </c>
      <c r="B444" s="82" t="str">
        <f>_xlfn.XLOOKUP(A411,[1]!テーブル5[品目コード],[1]!テーブル5[切断寸法],,2)</f>
        <v>換算表確認</v>
      </c>
      <c r="C444" s="84" t="s">
        <v>142</v>
      </c>
      <c r="D444" s="86">
        <f>_xlfn.XLOOKUP(A411,[1]!テーブル5[品目コード],[1]!テーブル5[下限公差],,2)</f>
        <v>-2</v>
      </c>
      <c r="E444" s="88" t="str">
        <f>_xlfn.XLOOKUP(A411,[1]!テーブル5[品目コード],[1]!テーブル5[梱包方法],,2)</f>
        <v>ラベル2枚　長手有　鉢巻１</v>
      </c>
      <c r="F444" s="88"/>
      <c r="G444" s="32" t="s">
        <v>143</v>
      </c>
      <c r="H444" s="33">
        <f>_xlfn.XLOOKUP(RIGHT($B406,8), [1]加工記録２!$B:$B,[1]加工記録２!AN:AN,,0)</f>
        <v>0</v>
      </c>
      <c r="I444" s="89">
        <f>_xlfn.XLOOKUP(RIGHT($B406,8), [1]加工記録２!$B:$B,[1]加工記録２!AF:AF,,0)</f>
        <v>29</v>
      </c>
      <c r="J444" s="89">
        <f>_xlfn.XLOOKUP(RIGHT($B406,8), [1]加工記録２!$B:$B,[1]加工記録２!AE:AE,,0)</f>
        <v>29</v>
      </c>
      <c r="K444" s="35"/>
    </row>
    <row r="445" spans="1:22" s="5" customFormat="1" ht="18" customHeight="1" thickBot="1">
      <c r="A445" s="81"/>
      <c r="B445" s="83"/>
      <c r="C445" s="85"/>
      <c r="D445" s="87"/>
      <c r="E445" s="90"/>
      <c r="F445" s="90"/>
      <c r="G445" s="37" t="s">
        <v>144</v>
      </c>
      <c r="H445" s="38">
        <f>SUM(H438:H444)</f>
        <v>29</v>
      </c>
      <c r="I445" s="89"/>
      <c r="J445" s="89"/>
    </row>
    <row r="446" spans="1:22" s="47" customFormat="1" ht="18.95" customHeight="1">
      <c r="A446" s="39" t="s">
        <v>145</v>
      </c>
      <c r="B446" s="40" t="s">
        <v>146</v>
      </c>
      <c r="C446" s="41" t="s">
        <v>147</v>
      </c>
      <c r="D446" s="41" t="s">
        <v>148</v>
      </c>
      <c r="E446" s="42" t="s">
        <v>149</v>
      </c>
      <c r="F446" s="43" t="s">
        <v>150</v>
      </c>
      <c r="G446" s="42" t="s">
        <v>151</v>
      </c>
      <c r="H446" s="44" t="s">
        <v>152</v>
      </c>
      <c r="I446" s="45" t="s">
        <v>153</v>
      </c>
      <c r="J446" s="36" t="s">
        <v>154</v>
      </c>
      <c r="K446" s="46"/>
      <c r="L446" s="46"/>
      <c r="M446" s="46"/>
      <c r="N446" s="46"/>
    </row>
    <row r="447" spans="1:22" s="56" customFormat="1" ht="18.95" customHeight="1">
      <c r="A447" s="48" t="str">
        <f>IFERROR(_xlfn.XLOOKUP(RIGHT($B406,8)&amp;$J438,[1]加工記録２!B:B&amp;[1]加工記録２!AD:AD,[1]加工記録２!BB:BB,,0),"/")</f>
        <v/>
      </c>
      <c r="B447" s="49" t="str">
        <f>_xlfn.XLOOKUP(RIGHT($B406,8),[1]加工記録２!$B:$B,[1]加工記録２!BJ:BJ,,0)</f>
        <v/>
      </c>
      <c r="C447" s="50"/>
      <c r="D447" s="51"/>
      <c r="E447" s="50"/>
      <c r="F447" s="52" t="s">
        <v>155</v>
      </c>
      <c r="G447" s="53" t="str">
        <f>IFERROR(SUM(H447*$D440),"")</f>
        <v/>
      </c>
      <c r="H447" s="54" t="str">
        <f>_xlfn.XLOOKUP(RIGHT($B406,8),[1]加工記録２!$B:$B,[1]加工記録２!BR:BR,,0)</f>
        <v/>
      </c>
      <c r="I447" s="91">
        <f>_xlfn.XLOOKUP(RIGHT($B406,8), [1]加工記録２!$B:$B,[1]加工記録２!AO:AO,,0)</f>
        <v>0</v>
      </c>
      <c r="J447" s="89">
        <f>_xlfn.XLOOKUP(RIGHT($B406,8), [1]加工記録２!$B:$B,[1]加工記録２!AG:AG,,0)</f>
        <v>189</v>
      </c>
      <c r="K447" s="55"/>
      <c r="L447" s="55"/>
      <c r="M447" s="55"/>
      <c r="N447" s="55"/>
      <c r="V447" s="57"/>
    </row>
    <row r="448" spans="1:22" s="56" customFormat="1" ht="18.95" customHeight="1" thickBot="1">
      <c r="A448" s="58">
        <f>IFERROR(_xlfn.XLOOKUP(RIGHT($B406,8)&amp;$J438,[1]加工記録２!B:B&amp;[1]加工記録２!AD:AD,[1]加工記録２!BC:BC,,0),"/")</f>
        <v>45805</v>
      </c>
      <c r="B448" s="59" t="str">
        <f>_xlfn.XLOOKUP(RIGHT($B406,8),[1]加工記録２!$B:$B,[1]加工記録２!BK:BK,,0)</f>
        <v>25E20-01</v>
      </c>
      <c r="C448" s="59" t="str">
        <f>_xlfn.XLOOKUP(RIGHT($B406,8),[1]加工記録２!$B:$B,[1]加工記録２!P:P,,0)</f>
        <v/>
      </c>
      <c r="D448" s="60" t="str">
        <f>IFERROR(_xlfn.XLOOKUP(IF(_xlfn.XLOOKUP(RIGHT($B406,8),[1]加工記録２!$B:$B,[1]加工記録２!C:C,,0)="","",_xlfn.XLOOKUP(RIGHT($B406,8),[1]加工記録２!$B:$B,[1]加工記録２!C:C,,0))&amp;C448,[1]温度換算!A:A,[1]温度換算!C:C),"")</f>
        <v/>
      </c>
      <c r="E448" s="61" t="str">
        <f>_xlfn.XLOOKUP(RIGHT($B406,8), [1]加工記録２!$B:$B,[1]加工記録２!W:W,,0)</f>
        <v/>
      </c>
      <c r="F448" s="62"/>
      <c r="G448" s="63">
        <f>IFERROR(SUM(H448*$D440),"")</f>
        <v>189</v>
      </c>
      <c r="H448" s="64">
        <f>_xlfn.XLOOKUP(RIGHT($B406,8),[1]加工記録２!$B:$B,[1]加工記録２!BS:BS,,0)</f>
        <v>189</v>
      </c>
      <c r="I448" s="91"/>
      <c r="J448" s="89"/>
      <c r="K448" s="55"/>
      <c r="L448" s="55"/>
      <c r="M448" s="55"/>
      <c r="N448" s="55"/>
    </row>
    <row r="449" spans="1:14" s="56" customFormat="1" ht="18.95" customHeight="1" thickBot="1">
      <c r="A449" s="58" t="str">
        <f>IFERROR(_xlfn.XLOOKUP(RIGHT($B406,8)&amp;$J438,[1]加工記録２!B:B&amp;[1]加工記録２!AD:AD,[1]加工記録２!BD:BD,,0),"/")</f>
        <v/>
      </c>
      <c r="B449" s="59" t="str">
        <f>_xlfn.XLOOKUP(RIGHT($B406,8),[1]加工記録２!B:B,[1]加工記録２!BL:BL,,0)</f>
        <v/>
      </c>
      <c r="C449" s="59" t="str">
        <f>_xlfn.XLOOKUP(RIGHT($B406,8),[1]加工記録２!$B:$B,[1]加工記録２!Q:Q,,0)</f>
        <v/>
      </c>
      <c r="D449" s="60" t="str">
        <f>IFERROR(_xlfn.XLOOKUP(IF(_xlfn.XLOOKUP(RIGHT($B406,8),[1]加工記録２!$B:$B,[1]加工記録２!C:C,,0)="","",_xlfn.XLOOKUP(RIGHT($B406,8),[1]加工記録２!$B:$B,[1]加工記録２!C:C,,0))&amp;C449,[1]温度換算!A:A,[1]温度換算!C:C),"")</f>
        <v/>
      </c>
      <c r="E449" s="61" t="str">
        <f>_xlfn.XLOOKUP(RIGHT($B406,8), [1]加工記録２!$B:$B,[1]加工記録２!X:X,,0)</f>
        <v/>
      </c>
      <c r="F449" s="62"/>
      <c r="G449" s="63" t="str">
        <f>IFERROR(SUM(H449*$D440),"")</f>
        <v/>
      </c>
      <c r="H449" s="64" t="str">
        <f>_xlfn.XLOOKUP(RIGHT($B406,8),[1]加工記録２!$B:$B,[1]加工記録２!BT:BT,,0)</f>
        <v/>
      </c>
      <c r="I449" s="65" t="s">
        <v>156</v>
      </c>
      <c r="J449" s="66" t="s">
        <v>157</v>
      </c>
      <c r="K449" s="55"/>
      <c r="L449" s="55"/>
      <c r="M449" s="55"/>
      <c r="N449" s="55"/>
    </row>
    <row r="450" spans="1:14" s="56" customFormat="1" ht="18.95" customHeight="1">
      <c r="A450" s="58" t="str">
        <f>IFERROR(_xlfn.XLOOKUP(RIGHT($B406,8)&amp;$J438,[1]加工記録２!B:B&amp;[1]加工記録２!AD:AD,[1]加工記録２!BE:BE,,0),"/")</f>
        <v/>
      </c>
      <c r="B450" s="59" t="str">
        <f>_xlfn.XLOOKUP(RIGHT($B406,8),[1]加工記録２!B:B,[1]加工記録２!BM:BM,,0)</f>
        <v/>
      </c>
      <c r="C450" s="59" t="str">
        <f>_xlfn.XLOOKUP(RIGHT($B406,8),[1]加工記録２!$B:$B,[1]加工記録２!R:R,,0)</f>
        <v/>
      </c>
      <c r="D450" s="60" t="str">
        <f>IFERROR(_xlfn.XLOOKUP(IF(_xlfn.XLOOKUP(RIGHT($B406,8),[1]加工記録２!$B:$B,[1]加工記録２!C:C,,0)="","",_xlfn.XLOOKUP(RIGHT($B406,8),[1]加工記録２!$B:$B,[1]加工記録２!C:C,,0))&amp;C450,[1]温度換算!A:A,[1]温度換算!C:C),"")</f>
        <v/>
      </c>
      <c r="E450" s="61" t="str">
        <f>_xlfn.XLOOKUP(RIGHT($B406,8), [1]加工記録２!$B:$B,[1]加工記録２!Y:Y,,0)</f>
        <v/>
      </c>
      <c r="F450" s="62"/>
      <c r="G450" s="63" t="str">
        <f>IFERROR(SUM(H450*$D440),"")</f>
        <v/>
      </c>
      <c r="H450" s="64" t="str">
        <f>_xlfn.XLOOKUP(RIGHT($B406,8),[1]加工記録２!$B:$B,[1]加工記録２!BU:BU,,0)</f>
        <v/>
      </c>
      <c r="I450" s="67">
        <f>_xlfn.LET(_xlpm.val,_xlfn.XLOOKUP(RIGHT($B406,8),[1]加工記録２!$B:$B,[1]加工記録２!AQ:AQ,""),IF(OR(_xlpm.val="",_xlpm.val=0),"",_xlpm.val))</f>
        <v>45805</v>
      </c>
      <c r="J450" s="68">
        <f>_xlfn.LET(_xlpm.val,_xlfn.XLOOKUP(RIGHT($B406,8),[1]加工記録２!$B:$B,[1]加工記録２!AR:AR,""),IF(OR(_xlpm.val="",_xlpm.val=0),"",_xlpm.val))</f>
        <v>2</v>
      </c>
      <c r="K450" s="55"/>
      <c r="L450" s="55"/>
      <c r="M450" s="55"/>
      <c r="N450" s="55"/>
    </row>
    <row r="451" spans="1:14" s="56" customFormat="1" ht="18.95" customHeight="1">
      <c r="A451" s="58" t="str">
        <f>IFERROR(_xlfn.XLOOKUP(RIGHT($B406,8)&amp;$J438,[1]加工記録２!B:B&amp;[1]加工記録２!AD:AD,[1]加工記録２!BF:BF,,0),"/")</f>
        <v/>
      </c>
      <c r="B451" s="59" t="str">
        <f>_xlfn.XLOOKUP(RIGHT($B406,8),[1]加工記録２!B:B,[1]加工記録２!BN:BN,,0)</f>
        <v/>
      </c>
      <c r="C451" s="59" t="str">
        <f>_xlfn.XLOOKUP(RIGHT($B406,8),[1]加工記録２!$B:$B,[1]加工記録２!S:S,,0)</f>
        <v/>
      </c>
      <c r="D451" s="60" t="str">
        <f>IFERROR(_xlfn.XLOOKUP(IF(_xlfn.XLOOKUP(RIGHT($B406,8),[1]加工記録２!$B:$B,[1]加工記録２!C:C,,0)="","",_xlfn.XLOOKUP(RIGHT($B406,8),[1]加工記録２!$B:$B,[1]加工記録２!C:C,,0))&amp;C451,[1]温度換算!A:A,[1]温度換算!C:C),"")</f>
        <v/>
      </c>
      <c r="E451" s="61" t="str">
        <f>_xlfn.XLOOKUP(RIGHT($B406,8), [1]加工記録２!$B:$B,[1]加工記録２!Z:Z,,0)</f>
        <v/>
      </c>
      <c r="F451" s="62"/>
      <c r="G451" s="63" t="str">
        <f>IFERROR(SUM(H451*$D440),"")</f>
        <v/>
      </c>
      <c r="H451" s="64" t="str">
        <f>_xlfn.XLOOKUP(RIGHT($B406,8),[1]加工記録２!$B:$B,[1]加工記録２!BV:BV,,0)</f>
        <v/>
      </c>
      <c r="I451" s="69">
        <f>_xlfn.LET(_xlpm.val,_xlfn.XLOOKUP(RIGHT($B406,8),[1]加工記録２!$B:$B,[1]加工記録２!AS:AS,""),IF(OR(_xlpm.val="",_xlpm.val=0),"",_xlpm.val))</f>
        <v>45806</v>
      </c>
      <c r="J451" s="70">
        <f>_xlfn.LET(_xlpm.val,_xlfn.XLOOKUP(RIGHT($B406,8),[1]加工記録２!$B:$B,[1]加工記録２!AT:AT,""),IF(OR(_xlpm.val="",_xlpm.val=0),"",_xlpm.val))</f>
        <v>8</v>
      </c>
      <c r="K451" s="55"/>
      <c r="L451" s="55"/>
      <c r="M451" s="55"/>
      <c r="N451" s="55"/>
    </row>
    <row r="452" spans="1:14" s="56" customFormat="1" ht="18.95" customHeight="1">
      <c r="A452" s="58" t="str">
        <f>IFERROR(_xlfn.XLOOKUP(RIGHT($B406,8)&amp;$J438,[1]加工記録２!B:B&amp;[1]加工記録２!AD:AD,[1]加工記録２!BG:BG,,0),"/")</f>
        <v/>
      </c>
      <c r="B452" s="59" t="str">
        <f>_xlfn.XLOOKUP(RIGHT($B406,8),[1]加工記録２!B:B,[1]加工記録２!BO:BO,,0)</f>
        <v/>
      </c>
      <c r="C452" s="59" t="str">
        <f>_xlfn.XLOOKUP(RIGHT($B406,8),[1]加工記録２!$B:$B,[1]加工記録２!T:T,,0)</f>
        <v/>
      </c>
      <c r="D452" s="60" t="str">
        <f>IFERROR(_xlfn.XLOOKUP(IF(_xlfn.XLOOKUP(RIGHT($B406,8),[1]加工記録２!$B:$B,[1]加工記録２!C:C,,0)="","",_xlfn.XLOOKUP(RIGHT($B406,8),[1]加工記録２!$B:$B,[1]加工記録２!C:C,,0))&amp;C452,[1]温度換算!A:A,[1]温度換算!C:C),"")</f>
        <v/>
      </c>
      <c r="E452" s="61" t="str">
        <f>_xlfn.XLOOKUP(RIGHT($B406,8), [1]加工記録２!$B:$B,[1]加工記録２!AA:AA,,0)</f>
        <v/>
      </c>
      <c r="F452" s="62"/>
      <c r="G452" s="63" t="str">
        <f>IFERROR(SUM(H452*$D440),"")</f>
        <v/>
      </c>
      <c r="H452" s="64" t="str">
        <f>_xlfn.XLOOKUP(RIGHT($B406,8),[1]加工記録２!$B:$B,[1]加工記録２!BW:BW,,0)</f>
        <v/>
      </c>
      <c r="I452" s="69" t="str">
        <f>_xlfn.LET(_xlpm.val,_xlfn.XLOOKUP(RIGHT($B406,8),[1]加工記録２!$B:$B,[1]加工記録２!AU:AU,""),IF(OR(_xlpm.val="",_xlpm.val=0),"",_xlpm.val))</f>
        <v/>
      </c>
      <c r="J452" s="70" t="str">
        <f>_xlfn.LET(_xlpm.val,_xlfn.XLOOKUP(RIGHT($B406,8),[1]加工記録２!$B:$B,[1]加工記録２!AV:AV,""),IF(OR(_xlpm.val="",_xlpm.val=0),"",_xlpm.val))</f>
        <v/>
      </c>
      <c r="K452" s="55"/>
      <c r="L452" s="55"/>
      <c r="M452" s="55"/>
      <c r="N452" s="55"/>
    </row>
    <row r="453" spans="1:14" s="56" customFormat="1" ht="18.95" customHeight="1">
      <c r="A453" s="58" t="str">
        <f>IFERROR(_xlfn.XLOOKUP(RIGHT($B406,8)&amp;$J438,[1]加工記録２!B:B&amp;[1]加工記録２!AD:AD,[1]加工記録２!BH:BH,,0),"/")</f>
        <v/>
      </c>
      <c r="B453" s="59" t="str">
        <f>_xlfn.XLOOKUP(RIGHT($B406,8),[1]加工記録２!B:B,[1]加工記録２!BP:BP,,0)</f>
        <v/>
      </c>
      <c r="C453" s="59" t="str">
        <f>_xlfn.XLOOKUP(RIGHT($B406,8),[1]加工記録２!$B:$B,[1]加工記録２!U:U,,0)</f>
        <v/>
      </c>
      <c r="D453" s="60" t="str">
        <f>IFERROR(_xlfn.XLOOKUP(IF(_xlfn.XLOOKUP(RIGHT($B406,8),[1]加工記録２!$B:$B,[1]加工記録２!C:C,,0)="","",_xlfn.XLOOKUP(RIGHT($B406,8),[1]加工記録２!$B:$B,[1]加工記録２!C:C,,0))&amp;C453,[1]温度換算!A:A,[1]温度換算!C:C),"")</f>
        <v/>
      </c>
      <c r="E453" s="61" t="str">
        <f>_xlfn.XLOOKUP(RIGHT($B406,8), [1]加工記録２!$B:$B,[1]加工記録２!AB:AB,,0)</f>
        <v/>
      </c>
      <c r="F453" s="62"/>
      <c r="G453" s="63" t="str">
        <f>IFERROR(SUM(H453*$D440),"")</f>
        <v/>
      </c>
      <c r="H453" s="64" t="str">
        <f>_xlfn.XLOOKUP(RIGHT($B406,8),[1]加工記録２!$B:$B,[1]加工記録２!BX:BX,,0)</f>
        <v/>
      </c>
      <c r="I453" s="69" t="str">
        <f>_xlfn.LET(_xlpm.val,_xlfn.XLOOKUP(RIGHT($B406,8),[1]加工記録２!$B:$B,[1]加工記録２!AW:AW,""),IF(OR(_xlpm.val="",_xlpm.val=0),"",_xlpm.val))</f>
        <v/>
      </c>
      <c r="J453" s="70" t="str">
        <f>_xlfn.LET(_xlpm.val,_xlfn.XLOOKUP(RIGHT($B406,8),[1]加工記録２!$B:$B,[1]加工記録２!AX:AX,""),IF(OR(_xlpm.val="",_xlpm.val=0),"",_xlpm.val))</f>
        <v/>
      </c>
      <c r="K453" s="55"/>
      <c r="L453" s="55"/>
      <c r="M453" s="55"/>
      <c r="N453" s="55"/>
    </row>
    <row r="454" spans="1:14" s="56" customFormat="1" ht="18.95" customHeight="1" thickBot="1">
      <c r="A454" s="71" t="str">
        <f>IFERROR(_xlfn.XLOOKUP(RIGHT($B406,8)&amp;$J438,[1]加工記録２!B:B&amp;[1]加工記録２!AD:AD,[1]加工記録２!BI:BI,,0),"/")</f>
        <v/>
      </c>
      <c r="B454" s="72" t="str">
        <f>_xlfn.XLOOKUP(RIGHT($B406,8),[1]加工記録２!B:B,[1]加工記録２!BQ:BQ,,0)</f>
        <v/>
      </c>
      <c r="C454" s="72" t="str">
        <f>_xlfn.XLOOKUP(RIGHT($B406,8),[1]加工記録２!$B:$B,[1]加工記録２!V:V,,0)</f>
        <v/>
      </c>
      <c r="D454" s="73" t="str">
        <f>IFERROR(_xlfn.XLOOKUP(IF(_xlfn.XLOOKUP(RIGHT($B406,8),[1]加工記録２!$B:$B,[1]加工記録２!C:C,,0)="","",_xlfn.XLOOKUP(RIGHT($B406,8),[1]加工記録２!$B:$B,[1]加工記録２!C:C,,0))&amp;C454,[1]温度換算!A:A,[1]温度換算!C:C),"")</f>
        <v/>
      </c>
      <c r="E454" s="74" t="str">
        <f>_xlfn.XLOOKUP(RIGHT($B406,8), [1]加工記録２!$B:$B,[1]加工記録２!AC:AC,,0)</f>
        <v/>
      </c>
      <c r="F454" s="75"/>
      <c r="G454" s="76" t="str">
        <f>IFERROR(SUM(H454*$D440),"")</f>
        <v/>
      </c>
      <c r="H454" s="77" t="str">
        <f>_xlfn.XLOOKUP(RIGHT($B406,8),[1]加工記録２!$B:$B,[1]加工記録２!BY:BY,,0)</f>
        <v/>
      </c>
      <c r="I454" s="78" t="str">
        <f>_xlfn.LET(_xlpm.val,_xlfn.XLOOKUP(RIGHT($B406,8),[1]加工記録２!$B:$B,[1]加工記録２!AY:AY,""),IF(OR(_xlpm.val="",_xlpm.val=0),"",_xlpm.val))</f>
        <v/>
      </c>
      <c r="J454" s="79" t="str">
        <f>_xlfn.LET(_xlpm.val,_xlfn.XLOOKUP(RIGHT($B406,8),[1]加工記録２!$B:$B,[1]加工記録２!AZ:AZ,""),IF(OR(_xlpm.val="",_xlpm.val=0),"",_xlpm.val))</f>
        <v/>
      </c>
      <c r="K454" s="55"/>
      <c r="L454" s="55"/>
      <c r="M454" s="55"/>
      <c r="N454" s="55"/>
    </row>
    <row r="455" spans="1:14" ht="13.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 thickBot="1">
      <c r="A457" s="12"/>
      <c r="B457" s="151" t="s">
        <v>0</v>
      </c>
      <c r="C457" s="110"/>
      <c r="D457" s="110"/>
      <c r="E457" s="12"/>
      <c r="F457" s="12"/>
      <c r="G457" s="12"/>
      <c r="H457" s="12"/>
      <c r="I457" s="12"/>
      <c r="J457" s="12"/>
    </row>
    <row r="458" spans="1:14" ht="14.25" customHeight="1" thickTop="1">
      <c r="A458" s="13"/>
      <c r="B458" s="110"/>
      <c r="C458" s="110"/>
      <c r="D458" s="110"/>
      <c r="E458" s="13"/>
      <c r="F458" s="13"/>
      <c r="G458" s="13"/>
      <c r="H458" s="13"/>
      <c r="I458" s="13"/>
      <c r="J458" s="13"/>
    </row>
    <row r="459" spans="1:14" ht="14.25" customHeight="1">
      <c r="A459" s="152" t="s">
        <v>1</v>
      </c>
      <c r="B459" s="152" t="s">
        <v>104</v>
      </c>
      <c r="C459" s="152" t="s">
        <v>3</v>
      </c>
      <c r="D459" s="153">
        <v>1815</v>
      </c>
      <c r="E459" s="152" t="s">
        <v>4</v>
      </c>
      <c r="F459" s="154" t="s">
        <v>105</v>
      </c>
      <c r="G459" s="110"/>
      <c r="H459" s="150"/>
      <c r="I459" s="14" t="s">
        <v>6</v>
      </c>
      <c r="J459" s="14" t="s">
        <v>7</v>
      </c>
    </row>
    <row r="460" spans="1:14" ht="14.25" customHeight="1">
      <c r="A460" s="110"/>
      <c r="B460" s="110"/>
      <c r="C460" s="110"/>
      <c r="D460" s="110"/>
      <c r="E460" s="110"/>
      <c r="F460" s="110"/>
      <c r="G460" s="110"/>
      <c r="H460" s="150"/>
      <c r="I460" s="155"/>
      <c r="J460" s="155"/>
    </row>
    <row r="461" spans="1:14" ht="17.45" customHeight="1">
      <c r="A461" s="136" t="s">
        <v>8</v>
      </c>
      <c r="B461" s="157" t="s">
        <v>160</v>
      </c>
      <c r="E461" s="136" t="s">
        <v>10</v>
      </c>
      <c r="F461" s="158" t="s">
        <v>11</v>
      </c>
      <c r="G461" s="110"/>
      <c r="H461" s="150"/>
      <c r="I461" s="156"/>
      <c r="J461" s="156"/>
    </row>
    <row r="462" spans="1:14" ht="17.45" customHeight="1">
      <c r="A462" s="110"/>
      <c r="B462" s="110"/>
      <c r="E462" s="110"/>
      <c r="F462" s="110"/>
      <c r="G462" s="110"/>
      <c r="H462" s="150"/>
      <c r="I462" s="15"/>
      <c r="J462" s="15"/>
    </row>
    <row r="463" spans="1:14" ht="17.45" customHeight="1">
      <c r="A463" s="136" t="s">
        <v>12</v>
      </c>
      <c r="B463" s="136" t="s">
        <v>106</v>
      </c>
      <c r="E463" s="2" t="s">
        <v>14</v>
      </c>
      <c r="F463" s="137" t="s">
        <v>15</v>
      </c>
      <c r="G463" s="110"/>
      <c r="H463" s="22"/>
    </row>
    <row r="464" spans="1:14" ht="17.45" customHeight="1">
      <c r="A464" s="110"/>
      <c r="B464" s="110"/>
      <c r="E464" s="2" t="s">
        <v>16</v>
      </c>
      <c r="F464" s="22" t="s">
        <v>17</v>
      </c>
      <c r="G464" s="22"/>
      <c r="H464" s="22"/>
    </row>
    <row r="465" spans="1:10" ht="17.45" customHeight="1">
      <c r="A465" s="2" t="s">
        <v>18</v>
      </c>
      <c r="B465" s="4">
        <v>45814</v>
      </c>
      <c r="E465" s="2" t="s">
        <v>19</v>
      </c>
      <c r="F465" s="138">
        <v>16</v>
      </c>
      <c r="G465" s="110"/>
      <c r="H465" s="22"/>
    </row>
    <row r="466" spans="1:10" ht="17.45" customHeight="1">
      <c r="A466" s="2" t="s">
        <v>20</v>
      </c>
      <c r="B466" s="4">
        <v>45814</v>
      </c>
      <c r="E466" s="2" t="s">
        <v>21</v>
      </c>
      <c r="F466" s="22">
        <v>24</v>
      </c>
      <c r="G466" s="139" t="s">
        <v>22</v>
      </c>
      <c r="H466" s="141">
        <v>384</v>
      </c>
      <c r="I466" s="142"/>
      <c r="J466" s="143"/>
    </row>
    <row r="467" spans="1:10" ht="17.45" customHeight="1">
      <c r="A467" s="20"/>
      <c r="B467" s="21"/>
      <c r="C467" s="21"/>
      <c r="D467" s="21"/>
      <c r="E467" s="2" t="s">
        <v>23</v>
      </c>
      <c r="F467" s="22" t="s">
        <v>24</v>
      </c>
      <c r="G467" s="140"/>
      <c r="H467" s="140"/>
      <c r="I467" s="130"/>
      <c r="J467" s="144"/>
    </row>
    <row r="468" spans="1:10" ht="13.5" customHeight="1">
      <c r="A468" s="145" t="s">
        <v>107</v>
      </c>
      <c r="B468" s="110"/>
      <c r="C468" s="110"/>
      <c r="D468" s="21"/>
      <c r="F468" s="3"/>
      <c r="G468" s="146" t="s">
        <v>26</v>
      </c>
      <c r="H468" s="148" t="s">
        <v>27</v>
      </c>
      <c r="I468" s="149" t="s">
        <v>28</v>
      </c>
      <c r="J468" s="150"/>
    </row>
    <row r="469" spans="1:10" ht="13.5" customHeight="1">
      <c r="A469" s="110"/>
      <c r="B469" s="110"/>
      <c r="C469" s="110"/>
      <c r="D469" s="21"/>
      <c r="F469" s="3"/>
      <c r="G469" s="147"/>
      <c r="H469" s="147"/>
      <c r="I469" s="130"/>
      <c r="J469" s="144"/>
    </row>
    <row r="470" spans="1:10" ht="13.5" customHeight="1">
      <c r="A470" s="1" t="s">
        <v>29</v>
      </c>
    </row>
    <row r="471" spans="1:10" ht="63" customHeight="1" thickBot="1">
      <c r="A471" s="131"/>
      <c r="B471" s="132"/>
      <c r="C471" s="132"/>
      <c r="D471" s="132"/>
      <c r="E471" s="132"/>
      <c r="F471" s="132"/>
      <c r="G471" s="132"/>
      <c r="H471" s="132"/>
      <c r="I471" s="132"/>
      <c r="J471" s="132"/>
    </row>
    <row r="472" spans="1:10" ht="18.75">
      <c r="A472" s="24" t="s">
        <v>30</v>
      </c>
      <c r="B472" s="17" t="s">
        <v>31</v>
      </c>
      <c r="C472" s="133" t="s">
        <v>32</v>
      </c>
      <c r="D472" s="134"/>
      <c r="E472" s="17" t="s">
        <v>33</v>
      </c>
      <c r="F472" s="133" t="s">
        <v>34</v>
      </c>
      <c r="G472" s="134"/>
      <c r="H472" s="134"/>
      <c r="I472" s="135" t="s">
        <v>35</v>
      </c>
      <c r="J472" s="134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3">
        <v>1</v>
      </c>
      <c r="B474" s="25" t="s">
        <v>36</v>
      </c>
      <c r="C474" s="111" t="s">
        <v>37</v>
      </c>
      <c r="D474" s="110"/>
      <c r="E474" s="25" t="s">
        <v>40</v>
      </c>
      <c r="F474" s="111" t="s">
        <v>41</v>
      </c>
      <c r="G474" s="110"/>
      <c r="H474" s="110"/>
      <c r="I474" s="126"/>
      <c r="J474" s="110"/>
    </row>
    <row r="475" spans="1:10" ht="16.5" customHeight="1">
      <c r="A475" s="23">
        <v>1</v>
      </c>
      <c r="B475" s="26" t="s">
        <v>36</v>
      </c>
      <c r="C475" s="111" t="s">
        <v>37</v>
      </c>
      <c r="D475" s="110"/>
      <c r="E475" s="25" t="s">
        <v>42</v>
      </c>
      <c r="F475" s="111" t="s">
        <v>43</v>
      </c>
      <c r="G475" s="110"/>
      <c r="H475" s="110"/>
      <c r="I475" s="126"/>
      <c r="J475" s="110"/>
    </row>
    <row r="476" spans="1:10" ht="16.5" customHeight="1">
      <c r="A476" s="23"/>
      <c r="B476" s="26"/>
      <c r="C476" s="111"/>
      <c r="D476" s="110"/>
      <c r="E476" s="25"/>
      <c r="F476" s="111"/>
      <c r="G476" s="110"/>
      <c r="H476" s="110"/>
      <c r="I476" s="126"/>
      <c r="J476" s="110"/>
    </row>
    <row r="477" spans="1:10" ht="16.5" customHeight="1">
      <c r="A477" s="23"/>
      <c r="B477" s="26"/>
      <c r="C477" s="111"/>
      <c r="D477" s="110"/>
      <c r="E477" s="25"/>
      <c r="F477" s="111"/>
      <c r="G477" s="110"/>
      <c r="H477" s="110"/>
      <c r="I477" s="126"/>
      <c r="J477" s="110"/>
    </row>
    <row r="478" spans="1:10" ht="16.5" customHeight="1">
      <c r="A478" s="23"/>
      <c r="B478" s="26"/>
      <c r="C478" s="111"/>
      <c r="D478" s="110"/>
      <c r="E478" s="25"/>
      <c r="F478" s="111"/>
      <c r="G478" s="110"/>
      <c r="H478" s="110"/>
      <c r="I478" s="126"/>
      <c r="J478" s="110"/>
    </row>
    <row r="479" spans="1:10" ht="16.5" customHeight="1">
      <c r="A479" s="23"/>
      <c r="B479" s="26"/>
      <c r="C479" s="111"/>
      <c r="D479" s="110"/>
      <c r="E479" s="25"/>
      <c r="F479" s="111"/>
      <c r="G479" s="110"/>
      <c r="H479" s="110"/>
      <c r="I479" s="126"/>
      <c r="J479" s="110"/>
    </row>
    <row r="480" spans="1:10" ht="16.5" customHeight="1" thickBo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1" ht="18.75">
      <c r="A481" s="127" t="s">
        <v>44</v>
      </c>
      <c r="B481" s="128"/>
      <c r="C481" s="127" t="s">
        <v>45</v>
      </c>
      <c r="D481" s="128"/>
      <c r="E481" s="128"/>
      <c r="F481" s="18" t="s">
        <v>46</v>
      </c>
      <c r="G481" s="127" t="s">
        <v>47</v>
      </c>
      <c r="H481" s="128"/>
      <c r="I481" s="127" t="s">
        <v>48</v>
      </c>
      <c r="J481" s="128"/>
    </row>
    <row r="482" spans="1:11" ht="14.25" customHeight="1">
      <c r="A482" s="8"/>
      <c r="B482" s="19"/>
      <c r="C482" s="129" t="s">
        <v>49</v>
      </c>
      <c r="D482" s="130"/>
      <c r="E482" s="19"/>
      <c r="F482" s="129" t="s">
        <v>29</v>
      </c>
      <c r="G482" s="130"/>
      <c r="H482" s="130"/>
      <c r="I482" s="130"/>
      <c r="J482" s="130"/>
    </row>
    <row r="483" spans="1:11">
      <c r="A483" s="9"/>
      <c r="C483" s="7"/>
      <c r="D483" s="7"/>
      <c r="E483" s="7"/>
    </row>
    <row r="484" spans="1:11" ht="14.25" customHeight="1">
      <c r="A484" s="111" t="s">
        <v>108</v>
      </c>
      <c r="B484" s="110"/>
      <c r="C484" s="111" t="s">
        <v>109</v>
      </c>
      <c r="D484" s="110"/>
      <c r="E484" s="110"/>
      <c r="F484" s="27" t="s">
        <v>52</v>
      </c>
      <c r="G484" s="125">
        <v>384</v>
      </c>
      <c r="H484" s="110"/>
      <c r="I484" s="125">
        <v>24</v>
      </c>
      <c r="J484" s="110"/>
    </row>
    <row r="485" spans="1:11" ht="24.95" customHeight="1">
      <c r="A485" s="109" t="s">
        <v>110</v>
      </c>
      <c r="B485" s="110"/>
      <c r="C485" s="111" t="s">
        <v>11</v>
      </c>
      <c r="D485" s="110"/>
      <c r="E485" s="110"/>
      <c r="F485" s="111"/>
      <c r="G485" s="110"/>
      <c r="H485" s="110"/>
      <c r="I485" s="110"/>
      <c r="J485" s="110"/>
    </row>
    <row r="486" spans="1:11" ht="14.25" customHeight="1">
      <c r="A486" s="111" t="s">
        <v>77</v>
      </c>
      <c r="B486" s="110"/>
      <c r="C486" s="111" t="s">
        <v>78</v>
      </c>
      <c r="D486" s="110"/>
      <c r="E486" s="110"/>
      <c r="F486" s="27" t="s">
        <v>27</v>
      </c>
      <c r="G486" s="125">
        <v>24.192</v>
      </c>
      <c r="H486" s="110"/>
      <c r="I486" s="125">
        <v>1.512</v>
      </c>
      <c r="J486" s="110"/>
    </row>
    <row r="487" spans="1:11" ht="24.95" customHeight="1">
      <c r="A487" s="109" t="s">
        <v>79</v>
      </c>
      <c r="B487" s="110"/>
      <c r="C487" s="111"/>
      <c r="D487" s="110"/>
      <c r="E487" s="110"/>
      <c r="F487" s="111"/>
      <c r="G487" s="110"/>
      <c r="H487" s="110"/>
      <c r="I487" s="110"/>
      <c r="J487" s="110"/>
    </row>
    <row r="488" spans="1:11" ht="14.25" customHeight="1">
      <c r="A488" s="111" t="s">
        <v>65</v>
      </c>
      <c r="B488" s="110"/>
      <c r="C488" s="111" t="s">
        <v>66</v>
      </c>
      <c r="D488" s="110"/>
      <c r="E488" s="110"/>
      <c r="F488" s="27"/>
      <c r="G488" s="125">
        <v>2.3039999999999998</v>
      </c>
      <c r="H488" s="110"/>
      <c r="I488" s="125">
        <v>0.14399999999999999</v>
      </c>
      <c r="J488" s="110"/>
    </row>
    <row r="489" spans="1:11" ht="24.95" customHeight="1">
      <c r="A489" s="109" t="s">
        <v>67</v>
      </c>
      <c r="B489" s="110"/>
      <c r="C489" s="111" t="s">
        <v>68</v>
      </c>
      <c r="D489" s="110"/>
      <c r="E489" s="110"/>
      <c r="F489" s="111"/>
      <c r="G489" s="110"/>
      <c r="H489" s="110"/>
      <c r="I489" s="110"/>
      <c r="J489" s="110"/>
    </row>
    <row r="490" spans="1:11" ht="14.25" customHeight="1">
      <c r="A490" s="111"/>
      <c r="B490" s="110"/>
      <c r="C490" s="111"/>
      <c r="D490" s="110"/>
      <c r="E490" s="110"/>
      <c r="F490" s="27"/>
      <c r="G490" s="125"/>
      <c r="H490" s="110"/>
      <c r="I490" s="125"/>
      <c r="J490" s="110"/>
    </row>
    <row r="491" spans="1:11" ht="24.95" customHeight="1">
      <c r="A491" s="109"/>
      <c r="B491" s="110"/>
      <c r="C491" s="111"/>
      <c r="D491" s="110"/>
      <c r="E491" s="110"/>
      <c r="F491" s="111"/>
      <c r="G491" s="110"/>
      <c r="H491" s="110"/>
      <c r="I491" s="110"/>
      <c r="J491" s="110"/>
    </row>
    <row r="492" spans="1:11" ht="14.25" customHeight="1">
      <c r="A492" s="111"/>
      <c r="B492" s="110"/>
      <c r="C492" s="111"/>
      <c r="D492" s="110"/>
      <c r="E492" s="110"/>
      <c r="F492" s="27"/>
      <c r="G492" s="125"/>
      <c r="H492" s="110"/>
      <c r="I492" s="125"/>
      <c r="J492" s="110"/>
    </row>
    <row r="493" spans="1:11" ht="24.95" customHeight="1">
      <c r="A493" s="109"/>
      <c r="B493" s="110"/>
      <c r="C493" s="111"/>
      <c r="D493" s="110"/>
      <c r="E493" s="110"/>
      <c r="F493" s="111"/>
      <c r="G493" s="110"/>
      <c r="H493" s="110"/>
      <c r="I493" s="110"/>
      <c r="J493" s="110"/>
    </row>
    <row r="494" spans="1:11" s="5" customFormat="1" ht="18" customHeight="1">
      <c r="A494" s="112" t="s">
        <v>119</v>
      </c>
      <c r="B494" s="113"/>
      <c r="C494" s="113"/>
      <c r="D494" s="113"/>
      <c r="E494" s="28" t="s">
        <v>120</v>
      </c>
      <c r="F494" s="29"/>
      <c r="G494" s="114" t="s">
        <v>121</v>
      </c>
      <c r="H494" s="115"/>
      <c r="I494" s="30" t="s">
        <v>122</v>
      </c>
      <c r="J494" s="31" t="s">
        <v>123</v>
      </c>
    </row>
    <row r="495" spans="1:11" s="7" customFormat="1" ht="18" customHeight="1">
      <c r="A495" s="116" t="str">
        <f>F459</f>
        <v>463301-2110灯具ｶﾊﾞｰPC IN</v>
      </c>
      <c r="B495" s="117"/>
      <c r="C495" s="117"/>
      <c r="D495" s="117"/>
      <c r="E495" s="120" t="str">
        <f>IFERROR(IF(OR(J495="", F465="", F465=0, J495/F465=0), C486&amp;" 　 "&amp;""&amp;"      枚", C486&amp;" 　 "&amp;J495/F465&amp;"      枚"), C486&amp;" 　 "&amp;""&amp;"      枚")</f>
        <v>灯具-2 　 13      枚</v>
      </c>
      <c r="F495" s="121"/>
      <c r="G495" s="32" t="s">
        <v>124</v>
      </c>
      <c r="H495" s="33">
        <f>_xlfn.XLOOKUP($B461, [1]加工記録２!$CD:$CD,[1]加工記録２!AH:AH)</f>
        <v>18</v>
      </c>
      <c r="I495" s="122">
        <f>MAX(I507:I511)</f>
        <v>45805</v>
      </c>
      <c r="J495" s="89">
        <f>_xlfn.XLOOKUP($B461, [1]加工記録２!$CD:$CD,[1]加工記録２!AD:AD,,0)</f>
        <v>208</v>
      </c>
    </row>
    <row r="496" spans="1:11" s="5" customFormat="1" ht="18" customHeight="1">
      <c r="A496" s="118"/>
      <c r="B496" s="119"/>
      <c r="C496" s="119"/>
      <c r="D496" s="119"/>
      <c r="E496" s="124" t="s">
        <v>125</v>
      </c>
      <c r="F496" s="124"/>
      <c r="G496" s="32" t="s">
        <v>126</v>
      </c>
      <c r="H496" s="33">
        <f>_xlfn.XLOOKUP($B461, [1]加工記録２!$CD:$CD,[1]加工記録２!AI:AI,,0)</f>
        <v>47</v>
      </c>
      <c r="I496" s="123"/>
      <c r="J496" s="89"/>
      <c r="K496" s="34"/>
    </row>
    <row r="497" spans="1:22" s="7" customFormat="1" ht="18" customHeight="1">
      <c r="A497" s="80" t="s">
        <v>127</v>
      </c>
      <c r="B497" s="92" t="str">
        <f>_xlfn.XLOOKUP(A468,[1]!テーブル5[品目コード],[1]!テーブル5[温度換算],,2)</f>
        <v>-</v>
      </c>
      <c r="C497" s="94" t="s">
        <v>128</v>
      </c>
      <c r="D497" s="96">
        <f>_xlfn.XLOOKUP(A468,[1]!テーブル5[品目コード],[1]!テーブル5[取数],,2)</f>
        <v>1</v>
      </c>
      <c r="E497" s="98" t="s">
        <v>129</v>
      </c>
      <c r="F497" s="98"/>
      <c r="G497" s="32" t="s">
        <v>130</v>
      </c>
      <c r="H497" s="33">
        <f>_xlfn.XLOOKUP($B461, [1]加工記録２!$CD:$CD,[1]加工記録２!AJ:AJ,,0)</f>
        <v>0</v>
      </c>
      <c r="I497" s="30" t="s">
        <v>131</v>
      </c>
      <c r="J497" s="30" t="s">
        <v>132</v>
      </c>
      <c r="K497" s="35"/>
    </row>
    <row r="498" spans="1:22" s="5" customFormat="1" ht="18" customHeight="1">
      <c r="A498" s="80"/>
      <c r="B498" s="93"/>
      <c r="C498" s="95"/>
      <c r="D498" s="97"/>
      <c r="E498" s="99" t="str">
        <f>_xlfn.XLOOKUP(A468,[1]!テーブル5[品目コード],[1]!テーブル5[備考１],,2)</f>
        <v>梱包:箱1996　隙間埋め</v>
      </c>
      <c r="F498" s="99"/>
      <c r="G498" s="32" t="s">
        <v>133</v>
      </c>
      <c r="H498" s="33">
        <f>_xlfn.XLOOKUP($B461, [1]加工記録２!$CD:$CD,[1]加工記録２!AK:AK,,0)</f>
        <v>0</v>
      </c>
      <c r="I498" s="100" t="str">
        <f>_xlfn.XLOOKUP($B461, [1]加工記録２!$CD:$CD,[1]加工記録２!CA:CA,,0)</f>
        <v>-</v>
      </c>
      <c r="J498" s="100" t="str">
        <f>_xlfn.XLOOKUP($B461, [1]加工記録２!$CD:$CD,[1]加工記録２!CB:CB,,0)</f>
        <v>高森・水野</v>
      </c>
      <c r="K498" s="34"/>
    </row>
    <row r="499" spans="1:22" s="7" customFormat="1" ht="18" customHeight="1">
      <c r="A499" s="102" t="s">
        <v>134</v>
      </c>
      <c r="B499" s="103">
        <f>D459</f>
        <v>1815</v>
      </c>
      <c r="C499" s="105" t="s">
        <v>135</v>
      </c>
      <c r="D499" s="86" t="str">
        <f>_xlfn.XLOOKUP(A468,[1]!テーブル5[品目コード],[1]!テーブル5[上限公差],,2)</f>
        <v>+2</v>
      </c>
      <c r="E499" s="99" t="str">
        <f>_xlfn.XLOOKUP(A468,[1]!テーブル5[品目コード],[1]!テーブル5[備考２],,2)</f>
        <v>クラフト紙：1996型</v>
      </c>
      <c r="F499" s="99"/>
      <c r="G499" s="32" t="s">
        <v>136</v>
      </c>
      <c r="H499" s="33">
        <f>_xlfn.XLOOKUP($B461, [1]加工記録２!$CD:$CD,[1]加工記録２!AL:AL,,0)</f>
        <v>0</v>
      </c>
      <c r="I499" s="101"/>
      <c r="J499" s="101"/>
      <c r="K499" s="35"/>
    </row>
    <row r="500" spans="1:22" s="5" customFormat="1" ht="18" customHeight="1">
      <c r="A500" s="102"/>
      <c r="B500" s="104"/>
      <c r="C500" s="106"/>
      <c r="D500" s="107"/>
      <c r="E500" s="108" t="s">
        <v>137</v>
      </c>
      <c r="F500" s="108"/>
      <c r="G500" s="32" t="s">
        <v>138</v>
      </c>
      <c r="H500" s="33">
        <f>_xlfn.XLOOKUP($B461, [1]加工記録２!$CD:$CD,[1]加工記録２!AM:AM,,0)</f>
        <v>0</v>
      </c>
      <c r="I500" s="36" t="s">
        <v>139</v>
      </c>
      <c r="J500" s="36" t="s">
        <v>140</v>
      </c>
      <c r="K500" s="34"/>
    </row>
    <row r="501" spans="1:22" s="7" customFormat="1" ht="18" customHeight="1">
      <c r="A501" s="80" t="s">
        <v>141</v>
      </c>
      <c r="B501" s="82" t="str">
        <f>_xlfn.XLOOKUP(A468,[1]!テーブル5[品目コード],[1]!テーブル5[切断寸法],,2)</f>
        <v>換算表確認</v>
      </c>
      <c r="C501" s="84" t="s">
        <v>142</v>
      </c>
      <c r="D501" s="86">
        <f>_xlfn.XLOOKUP(A468,[1]!テーブル5[品目コード],[1]!テーブル5[下限公差],,2)</f>
        <v>-2</v>
      </c>
      <c r="E501" s="88" t="str">
        <f>_xlfn.XLOOKUP(A468,[1]!テーブル5[品目コード],[1]!テーブル5[梱包方法],,2)</f>
        <v>ラベル2枚　長手有　鉢巻１</v>
      </c>
      <c r="F501" s="88"/>
      <c r="G501" s="32" t="s">
        <v>143</v>
      </c>
      <c r="H501" s="33">
        <f>_xlfn.XLOOKUP($B461, [1]加工記録２!$CD:$CD,[1]加工記録２!AN:AN,,0)</f>
        <v>0</v>
      </c>
      <c r="I501" s="89">
        <f>_xlfn.XLOOKUP($B461, [1]加工記録２!$CD:$CD,[1]加工記録２!AF:AF,,0)</f>
        <v>65</v>
      </c>
      <c r="J501" s="89">
        <f>_xlfn.XLOOKUP($B461, [1]加工記録２!$CD:$CD,[1]加工記録２!AE:AE,,0)</f>
        <v>65</v>
      </c>
      <c r="K501" s="35"/>
    </row>
    <row r="502" spans="1:22" s="5" customFormat="1" ht="18" customHeight="1" thickBot="1">
      <c r="A502" s="81"/>
      <c r="B502" s="83"/>
      <c r="C502" s="85"/>
      <c r="D502" s="87"/>
      <c r="E502" s="90"/>
      <c r="F502" s="90"/>
      <c r="G502" s="37" t="s">
        <v>144</v>
      </c>
      <c r="H502" s="38">
        <f>SUM(H495:H501)</f>
        <v>65</v>
      </c>
      <c r="I502" s="89"/>
      <c r="J502" s="89"/>
    </row>
    <row r="503" spans="1:22" s="47" customFormat="1" ht="18.95" customHeight="1">
      <c r="A503" s="39" t="s">
        <v>145</v>
      </c>
      <c r="B503" s="40" t="s">
        <v>146</v>
      </c>
      <c r="C503" s="41" t="s">
        <v>147</v>
      </c>
      <c r="D503" s="41" t="s">
        <v>148</v>
      </c>
      <c r="E503" s="42" t="s">
        <v>149</v>
      </c>
      <c r="F503" s="43" t="s">
        <v>150</v>
      </c>
      <c r="G503" s="42" t="s">
        <v>151</v>
      </c>
      <c r="H503" s="44" t="s">
        <v>152</v>
      </c>
      <c r="I503" s="45" t="s">
        <v>153</v>
      </c>
      <c r="J503" s="36" t="s">
        <v>154</v>
      </c>
      <c r="K503" s="46"/>
      <c r="L503" s="46"/>
      <c r="M503" s="46"/>
      <c r="N503" s="46"/>
    </row>
    <row r="504" spans="1:22" s="56" customFormat="1" ht="18.95" customHeight="1">
      <c r="A504" s="48" t="str">
        <f>IFERROR(_xlfn.XLOOKUP($B461&amp;$J495,[1]加工記録２!B:B&amp;[1]加工記録２!AD:AD,[1]加工記録２!BB:BB,,0),"/")</f>
        <v>/</v>
      </c>
      <c r="B504" s="49" t="str">
        <f>_xlfn.XLOOKUP($B461,[1]加工記録２!$CD:$CD,[1]加工記録２!BJ:BJ,,0)</f>
        <v/>
      </c>
      <c r="C504" s="50"/>
      <c r="D504" s="51"/>
      <c r="E504" s="50"/>
      <c r="F504" s="52" t="s">
        <v>155</v>
      </c>
      <c r="G504" s="53" t="str">
        <f>IFERROR(SUM(H504*$D497),"")</f>
        <v/>
      </c>
      <c r="H504" s="54" t="str">
        <f>_xlfn.XLOOKUP($B461,[1]加工記録２!$CD:$CD,[1]加工記録２!BR:BR,,0)</f>
        <v/>
      </c>
      <c r="I504" s="91">
        <f>_xlfn.XLOOKUP($B461, [1]加工記録２!$CD:$CD,[1]加工記録２!AO:AO,,0)</f>
        <v>0</v>
      </c>
      <c r="J504" s="89">
        <f>_xlfn.XLOOKUP($B461, [1]加工記録２!$CD:$CD,[1]加工記録２!AG:AG,,0)</f>
        <v>273</v>
      </c>
      <c r="K504" s="55"/>
      <c r="L504" s="55"/>
      <c r="M504" s="55"/>
      <c r="N504" s="55"/>
      <c r="V504" s="57"/>
    </row>
    <row r="505" spans="1:22" s="56" customFormat="1" ht="18.95" customHeight="1" thickBot="1">
      <c r="A505" s="58">
        <f>IFERROR(_xlfn.XLOOKUP($B461&amp;$J495,[1]加工記録２!$CD:$CD&amp;[1]加工記録２!AD:AD,[1]加工記録２!BC:BC,,0),"/")</f>
        <v>45804</v>
      </c>
      <c r="B505" s="59" t="str">
        <f>_xlfn.XLOOKUP($B461,[1]加工記録２!$CD:$CD,[1]加工記録２!BK:BK,,0)</f>
        <v>25E16-01</v>
      </c>
      <c r="C505" s="59" t="str">
        <f>_xlfn.XLOOKUP($B461,[1]加工記録２!$CD:$CD,[1]加工記録２!P:P,,0)</f>
        <v/>
      </c>
      <c r="D505" s="60" t="str">
        <f>IFERROR(_xlfn.XLOOKUP(IF(_xlfn.XLOOKUP($B461,[1]加工記録２!$CD:$CD,[1]加工記録２!C:C,,0)="","",_xlfn.XLOOKUP($B461,[1]加工記録２!$CD:$CD,[1]加工記録２!C:C,,0))&amp;C505,[1]温度換算!A:A,[1]温度換算!C:C),"")</f>
        <v/>
      </c>
      <c r="E505" s="61" t="str">
        <f>_xlfn.XLOOKUP($B461, [1]加工記録２!$CD:$CD,[1]加工記録２!W:W,,0)</f>
        <v/>
      </c>
      <c r="F505" s="62"/>
      <c r="G505" s="63">
        <f>IFERROR(SUM(H505*$D497),"")</f>
        <v>74</v>
      </c>
      <c r="H505" s="64">
        <f>_xlfn.XLOOKUP($B461,[1]加工記録２!$CD:$CD,[1]加工記録２!BS:BS,,0)</f>
        <v>74</v>
      </c>
      <c r="I505" s="91"/>
      <c r="J505" s="89"/>
      <c r="K505" s="55"/>
      <c r="L505" s="55"/>
      <c r="M505" s="55"/>
      <c r="N505" s="55"/>
    </row>
    <row r="506" spans="1:22" s="56" customFormat="1" ht="18.95" customHeight="1" thickBot="1">
      <c r="A506" s="58">
        <f>IFERROR(_xlfn.XLOOKUP($B461&amp;$J495,[1]加工記録２!$CD:$CD&amp;[1]加工記録２!AD:AD,[1]加工記録２!BD:BD,,0),"/")</f>
        <v>45804</v>
      </c>
      <c r="B506" s="59" t="str">
        <f>_xlfn.XLOOKUP($B461,[1]加工記録２!CD:CD,[1]加工記録２!BL:BL,,0)</f>
        <v>25E16-02</v>
      </c>
      <c r="C506" s="59" t="str">
        <f>_xlfn.XLOOKUP($B461,[1]加工記録２!$CD:$CD,[1]加工記録２!Q:Q,,0)</f>
        <v/>
      </c>
      <c r="D506" s="60" t="str">
        <f>IFERROR(_xlfn.XLOOKUP(IF(_xlfn.XLOOKUP($B461,[1]加工記録２!$CD:$CD,[1]加工記録２!C:C,,0)="","",_xlfn.XLOOKUP($B461,[1]加工記録２!$CD:$CD,[1]加工記録２!C:C,,0))&amp;C506,[1]温度換算!A:A,[1]温度換算!C:C),"")</f>
        <v/>
      </c>
      <c r="E506" s="61" t="str">
        <f>_xlfn.XLOOKUP($B461, [1]加工記録２!$CD:$CD,[1]加工記録２!X:X,,0)</f>
        <v/>
      </c>
      <c r="F506" s="62"/>
      <c r="G506" s="63">
        <f>IFERROR(SUM(H506*$D497),"")</f>
        <v>199</v>
      </c>
      <c r="H506" s="64">
        <f>_xlfn.XLOOKUP($B461,[1]加工記録２!$CD:$CD,[1]加工記録２!BT:BT,,0)</f>
        <v>199</v>
      </c>
      <c r="I506" s="65" t="s">
        <v>156</v>
      </c>
      <c r="J506" s="66" t="s">
        <v>157</v>
      </c>
      <c r="K506" s="55"/>
      <c r="L506" s="55"/>
      <c r="M506" s="55"/>
      <c r="N506" s="55"/>
    </row>
    <row r="507" spans="1:22" s="56" customFormat="1" ht="18.95" customHeight="1">
      <c r="A507" s="58" t="str">
        <f>IFERROR(_xlfn.XLOOKUP($B461&amp;$J495,[1]加工記録２!$CD:$CD&amp;[1]加工記録２!AD:AD,[1]加工記録２!BE:BE,,0),"/")</f>
        <v/>
      </c>
      <c r="B507" s="59" t="str">
        <f>_xlfn.XLOOKUP($B461,[1]加工記録２!$CD:$CD,[1]加工記録２!BM:BM,,0)</f>
        <v/>
      </c>
      <c r="C507" s="59" t="str">
        <f>_xlfn.XLOOKUP($B461,[1]加工記録２!$CD:$CD,[1]加工記録２!R:R,,0)</f>
        <v/>
      </c>
      <c r="D507" s="60" t="str">
        <f>IFERROR(_xlfn.XLOOKUP(IF(_xlfn.XLOOKUP($B461,[1]加工記録２!$CD:$CD,[1]加工記録２!C:C,,0)="","",_xlfn.XLOOKUP($B461,[1]加工記録２!$CD:$CD,[1]加工記録２!C:C,,0))&amp;C507,[1]温度換算!A:A,[1]温度換算!C:C),"")</f>
        <v/>
      </c>
      <c r="E507" s="61" t="str">
        <f>_xlfn.XLOOKUP($B461, [1]加工記録２!$CD:$CD,[1]加工記録２!Y:Y,,0)</f>
        <v/>
      </c>
      <c r="F507" s="62"/>
      <c r="G507" s="63" t="str">
        <f>IFERROR(SUM(H507*$D497),"")</f>
        <v/>
      </c>
      <c r="H507" s="64" t="str">
        <f>_xlfn.XLOOKUP($B461,[1]加工記録２!$CD:$CD,[1]加工記録２!BU:BU,,0)</f>
        <v/>
      </c>
      <c r="I507" s="67">
        <f>_xlfn.LET(_xlpm.val,_xlfn.XLOOKUP($B461,[1]加工記録２!$CD:$CD,[1]加工記録２!AQ:AQ,""),IF(OR(_xlpm.val="",_xlpm.val=0),"",_xlpm.val))</f>
        <v>45804</v>
      </c>
      <c r="J507" s="68">
        <f>_xlfn.LET(_xlpm.val,_xlfn.XLOOKUP($B461,[1]加工記録２!$CD:$CD,[1]加工記録２!AR:AR,""),IF(OR(_xlpm.val="",_xlpm.val=0),"",_xlpm.val))</f>
        <v>7</v>
      </c>
      <c r="K507" s="55"/>
      <c r="L507" s="55"/>
      <c r="M507" s="55"/>
      <c r="N507" s="55"/>
    </row>
    <row r="508" spans="1:22" s="56" customFormat="1" ht="18.95" customHeight="1">
      <c r="A508" s="58" t="str">
        <f>IFERROR(_xlfn.XLOOKUP($B461&amp;$J495,[1]加工記録２!$CD:$CD&amp;[1]加工記録２!AD:AD,[1]加工記録２!BF:BF,,0),"/")</f>
        <v/>
      </c>
      <c r="B508" s="59" t="str">
        <f>_xlfn.XLOOKUP($B461,[1]加工記録２!$CD:$CD,[1]加工記録２!BN:BN,,0)</f>
        <v/>
      </c>
      <c r="C508" s="59" t="str">
        <f>_xlfn.XLOOKUP($B461,[1]加工記録２!$CD:$CD,[1]加工記録２!S:S,,0)</f>
        <v/>
      </c>
      <c r="D508" s="60" t="str">
        <f>IFERROR(_xlfn.XLOOKUP(IF(_xlfn.XLOOKUP($B461,[1]加工記録２!$CD:$CD,[1]加工記録２!C:C,,0)="","",_xlfn.XLOOKUP($B461,[1]加工記録２!$CD:$CD,[1]加工記録２!C:C,,0))&amp;C508,[1]温度換算!A:A,[1]温度換算!C:C),"")</f>
        <v/>
      </c>
      <c r="E508" s="61" t="str">
        <f>_xlfn.XLOOKUP($B461, [1]加工記録２!$CD:$CD,[1]加工記録２!Z:Z,,0)</f>
        <v/>
      </c>
      <c r="F508" s="62"/>
      <c r="G508" s="63" t="str">
        <f>IFERROR(SUM(H508*$D497),"")</f>
        <v/>
      </c>
      <c r="H508" s="64" t="str">
        <f>_xlfn.XLOOKUP($B461,[1]加工記録２!$CD:$CD,[1]加工記録２!BV:BV,,0)</f>
        <v/>
      </c>
      <c r="I508" s="69">
        <f>_xlfn.LET(_xlpm.val,_xlfn.XLOOKUP($B461,[1]加工記録２!$CD:$CD,[1]加工記録２!AS:AS,""),IF(OR(_xlpm.val="",_xlpm.val=0),"",_xlpm.val))</f>
        <v>45805</v>
      </c>
      <c r="J508" s="70">
        <f>_xlfn.LET(_xlpm.val,_xlfn.XLOOKUP($B461,[1]加工記録２!$CD:$CD,[1]加工記録２!AT:AT,""),IF(OR(_xlpm.val="",_xlpm.val=0),"",_xlpm.val))</f>
        <v>6</v>
      </c>
      <c r="K508" s="55"/>
      <c r="L508" s="55"/>
      <c r="M508" s="55"/>
      <c r="N508" s="55"/>
    </row>
    <row r="509" spans="1:22" s="56" customFormat="1" ht="18.95" customHeight="1">
      <c r="A509" s="58" t="str">
        <f>IFERROR(_xlfn.XLOOKUP($B461&amp;$J495,[1]加工記録２!$CD:$CD&amp;[1]加工記録２!AD:AD,[1]加工記録２!BG:BG,,0),"/")</f>
        <v/>
      </c>
      <c r="B509" s="59" t="str">
        <f>_xlfn.XLOOKUP($B461,[1]加工記録２!$CD:$CD,[1]加工記録２!BO:BO,,0)</f>
        <v/>
      </c>
      <c r="C509" s="59" t="str">
        <f>_xlfn.XLOOKUP($B461,[1]加工記録２!$CD:$CD,[1]加工記録２!T:T,,0)</f>
        <v/>
      </c>
      <c r="D509" s="60" t="str">
        <f>IFERROR(_xlfn.XLOOKUP(IF(_xlfn.XLOOKUP($B461,[1]加工記録２!$CD:$CD,[1]加工記録２!C:C,,0)="","",_xlfn.XLOOKUP($B461,[1]加工記録２!$CD:$CD,[1]加工記録２!C:C,,0))&amp;C509,[1]温度換算!A:A,[1]温度換算!C:C),"")</f>
        <v/>
      </c>
      <c r="E509" s="61" t="str">
        <f>_xlfn.XLOOKUP($B461, [1]加工記録２!$CD:$CD,[1]加工記録２!AA:AA,,0)</f>
        <v/>
      </c>
      <c r="F509" s="62"/>
      <c r="G509" s="63" t="str">
        <f>IFERROR(SUM(H509*$D497),"")</f>
        <v/>
      </c>
      <c r="H509" s="64" t="str">
        <f>_xlfn.XLOOKUP($B461,[1]加工記録２!$CD:$CD,[1]加工記録２!BW:BW,,0)</f>
        <v/>
      </c>
      <c r="I509" s="69" t="str">
        <f>_xlfn.LET(_xlpm.val,_xlfn.XLOOKUP($B461,[1]加工記録２!$CD:$CD,[1]加工記録２!AU:AU,""),IF(OR(_xlpm.val="",_xlpm.val=0),"",_xlpm.val))</f>
        <v/>
      </c>
      <c r="J509" s="70" t="str">
        <f>_xlfn.LET(_xlpm.val,_xlfn.XLOOKUP($B461,[1]加工記録２!$CD:$CD,[1]加工記録２!AV:AV,""),IF(OR(_xlpm.val="",_xlpm.val=0),"",_xlpm.val))</f>
        <v/>
      </c>
      <c r="K509" s="55"/>
      <c r="L509" s="55"/>
      <c r="M509" s="55"/>
      <c r="N509" s="55"/>
    </row>
    <row r="510" spans="1:22" s="56" customFormat="1" ht="18.95" customHeight="1">
      <c r="A510" s="58" t="str">
        <f>IFERROR(_xlfn.XLOOKUP($B461&amp;$J495,[1]加工記録２!$CD:$CD&amp;[1]加工記録２!AD:AD,[1]加工記録２!BH:BH,,0),"/")</f>
        <v/>
      </c>
      <c r="B510" s="59" t="str">
        <f>_xlfn.XLOOKUP($B461,[1]加工記録２!$CD:$CD,[1]加工記録２!BP:BP,,0)</f>
        <v/>
      </c>
      <c r="C510" s="59" t="str">
        <f>_xlfn.XLOOKUP($B461,[1]加工記録２!$CD:$CD,[1]加工記録２!U:U,,0)</f>
        <v/>
      </c>
      <c r="D510" s="60" t="str">
        <f>IFERROR(_xlfn.XLOOKUP(IF(_xlfn.XLOOKUP($B461,[1]加工記録２!$CD:$CD,[1]加工記録２!C:C,,0)="","",_xlfn.XLOOKUP($B461,[1]加工記録２!$CD:$CD,[1]加工記録２!C:C,,0))&amp;C510,[1]温度換算!A:A,[1]温度換算!C:C),"")</f>
        <v/>
      </c>
      <c r="E510" s="61" t="str">
        <f>_xlfn.XLOOKUP($B461, [1]加工記録２!$CD:$CD,[1]加工記録２!AB:AB,,0)</f>
        <v/>
      </c>
      <c r="F510" s="62"/>
      <c r="G510" s="63" t="str">
        <f>IFERROR(SUM(H510*$D497),"")</f>
        <v/>
      </c>
      <c r="H510" s="64" t="str">
        <f>_xlfn.XLOOKUP($B461,[1]加工記録２!$CD:$CD,[1]加工記録２!BX:BX,,0)</f>
        <v/>
      </c>
      <c r="I510" s="69" t="str">
        <f>_xlfn.LET(_xlpm.val,_xlfn.XLOOKUP($B461,[1]加工記録２!$CD:$CD,[1]加工記録２!AW:AW,""),IF(OR(_xlpm.val="",_xlpm.val=0),"",_xlpm.val))</f>
        <v/>
      </c>
      <c r="J510" s="70" t="str">
        <f>_xlfn.LET(_xlpm.val,_xlfn.XLOOKUP($B461,[1]加工記録２!$CD:$CD,[1]加工記録２!AX:AX,""),IF(OR(_xlpm.val="",_xlpm.val=0),"",_xlpm.val))</f>
        <v/>
      </c>
      <c r="K510" s="55"/>
      <c r="L510" s="55"/>
      <c r="M510" s="55"/>
      <c r="N510" s="55"/>
    </row>
    <row r="511" spans="1:22" s="56" customFormat="1" ht="18.95" customHeight="1" thickBot="1">
      <c r="A511" s="71" t="str">
        <f>IFERROR(_xlfn.XLOOKUP($B461&amp;$J495,[1]加工記録２!$CD:$CD&amp;[1]加工記録２!AD:AD,[1]加工記録２!BI:BI,,0),"/")</f>
        <v/>
      </c>
      <c r="B511" s="72" t="str">
        <f>_xlfn.XLOOKUP($B461,[1]加工記録２!$CD:$CD,[1]加工記録２!BQ:BQ,,0)</f>
        <v/>
      </c>
      <c r="C511" s="72" t="str">
        <f>_xlfn.XLOOKUP($B461,[1]加工記録２!$CD:$CD,[1]加工記録２!V:V,,0)</f>
        <v/>
      </c>
      <c r="D511" s="73" t="str">
        <f>IFERROR(_xlfn.XLOOKUP(IF(_xlfn.XLOOKUP($B461,[1]加工記録２!$CD:$CD,[1]加工記録２!C:C,,0)="","",_xlfn.XLOOKUP($B461,[1]加工記録２!$CD:$CD,[1]加工記録２!C:C,,0))&amp;C511,[1]温度換算!A:A,[1]温度換算!C:C),"")</f>
        <v/>
      </c>
      <c r="E511" s="74" t="str">
        <f>_xlfn.XLOOKUP($B461, [1]加工記録２!$CD:$CD,[1]加工記録２!AC:AC,,0)</f>
        <v/>
      </c>
      <c r="F511" s="75"/>
      <c r="G511" s="76" t="str">
        <f>IFERROR(SUM(H511*$D497),"")</f>
        <v/>
      </c>
      <c r="H511" s="77" t="str">
        <f>_xlfn.XLOOKUP($B461,[1]加工記録２!$CD:$CD,[1]加工記録２!BY:BY,,0)</f>
        <v/>
      </c>
      <c r="I511" s="78" t="str">
        <f>_xlfn.LET(_xlpm.val,_xlfn.XLOOKUP($B461,[1]加工記録２!$CD:$CD,[1]加工記録２!AY:AY,""),IF(OR(_xlpm.val="",_xlpm.val=0),"",_xlpm.val))</f>
        <v/>
      </c>
      <c r="J511" s="79" t="str">
        <f>_xlfn.LET(_xlpm.val,_xlfn.XLOOKUP($B461,[1]加工記録２!$CD:$CD,[1]加工記録２!AZ:AZ,""),IF(OR(_xlpm.val="",_xlpm.val=0),"",_xlpm.val))</f>
        <v/>
      </c>
      <c r="K511" s="55"/>
      <c r="L511" s="55"/>
      <c r="M511" s="55"/>
      <c r="N511" s="55"/>
    </row>
    <row r="512" spans="1:22" ht="13.5" customHeight="1" thickBo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</sheetData>
  <mergeCells count="1053">
    <mergeCell ref="A444:A445"/>
    <mergeCell ref="B444:B445"/>
    <mergeCell ref="C444:C445"/>
    <mergeCell ref="D444:D445"/>
    <mergeCell ref="E444:F444"/>
    <mergeCell ref="I444:I445"/>
    <mergeCell ref="J444:J445"/>
    <mergeCell ref="E445:F445"/>
    <mergeCell ref="I447:I448"/>
    <mergeCell ref="J447:J448"/>
    <mergeCell ref="I333:I334"/>
    <mergeCell ref="J333:J334"/>
    <mergeCell ref="A437:D437"/>
    <mergeCell ref="A438:D439"/>
    <mergeCell ref="E438:F438"/>
    <mergeCell ref="I438:I439"/>
    <mergeCell ref="J438:J439"/>
    <mergeCell ref="E439:F439"/>
    <mergeCell ref="A440:A441"/>
    <mergeCell ref="B440:B441"/>
    <mergeCell ref="C440:C441"/>
    <mergeCell ref="D440:D441"/>
    <mergeCell ref="E440:F440"/>
    <mergeCell ref="E441:F441"/>
    <mergeCell ref="I441:I442"/>
    <mergeCell ref="J441:J442"/>
    <mergeCell ref="A442:A443"/>
    <mergeCell ref="B442:B443"/>
    <mergeCell ref="C442:C443"/>
    <mergeCell ref="D442:D443"/>
    <mergeCell ref="E442:F442"/>
    <mergeCell ref="E443:F443"/>
    <mergeCell ref="G437:H437"/>
    <mergeCell ref="A387:A388"/>
    <mergeCell ref="B387:B388"/>
    <mergeCell ref="C387:C388"/>
    <mergeCell ref="D387:D388"/>
    <mergeCell ref="E387:F387"/>
    <mergeCell ref="I387:I388"/>
    <mergeCell ref="J387:J388"/>
    <mergeCell ref="E388:F388"/>
    <mergeCell ref="I390:I391"/>
    <mergeCell ref="J273:J274"/>
    <mergeCell ref="E274:F274"/>
    <mergeCell ref="I276:I277"/>
    <mergeCell ref="J276:J277"/>
    <mergeCell ref="A380:D380"/>
    <mergeCell ref="A381:D382"/>
    <mergeCell ref="E381:F381"/>
    <mergeCell ref="I381:I382"/>
    <mergeCell ref="J381:J382"/>
    <mergeCell ref="E382:F382"/>
    <mergeCell ref="A383:A384"/>
    <mergeCell ref="B383:B384"/>
    <mergeCell ref="C383:C384"/>
    <mergeCell ref="D383:D384"/>
    <mergeCell ref="E383:F383"/>
    <mergeCell ref="E384:F384"/>
    <mergeCell ref="I384:I385"/>
    <mergeCell ref="J384:J385"/>
    <mergeCell ref="A385:A386"/>
    <mergeCell ref="B385:B386"/>
    <mergeCell ref="C385:C386"/>
    <mergeCell ref="A330:A331"/>
    <mergeCell ref="D330:D331"/>
    <mergeCell ref="E330:F330"/>
    <mergeCell ref="I330:I331"/>
    <mergeCell ref="J330:J331"/>
    <mergeCell ref="E331:F331"/>
    <mergeCell ref="E216:F216"/>
    <mergeCell ref="I216:I217"/>
    <mergeCell ref="J216:J217"/>
    <mergeCell ref="E217:F217"/>
    <mergeCell ref="I219:I220"/>
    <mergeCell ref="J219:J220"/>
    <mergeCell ref="A323:D323"/>
    <mergeCell ref="A324:D325"/>
    <mergeCell ref="E324:F324"/>
    <mergeCell ref="I324:I325"/>
    <mergeCell ref="J324:J325"/>
    <mergeCell ref="E325:F325"/>
    <mergeCell ref="A326:A327"/>
    <mergeCell ref="B326:B327"/>
    <mergeCell ref="C326:C327"/>
    <mergeCell ref="D326:D327"/>
    <mergeCell ref="E326:F326"/>
    <mergeCell ref="E327:F327"/>
    <mergeCell ref="I327:I328"/>
    <mergeCell ref="J327:J328"/>
    <mergeCell ref="A328:A329"/>
    <mergeCell ref="B328:B329"/>
    <mergeCell ref="C328:C329"/>
    <mergeCell ref="D328:D329"/>
    <mergeCell ref="E328:F328"/>
    <mergeCell ref="A273:A274"/>
    <mergeCell ref="B273:B274"/>
    <mergeCell ref="C273:C274"/>
    <mergeCell ref="D273:D274"/>
    <mergeCell ref="E273:F273"/>
    <mergeCell ref="I273:I274"/>
    <mergeCell ref="C159:C160"/>
    <mergeCell ref="D159:D160"/>
    <mergeCell ref="E159:F159"/>
    <mergeCell ref="I159:I160"/>
    <mergeCell ref="J159:J160"/>
    <mergeCell ref="E160:F160"/>
    <mergeCell ref="I162:I163"/>
    <mergeCell ref="J162:J163"/>
    <mergeCell ref="A266:D266"/>
    <mergeCell ref="A267:D268"/>
    <mergeCell ref="E267:F267"/>
    <mergeCell ref="I267:I268"/>
    <mergeCell ref="J267:J268"/>
    <mergeCell ref="E268:F268"/>
    <mergeCell ref="A269:A270"/>
    <mergeCell ref="B269:B270"/>
    <mergeCell ref="C269:C270"/>
    <mergeCell ref="D269:D270"/>
    <mergeCell ref="E269:F269"/>
    <mergeCell ref="E270:F270"/>
    <mergeCell ref="I270:I271"/>
    <mergeCell ref="A207:B207"/>
    <mergeCell ref="A208:B208"/>
    <mergeCell ref="J270:J271"/>
    <mergeCell ref="A271:A272"/>
    <mergeCell ref="B271:B272"/>
    <mergeCell ref="C271:C272"/>
    <mergeCell ref="D271:D272"/>
    <mergeCell ref="E271:F271"/>
    <mergeCell ref="E272:F272"/>
    <mergeCell ref="A216:A217"/>
    <mergeCell ref="B216:B217"/>
    <mergeCell ref="C216:C217"/>
    <mergeCell ref="D216:D217"/>
    <mergeCell ref="A102:A103"/>
    <mergeCell ref="B102:B103"/>
    <mergeCell ref="C102:C103"/>
    <mergeCell ref="D102:D103"/>
    <mergeCell ref="E102:F102"/>
    <mergeCell ref="I102:I103"/>
    <mergeCell ref="J102:J103"/>
    <mergeCell ref="E103:F103"/>
    <mergeCell ref="I105:I106"/>
    <mergeCell ref="J105:J106"/>
    <mergeCell ref="A209:D209"/>
    <mergeCell ref="A210:D211"/>
    <mergeCell ref="E210:F210"/>
    <mergeCell ref="I210:I211"/>
    <mergeCell ref="J210:J211"/>
    <mergeCell ref="E211:F211"/>
    <mergeCell ref="A212:A213"/>
    <mergeCell ref="B212:B213"/>
    <mergeCell ref="F263:J263"/>
    <mergeCell ref="A206:B206"/>
    <mergeCell ref="I193:J193"/>
    <mergeCell ref="I126:J127"/>
    <mergeCell ref="A214:A215"/>
    <mergeCell ref="A159:A160"/>
    <mergeCell ref="B45:B46"/>
    <mergeCell ref="C45:C46"/>
    <mergeCell ref="D45:D46"/>
    <mergeCell ref="E45:F45"/>
    <mergeCell ref="I45:I46"/>
    <mergeCell ref="J45:J46"/>
    <mergeCell ref="E46:F46"/>
    <mergeCell ref="I48:I49"/>
    <mergeCell ref="J48:J49"/>
    <mergeCell ref="C87:E87"/>
    <mergeCell ref="F79:H79"/>
    <mergeCell ref="E60:E61"/>
    <mergeCell ref="C77:D77"/>
    <mergeCell ref="F73:H73"/>
    <mergeCell ref="E213:F213"/>
    <mergeCell ref="I213:I214"/>
    <mergeCell ref="J213:J214"/>
    <mergeCell ref="B214:B215"/>
    <mergeCell ref="C214:C215"/>
    <mergeCell ref="D214:D215"/>
    <mergeCell ref="E214:F214"/>
    <mergeCell ref="E215:F215"/>
    <mergeCell ref="B159:B160"/>
    <mergeCell ref="A152:D152"/>
    <mergeCell ref="A153:D154"/>
    <mergeCell ref="E153:F153"/>
    <mergeCell ref="I153:I154"/>
    <mergeCell ref="J153:J154"/>
    <mergeCell ref="E154:F154"/>
    <mergeCell ref="D157:D158"/>
    <mergeCell ref="E157:F157"/>
    <mergeCell ref="E158:F158"/>
    <mergeCell ref="C98:C99"/>
    <mergeCell ref="D98:D99"/>
    <mergeCell ref="E98:F98"/>
    <mergeCell ref="E99:F99"/>
    <mergeCell ref="I99:I100"/>
    <mergeCell ref="J99:J100"/>
    <mergeCell ref="A100:A101"/>
    <mergeCell ref="B100:B101"/>
    <mergeCell ref="C100:C101"/>
    <mergeCell ref="D100:D101"/>
    <mergeCell ref="E100:F100"/>
    <mergeCell ref="E101:F101"/>
    <mergeCell ref="A155:A156"/>
    <mergeCell ref="B155:B156"/>
    <mergeCell ref="C155:C156"/>
    <mergeCell ref="D155:D156"/>
    <mergeCell ref="E155:F155"/>
    <mergeCell ref="E156:F156"/>
    <mergeCell ref="I156:I157"/>
    <mergeCell ref="J156:J157"/>
    <mergeCell ref="A157:A158"/>
    <mergeCell ref="B157:B158"/>
    <mergeCell ref="C157:C158"/>
    <mergeCell ref="C428:E428"/>
    <mergeCell ref="F428:J428"/>
    <mergeCell ref="F237:G237"/>
    <mergeCell ref="F408:G408"/>
    <mergeCell ref="C363:D363"/>
    <mergeCell ref="F251:H251"/>
    <mergeCell ref="F189:H189"/>
    <mergeCell ref="G297:G298"/>
    <mergeCell ref="C191:D191"/>
    <mergeCell ref="C321:E321"/>
    <mergeCell ref="I419:J419"/>
    <mergeCell ref="C345:C346"/>
    <mergeCell ref="E404:E405"/>
    <mergeCell ref="C192:D192"/>
    <mergeCell ref="I374:J374"/>
    <mergeCell ref="C189:D189"/>
    <mergeCell ref="C212:C213"/>
    <mergeCell ref="D212:D213"/>
    <mergeCell ref="E212:F212"/>
    <mergeCell ref="D385:D386"/>
    <mergeCell ref="E385:F385"/>
    <mergeCell ref="E386:F386"/>
    <mergeCell ref="J390:J391"/>
    <mergeCell ref="I305:J305"/>
    <mergeCell ref="C307:D307"/>
    <mergeCell ref="C421:D421"/>
    <mergeCell ref="I260:J260"/>
    <mergeCell ref="A354:C355"/>
    <mergeCell ref="C376:E376"/>
    <mergeCell ref="C314:E314"/>
    <mergeCell ref="A428:B428"/>
    <mergeCell ref="F351:G351"/>
    <mergeCell ref="F66:G66"/>
    <mergeCell ref="C18:D18"/>
    <mergeCell ref="A38:D38"/>
    <mergeCell ref="A39:D40"/>
    <mergeCell ref="E39:F39"/>
    <mergeCell ref="E40:F40"/>
    <mergeCell ref="A41:A42"/>
    <mergeCell ref="B41:B42"/>
    <mergeCell ref="C41:C42"/>
    <mergeCell ref="D41:D42"/>
    <mergeCell ref="E43:F43"/>
    <mergeCell ref="E44:F44"/>
    <mergeCell ref="F31:J31"/>
    <mergeCell ref="C34:E34"/>
    <mergeCell ref="A35:B35"/>
    <mergeCell ref="A262:B262"/>
    <mergeCell ref="A36:B36"/>
    <mergeCell ref="B121:B122"/>
    <mergeCell ref="A72:J72"/>
    <mergeCell ref="I69:J70"/>
    <mergeCell ref="C150:E150"/>
    <mergeCell ref="C144:E144"/>
    <mergeCell ref="C80:D80"/>
    <mergeCell ref="A260:B260"/>
    <mergeCell ref="E62:E63"/>
    <mergeCell ref="J232:J233"/>
    <mergeCell ref="C89:E89"/>
    <mergeCell ref="C260:E260"/>
    <mergeCell ref="F19:H19"/>
    <mergeCell ref="A95:D95"/>
    <mergeCell ref="C244:D244"/>
    <mergeCell ref="A45:A46"/>
    <mergeCell ref="A15:J15"/>
    <mergeCell ref="A186:J186"/>
    <mergeCell ref="F130:H130"/>
    <mergeCell ref="G148:H148"/>
    <mergeCell ref="G139:H139"/>
    <mergeCell ref="A33:B33"/>
    <mergeCell ref="A204:B204"/>
    <mergeCell ref="B64:B65"/>
    <mergeCell ref="I201:J201"/>
    <mergeCell ref="I39:I40"/>
    <mergeCell ref="J39:J40"/>
    <mergeCell ref="E41:F41"/>
    <mergeCell ref="E42:F42"/>
    <mergeCell ref="I42:I43"/>
    <mergeCell ref="J42:J43"/>
    <mergeCell ref="A43:A44"/>
    <mergeCell ref="B43:B44"/>
    <mergeCell ref="C43:C44"/>
    <mergeCell ref="D43:D44"/>
    <mergeCell ref="A96:D97"/>
    <mergeCell ref="E96:F96"/>
    <mergeCell ref="I96:I97"/>
    <mergeCell ref="J96:J97"/>
    <mergeCell ref="F121:G121"/>
    <mergeCell ref="F18:H18"/>
    <mergeCell ref="F60:H61"/>
    <mergeCell ref="C79:D79"/>
    <mergeCell ref="C73:D73"/>
    <mergeCell ref="F33:J33"/>
    <mergeCell ref="E97:F97"/>
    <mergeCell ref="A98:A99"/>
    <mergeCell ref="B98:B99"/>
    <mergeCell ref="A431:B431"/>
    <mergeCell ref="I415:J415"/>
    <mergeCell ref="F75:H75"/>
    <mergeCell ref="F135:H135"/>
    <mergeCell ref="G433:H433"/>
    <mergeCell ref="B172:D173"/>
    <mergeCell ref="I191:J191"/>
    <mergeCell ref="I362:J362"/>
    <mergeCell ref="I433:J433"/>
    <mergeCell ref="F37:J37"/>
    <mergeCell ref="C201:E201"/>
    <mergeCell ref="C90:E90"/>
    <mergeCell ref="A258:B258"/>
    <mergeCell ref="A297:C298"/>
    <mergeCell ref="I364:J364"/>
    <mergeCell ref="G424:H424"/>
    <mergeCell ref="F133:H133"/>
    <mergeCell ref="F197:J197"/>
    <mergeCell ref="I192:J192"/>
    <mergeCell ref="H240:H241"/>
    <mergeCell ref="E347:E348"/>
    <mergeCell ref="C431:E431"/>
    <mergeCell ref="F419:H419"/>
    <mergeCell ref="G380:H380"/>
    <mergeCell ref="G203:H203"/>
    <mergeCell ref="G374:H374"/>
    <mergeCell ref="C88:E88"/>
    <mergeCell ref="C259:E259"/>
    <mergeCell ref="I354:J355"/>
    <mergeCell ref="G427:H427"/>
    <mergeCell ref="B115:D116"/>
    <mergeCell ref="C379:E379"/>
    <mergeCell ref="I78:J78"/>
    <mergeCell ref="A288:A289"/>
    <mergeCell ref="C288:C289"/>
    <mergeCell ref="A202:B202"/>
    <mergeCell ref="G367:H367"/>
    <mergeCell ref="G87:H87"/>
    <mergeCell ref="I87:J87"/>
    <mergeCell ref="C365:D365"/>
    <mergeCell ref="J118:J119"/>
    <mergeCell ref="C37:E37"/>
    <mergeCell ref="G183:G184"/>
    <mergeCell ref="F248:H248"/>
    <mergeCell ref="C205:E205"/>
    <mergeCell ref="C94:E94"/>
    <mergeCell ref="F257:J257"/>
    <mergeCell ref="C261:E261"/>
    <mergeCell ref="G126:G127"/>
    <mergeCell ref="C139:E139"/>
    <mergeCell ref="G209:H209"/>
    <mergeCell ref="B290:B291"/>
    <mergeCell ref="A87:B87"/>
    <mergeCell ref="B345:B346"/>
    <mergeCell ref="A86:B86"/>
    <mergeCell ref="G319:H319"/>
    <mergeCell ref="I248:J248"/>
    <mergeCell ref="A151:B151"/>
    <mergeCell ref="A150:B150"/>
    <mergeCell ref="A321:B321"/>
    <mergeCell ref="A144:B144"/>
    <mergeCell ref="B286:D287"/>
    <mergeCell ref="C137:D137"/>
    <mergeCell ref="A205:B205"/>
    <mergeCell ref="C26:D26"/>
    <mergeCell ref="C197:D197"/>
    <mergeCell ref="F320:J320"/>
    <mergeCell ref="G82:H82"/>
    <mergeCell ref="C249:D249"/>
    <mergeCell ref="G253:H253"/>
    <mergeCell ref="C203:E203"/>
    <mergeCell ref="A34:B34"/>
    <mergeCell ref="A143:B143"/>
    <mergeCell ref="I196:J196"/>
    <mergeCell ref="F22:H22"/>
    <mergeCell ref="A257:B257"/>
    <mergeCell ref="I194:J194"/>
    <mergeCell ref="I365:J365"/>
    <mergeCell ref="I25:J25"/>
    <mergeCell ref="A3:A4"/>
    <mergeCell ref="F86:J86"/>
    <mergeCell ref="G146:H146"/>
    <mergeCell ref="I75:J75"/>
    <mergeCell ref="G317:H317"/>
    <mergeCell ref="I146:J146"/>
    <mergeCell ref="A149:B149"/>
    <mergeCell ref="I317:J317"/>
    <mergeCell ref="A5:A6"/>
    <mergeCell ref="F9:G9"/>
    <mergeCell ref="C134:D134"/>
    <mergeCell ref="C305:D305"/>
    <mergeCell ref="B119:B120"/>
    <mergeCell ref="I307:J307"/>
    <mergeCell ref="I144:J144"/>
    <mergeCell ref="A316:B316"/>
    <mergeCell ref="G38:H38"/>
    <mergeCell ref="F5:H6"/>
    <mergeCell ref="F200:J200"/>
    <mergeCell ref="C208:E208"/>
    <mergeCell ref="G95:H95"/>
    <mergeCell ref="G89:H89"/>
    <mergeCell ref="G12:G13"/>
    <mergeCell ref="A28:B28"/>
    <mergeCell ref="I30:J30"/>
    <mergeCell ref="C36:E36"/>
    <mergeCell ref="A30:B30"/>
    <mergeCell ref="B1:D2"/>
    <mergeCell ref="I20:J20"/>
    <mergeCell ref="G85:H85"/>
    <mergeCell ref="G256:H256"/>
    <mergeCell ref="C425:D425"/>
    <mergeCell ref="C427:E427"/>
    <mergeCell ref="C206:E206"/>
    <mergeCell ref="A117:A118"/>
    <mergeCell ref="C377:E377"/>
    <mergeCell ref="I370:J370"/>
    <mergeCell ref="F365:H365"/>
    <mergeCell ref="H69:H70"/>
    <mergeCell ref="A89:B89"/>
    <mergeCell ref="F3:H4"/>
    <mergeCell ref="F174:H175"/>
    <mergeCell ref="C371:E371"/>
    <mergeCell ref="C143:E143"/>
    <mergeCell ref="A119:A120"/>
    <mergeCell ref="F147:J147"/>
    <mergeCell ref="B3:B4"/>
    <mergeCell ref="I80:J80"/>
    <mergeCell ref="I378:J378"/>
    <mergeCell ref="A12:C13"/>
    <mergeCell ref="F92:J92"/>
    <mergeCell ref="G91:H91"/>
    <mergeCell ref="H295:J296"/>
    <mergeCell ref="F136:H136"/>
    <mergeCell ref="C76:D76"/>
    <mergeCell ref="B288:B289"/>
    <mergeCell ref="A374:B374"/>
    <mergeCell ref="A347:A348"/>
    <mergeCell ref="A29:B29"/>
    <mergeCell ref="I262:J262"/>
    <mergeCell ref="B58:D59"/>
    <mergeCell ref="A235:A236"/>
    <mergeCell ref="I403:I404"/>
    <mergeCell ref="A313:B313"/>
    <mergeCell ref="F432:J432"/>
    <mergeCell ref="F140:J140"/>
    <mergeCell ref="A243:J243"/>
    <mergeCell ref="F311:J311"/>
    <mergeCell ref="I244:J244"/>
    <mergeCell ref="F425:J425"/>
    <mergeCell ref="A371:B371"/>
    <mergeCell ref="H238:J239"/>
    <mergeCell ref="I431:J431"/>
    <mergeCell ref="A265:B265"/>
    <mergeCell ref="D60:D61"/>
    <mergeCell ref="D231:D232"/>
    <mergeCell ref="C308:D308"/>
    <mergeCell ref="F345:H346"/>
    <mergeCell ref="F206:J206"/>
    <mergeCell ref="F377:J377"/>
    <mergeCell ref="A37:B37"/>
    <mergeCell ref="C19:D19"/>
    <mergeCell ref="C190:D190"/>
    <mergeCell ref="F145:J145"/>
    <mergeCell ref="F26:J26"/>
    <mergeCell ref="E176:E177"/>
    <mergeCell ref="I21:J21"/>
    <mergeCell ref="G152:H152"/>
    <mergeCell ref="G323:H323"/>
    <mergeCell ref="C21:D21"/>
    <mergeCell ref="F180:G180"/>
    <mergeCell ref="F90:J90"/>
    <mergeCell ref="A32:B32"/>
    <mergeCell ref="I23:J23"/>
    <mergeCell ref="C23:D23"/>
    <mergeCell ref="C303:D303"/>
    <mergeCell ref="C317:E317"/>
    <mergeCell ref="J61:J62"/>
    <mergeCell ref="I34:J34"/>
    <mergeCell ref="A253:B253"/>
    <mergeCell ref="I232:I233"/>
    <mergeCell ref="I36:J36"/>
    <mergeCell ref="A263:B263"/>
    <mergeCell ref="A62:A63"/>
    <mergeCell ref="A203:B203"/>
    <mergeCell ref="A261:B261"/>
    <mergeCell ref="C304:D304"/>
    <mergeCell ref="A264:B264"/>
    <mergeCell ref="F78:H78"/>
    <mergeCell ref="C204:E204"/>
    <mergeCell ref="A233:A234"/>
    <mergeCell ref="B117:B118"/>
    <mergeCell ref="A126:C127"/>
    <mergeCell ref="G10:G11"/>
    <mergeCell ref="G181:G182"/>
    <mergeCell ref="C306:D306"/>
    <mergeCell ref="C368:D368"/>
    <mergeCell ref="F308:H308"/>
    <mergeCell ref="J4:J5"/>
    <mergeCell ref="J175:J176"/>
    <mergeCell ref="C364:D364"/>
    <mergeCell ref="F322:J322"/>
    <mergeCell ref="H10:J11"/>
    <mergeCell ref="D3:D4"/>
    <mergeCell ref="H12:H13"/>
    <mergeCell ref="H354:H355"/>
    <mergeCell ref="C132:D132"/>
    <mergeCell ref="F259:J259"/>
    <mergeCell ref="C313:E313"/>
    <mergeCell ref="C33:E33"/>
    <mergeCell ref="F261:J261"/>
    <mergeCell ref="G25:H25"/>
    <mergeCell ref="C315:E315"/>
    <mergeCell ref="C35:E35"/>
    <mergeCell ref="F254:J254"/>
    <mergeCell ref="F64:G64"/>
    <mergeCell ref="I187:J187"/>
    <mergeCell ref="C16:D16"/>
    <mergeCell ref="F119:H120"/>
    <mergeCell ref="D288:D289"/>
    <mergeCell ref="F235:G235"/>
    <mergeCell ref="C301:D301"/>
    <mergeCell ref="G124:G125"/>
    <mergeCell ref="C82:E82"/>
    <mergeCell ref="C253:E253"/>
    <mergeCell ref="F21:H21"/>
    <mergeCell ref="F192:H192"/>
    <mergeCell ref="G238:G239"/>
    <mergeCell ref="C25:E25"/>
    <mergeCell ref="C196:E196"/>
    <mergeCell ref="C85:E85"/>
    <mergeCell ref="C83:D83"/>
    <mergeCell ref="C248:D248"/>
    <mergeCell ref="C254:D254"/>
    <mergeCell ref="C256:E256"/>
    <mergeCell ref="A319:B319"/>
    <mergeCell ref="F371:J371"/>
    <mergeCell ref="A142:B142"/>
    <mergeCell ref="B404:B405"/>
    <mergeCell ref="I199:J199"/>
    <mergeCell ref="F415:H415"/>
    <mergeCell ref="F194:H194"/>
    <mergeCell ref="G196:H196"/>
    <mergeCell ref="G207:H207"/>
    <mergeCell ref="D174:D175"/>
    <mergeCell ref="C93:E93"/>
    <mergeCell ref="C174:C175"/>
    <mergeCell ref="E174:E175"/>
    <mergeCell ref="G36:H36"/>
    <mergeCell ref="C250:D250"/>
    <mergeCell ref="F143:J143"/>
    <mergeCell ref="C86:E86"/>
    <mergeCell ref="C187:D187"/>
    <mergeCell ref="F244:H244"/>
    <mergeCell ref="F290:H291"/>
    <mergeCell ref="C375:E375"/>
    <mergeCell ref="I247:J247"/>
    <mergeCell ref="F35:J35"/>
    <mergeCell ref="C422:D422"/>
    <mergeCell ref="A145:B145"/>
    <mergeCell ref="A139:B139"/>
    <mergeCell ref="A92:B92"/>
    <mergeCell ref="H183:H184"/>
    <mergeCell ref="C433:E433"/>
    <mergeCell ref="B229:D230"/>
    <mergeCell ref="B400:D401"/>
    <mergeCell ref="C251:D251"/>
    <mergeCell ref="F191:H191"/>
    <mergeCell ref="A259:B259"/>
    <mergeCell ref="I250:J250"/>
    <mergeCell ref="C430:E430"/>
    <mergeCell ref="G295:G296"/>
    <mergeCell ref="C319:E319"/>
    <mergeCell ref="A406:A407"/>
    <mergeCell ref="I313:J313"/>
    <mergeCell ref="C367:E367"/>
    <mergeCell ref="I421:J421"/>
    <mergeCell ref="H411:H412"/>
    <mergeCell ref="G411:G412"/>
    <mergeCell ref="A411:C412"/>
    <mergeCell ref="F364:H364"/>
    <mergeCell ref="F349:G349"/>
    <mergeCell ref="F347:H348"/>
    <mergeCell ref="C247:D247"/>
    <mergeCell ref="C60:C61"/>
    <mergeCell ref="G205:H205"/>
    <mergeCell ref="G376:H376"/>
    <mergeCell ref="A93:B93"/>
    <mergeCell ref="H126:H127"/>
    <mergeCell ref="F29:J29"/>
    <mergeCell ref="H409:J410"/>
    <mergeCell ref="I12:J13"/>
    <mergeCell ref="F178:G178"/>
    <mergeCell ref="B343:D344"/>
    <mergeCell ref="I251:J251"/>
    <mergeCell ref="I422:J422"/>
    <mergeCell ref="I189:J189"/>
    <mergeCell ref="I246:J246"/>
    <mergeCell ref="I360:J360"/>
    <mergeCell ref="G431:H431"/>
    <mergeCell ref="A94:B94"/>
    <mergeCell ref="F288:H289"/>
    <mergeCell ref="C417:D417"/>
    <mergeCell ref="F23:H23"/>
    <mergeCell ref="C20:D20"/>
    <mergeCell ref="B176:B177"/>
    <mergeCell ref="A256:B256"/>
    <mergeCell ref="A367:B367"/>
    <mergeCell ref="I424:J424"/>
    <mergeCell ref="A427:B427"/>
    <mergeCell ref="C133:D133"/>
    <mergeCell ref="B178:B179"/>
    <mergeCell ref="C22:D22"/>
    <mergeCell ref="C193:D193"/>
    <mergeCell ref="C262:E262"/>
    <mergeCell ref="G240:G241"/>
    <mergeCell ref="C320:E320"/>
    <mergeCell ref="A64:A65"/>
    <mergeCell ref="A349:A350"/>
    <mergeCell ref="A31:B31"/>
    <mergeCell ref="F208:J208"/>
    <mergeCell ref="C28:E28"/>
    <mergeCell ref="C199:E199"/>
    <mergeCell ref="C435:E435"/>
    <mergeCell ref="F358:H358"/>
    <mergeCell ref="G142:H142"/>
    <mergeCell ref="G313:H313"/>
    <mergeCell ref="I142:J142"/>
    <mergeCell ref="G378:H378"/>
    <mergeCell ref="C92:E92"/>
    <mergeCell ref="C263:E263"/>
    <mergeCell ref="C30:E30"/>
    <mergeCell ref="C434:E434"/>
    <mergeCell ref="G28:H28"/>
    <mergeCell ref="I28:J28"/>
    <mergeCell ref="G30:H30"/>
    <mergeCell ref="E345:E346"/>
    <mergeCell ref="I304:J304"/>
    <mergeCell ref="F314:J314"/>
    <mergeCell ref="C402:C403"/>
    <mergeCell ref="F292:G292"/>
    <mergeCell ref="I427:J427"/>
    <mergeCell ref="F202:J202"/>
    <mergeCell ref="E290:E291"/>
    <mergeCell ref="I306:J306"/>
    <mergeCell ref="G435:H435"/>
    <mergeCell ref="H181:J182"/>
    <mergeCell ref="I32:J32"/>
    <mergeCell ref="I134:J134"/>
    <mergeCell ref="I363:J363"/>
    <mergeCell ref="D345:D346"/>
    <mergeCell ref="F151:J151"/>
    <mergeCell ref="F306:H306"/>
    <mergeCell ref="A424:B424"/>
    <mergeCell ref="F430:J430"/>
    <mergeCell ref="G429:H429"/>
    <mergeCell ref="I429:J429"/>
    <mergeCell ref="D402:D403"/>
    <mergeCell ref="C149:E149"/>
    <mergeCell ref="A300:J300"/>
    <mergeCell ref="I130:J130"/>
    <mergeCell ref="G310:H310"/>
    <mergeCell ref="I190:J190"/>
    <mergeCell ref="J346:J347"/>
    <mergeCell ref="C130:D130"/>
    <mergeCell ref="F233:H234"/>
    <mergeCell ref="I417:J417"/>
    <mergeCell ref="C420:D420"/>
    <mergeCell ref="F137:H137"/>
    <mergeCell ref="A199:B199"/>
    <mergeCell ref="I310:J310"/>
    <mergeCell ref="A429:B429"/>
    <mergeCell ref="A376:B376"/>
    <mergeCell ref="A310:B310"/>
    <mergeCell ref="B347:B348"/>
    <mergeCell ref="C231:C232"/>
    <mergeCell ref="E231:E232"/>
    <mergeCell ref="B235:B236"/>
    <mergeCell ref="G352:G353"/>
    <mergeCell ref="I361:J361"/>
    <mergeCell ref="F316:J316"/>
    <mergeCell ref="C140:D140"/>
    <mergeCell ref="I376:J376"/>
    <mergeCell ref="C419:D419"/>
    <mergeCell ref="F307:H307"/>
    <mergeCell ref="B62:B63"/>
    <mergeCell ref="F80:H80"/>
    <mergeCell ref="A82:B82"/>
    <mergeCell ref="F421:H421"/>
    <mergeCell ref="I205:J205"/>
    <mergeCell ref="A146:B146"/>
    <mergeCell ref="F190:H190"/>
    <mergeCell ref="G262:H262"/>
    <mergeCell ref="C316:E316"/>
    <mergeCell ref="B402:B403"/>
    <mergeCell ref="A292:A293"/>
    <mergeCell ref="F204:J204"/>
    <mergeCell ref="I79:J79"/>
    <mergeCell ref="G144:H144"/>
    <mergeCell ref="I73:J73"/>
    <mergeCell ref="A147:B147"/>
    <mergeCell ref="F362:H362"/>
    <mergeCell ref="F117:H118"/>
    <mergeCell ref="B233:B234"/>
    <mergeCell ref="C370:E370"/>
    <mergeCell ref="C358:D358"/>
    <mergeCell ref="F246:H246"/>
    <mergeCell ref="I308:J308"/>
    <mergeCell ref="C207:E207"/>
    <mergeCell ref="I118:I119"/>
    <mergeCell ref="I289:I290"/>
    <mergeCell ref="G199:H199"/>
    <mergeCell ref="F379:J379"/>
    <mergeCell ref="I136:J136"/>
    <mergeCell ref="C257:E257"/>
    <mergeCell ref="C91:E91"/>
    <mergeCell ref="A372:B372"/>
    <mergeCell ref="A404:A405"/>
    <mergeCell ref="C361:D361"/>
    <mergeCell ref="B406:B407"/>
    <mergeCell ref="I321:J321"/>
    <mergeCell ref="I418:J418"/>
    <mergeCell ref="A290:A291"/>
    <mergeCell ref="F417:H417"/>
    <mergeCell ref="G372:H372"/>
    <mergeCell ref="A378:B378"/>
    <mergeCell ref="C374:E374"/>
    <mergeCell ref="F406:G406"/>
    <mergeCell ref="G370:H370"/>
    <mergeCell ref="E402:E403"/>
    <mergeCell ref="B349:B350"/>
    <mergeCell ref="C418:D418"/>
    <mergeCell ref="A357:J357"/>
    <mergeCell ref="I297:J298"/>
    <mergeCell ref="F363:H363"/>
    <mergeCell ref="A373:B373"/>
    <mergeCell ref="F418:H418"/>
    <mergeCell ref="A345:A346"/>
    <mergeCell ref="I372:J372"/>
    <mergeCell ref="I411:J412"/>
    <mergeCell ref="A379:B379"/>
    <mergeCell ref="A370:B370"/>
    <mergeCell ref="C322:E322"/>
    <mergeCell ref="J403:J404"/>
    <mergeCell ref="C372:E372"/>
    <mergeCell ref="C311:D311"/>
    <mergeCell ref="E329:F329"/>
    <mergeCell ref="B330:B331"/>
    <mergeCell ref="C330:C331"/>
    <mergeCell ref="A7:A8"/>
    <mergeCell ref="A178:A179"/>
    <mergeCell ref="F361:H361"/>
    <mergeCell ref="A88:B88"/>
    <mergeCell ref="F375:J375"/>
    <mergeCell ref="F83:J83"/>
    <mergeCell ref="I16:J16"/>
    <mergeCell ref="I76:J76"/>
    <mergeCell ref="A90:B90"/>
    <mergeCell ref="I203:J203"/>
    <mergeCell ref="B60:B61"/>
    <mergeCell ref="G69:G70"/>
    <mergeCell ref="F7:G7"/>
    <mergeCell ref="C32:E32"/>
    <mergeCell ref="D117:D118"/>
    <mergeCell ref="A121:A122"/>
    <mergeCell ref="F149:J149"/>
    <mergeCell ref="A91:B91"/>
    <mergeCell ref="I148:J148"/>
    <mergeCell ref="I82:J82"/>
    <mergeCell ref="I253:J253"/>
    <mergeCell ref="C360:D360"/>
    <mergeCell ref="F250:H250"/>
    <mergeCell ref="A183:C184"/>
    <mergeCell ref="C29:E29"/>
    <mergeCell ref="C200:E200"/>
    <mergeCell ref="C136:D136"/>
    <mergeCell ref="C265:E265"/>
    <mergeCell ref="A176:A177"/>
    <mergeCell ref="A240:C241"/>
    <mergeCell ref="F88:J88"/>
    <mergeCell ref="I301:J301"/>
    <mergeCell ref="I18:J18"/>
    <mergeCell ref="G34:H34"/>
    <mergeCell ref="A85:B85"/>
    <mergeCell ref="C151:E151"/>
    <mergeCell ref="H352:J353"/>
    <mergeCell ref="F193:H193"/>
    <mergeCell ref="F305:H305"/>
    <mergeCell ref="I367:J367"/>
    <mergeCell ref="C432:E432"/>
    <mergeCell ref="A402:A403"/>
    <mergeCell ref="I435:J435"/>
    <mergeCell ref="C429:E429"/>
    <mergeCell ref="G258:H258"/>
    <mergeCell ref="F77:H77"/>
    <mergeCell ref="I258:J258"/>
    <mergeCell ref="A174:A175"/>
    <mergeCell ref="H297:H298"/>
    <mergeCell ref="A317:B317"/>
    <mergeCell ref="C75:D75"/>
    <mergeCell ref="G409:G410"/>
    <mergeCell ref="F368:J368"/>
    <mergeCell ref="A375:B375"/>
    <mergeCell ref="I77:J77"/>
    <mergeCell ref="E117:E118"/>
    <mergeCell ref="I133:J133"/>
    <mergeCell ref="F265:J265"/>
    <mergeCell ref="B292:B293"/>
    <mergeCell ref="F176:H177"/>
    <mergeCell ref="I132:J132"/>
    <mergeCell ref="I303:J303"/>
    <mergeCell ref="A377:B377"/>
    <mergeCell ref="I19:J19"/>
    <mergeCell ref="F20:H20"/>
    <mergeCell ref="A201:B201"/>
    <mergeCell ref="J289:J290"/>
    <mergeCell ref="A60:A61"/>
    <mergeCell ref="H67:J68"/>
    <mergeCell ref="C148:E148"/>
    <mergeCell ref="F76:H76"/>
    <mergeCell ref="E288:E289"/>
    <mergeCell ref="G354:G355"/>
    <mergeCell ref="I135:J135"/>
    <mergeCell ref="H124:J125"/>
    <mergeCell ref="A129:J129"/>
    <mergeCell ref="I89:J89"/>
    <mergeCell ref="C318:E318"/>
    <mergeCell ref="B231:B232"/>
    <mergeCell ref="G266:H266"/>
    <mergeCell ref="G260:H260"/>
    <mergeCell ref="C145:E145"/>
    <mergeCell ref="A322:B322"/>
    <mergeCell ref="G315:H315"/>
    <mergeCell ref="I315:J315"/>
    <mergeCell ref="I150:J150"/>
    <mergeCell ref="A200:B200"/>
    <mergeCell ref="C258:E258"/>
    <mergeCell ref="C194:D194"/>
    <mergeCell ref="G201:H201"/>
    <mergeCell ref="I207:J207"/>
    <mergeCell ref="C78:D78"/>
    <mergeCell ref="A314:B314"/>
    <mergeCell ref="C31:E31"/>
    <mergeCell ref="C202:E202"/>
    <mergeCell ref="I137:J137"/>
    <mergeCell ref="I4:I5"/>
    <mergeCell ref="F318:J318"/>
    <mergeCell ref="C310:E310"/>
    <mergeCell ref="B5:B6"/>
    <mergeCell ref="F373:J373"/>
    <mergeCell ref="C264:E264"/>
    <mergeCell ref="C3:C4"/>
    <mergeCell ref="E3:E4"/>
    <mergeCell ref="B7:B8"/>
    <mergeCell ref="F62:H63"/>
    <mergeCell ref="F231:H232"/>
    <mergeCell ref="F301:H301"/>
    <mergeCell ref="E5:E6"/>
    <mergeCell ref="G67:G68"/>
    <mergeCell ref="I61:I62"/>
    <mergeCell ref="C246:D246"/>
    <mergeCell ref="F303:H303"/>
    <mergeCell ref="I91:J91"/>
    <mergeCell ref="F134:H134"/>
    <mergeCell ref="I85:J85"/>
    <mergeCell ref="A25:B25"/>
    <mergeCell ref="I22:J22"/>
    <mergeCell ref="G264:H264"/>
    <mergeCell ref="I93:J93"/>
    <mergeCell ref="A69:C70"/>
    <mergeCell ref="E119:E120"/>
    <mergeCell ref="F16:H16"/>
    <mergeCell ref="F187:H187"/>
    <mergeCell ref="E233:E234"/>
    <mergeCell ref="I249:J249"/>
    <mergeCell ref="F304:H304"/>
    <mergeCell ref="G32:H32"/>
    <mergeCell ref="F94:J94"/>
    <mergeCell ref="G93:H93"/>
    <mergeCell ref="I319:J319"/>
    <mergeCell ref="I256:J256"/>
    <mergeCell ref="A430:B430"/>
    <mergeCell ref="I264:J264"/>
    <mergeCell ref="C436:E436"/>
    <mergeCell ref="C142:E142"/>
    <mergeCell ref="G321:H321"/>
    <mergeCell ref="F404:H405"/>
    <mergeCell ref="I420:J420"/>
    <mergeCell ref="A433:B433"/>
    <mergeCell ref="F294:G294"/>
    <mergeCell ref="C362:D362"/>
    <mergeCell ref="F402:H403"/>
    <mergeCell ref="I175:I176"/>
    <mergeCell ref="I346:I347"/>
    <mergeCell ref="C378:E378"/>
    <mergeCell ref="C147:E147"/>
    <mergeCell ref="A196:B196"/>
    <mergeCell ref="C117:C118"/>
    <mergeCell ref="F247:H247"/>
    <mergeCell ref="I240:J241"/>
    <mergeCell ref="F249:H249"/>
    <mergeCell ref="I183:J184"/>
    <mergeCell ref="A435:B435"/>
    <mergeCell ref="F422:H422"/>
    <mergeCell ref="F360:H360"/>
    <mergeCell ref="G150:H150"/>
    <mergeCell ref="C373:E373"/>
    <mergeCell ref="I358:J358"/>
    <mergeCell ref="A414:J414"/>
    <mergeCell ref="B457:D458"/>
    <mergeCell ref="A459:A460"/>
    <mergeCell ref="B459:B460"/>
    <mergeCell ref="C459:C460"/>
    <mergeCell ref="D459:D460"/>
    <mergeCell ref="E459:E460"/>
    <mergeCell ref="F459:H460"/>
    <mergeCell ref="I460:I461"/>
    <mergeCell ref="J460:J461"/>
    <mergeCell ref="A461:A462"/>
    <mergeCell ref="B461:B462"/>
    <mergeCell ref="E461:E462"/>
    <mergeCell ref="F461:H462"/>
    <mergeCell ref="F436:J436"/>
    <mergeCell ref="A318:B318"/>
    <mergeCell ref="F123:G123"/>
    <mergeCell ref="A320:B320"/>
    <mergeCell ref="C135:D135"/>
    <mergeCell ref="A432:B432"/>
    <mergeCell ref="I139:J139"/>
    <mergeCell ref="C146:E146"/>
    <mergeCell ref="A148:B148"/>
    <mergeCell ref="A231:A232"/>
    <mergeCell ref="A434:B434"/>
    <mergeCell ref="A436:B436"/>
    <mergeCell ref="F420:H420"/>
    <mergeCell ref="C424:E424"/>
    <mergeCell ref="F434:J434"/>
    <mergeCell ref="C415:D415"/>
    <mergeCell ref="F132:H132"/>
    <mergeCell ref="B174:B175"/>
    <mergeCell ref="A315:B315"/>
    <mergeCell ref="A471:J471"/>
    <mergeCell ref="C472:D472"/>
    <mergeCell ref="F472:H472"/>
    <mergeCell ref="I472:J472"/>
    <mergeCell ref="C474:D474"/>
    <mergeCell ref="F474:H474"/>
    <mergeCell ref="I474:J474"/>
    <mergeCell ref="C475:D475"/>
    <mergeCell ref="F475:H475"/>
    <mergeCell ref="I475:J475"/>
    <mergeCell ref="A463:A464"/>
    <mergeCell ref="B463:B464"/>
    <mergeCell ref="F463:G463"/>
    <mergeCell ref="F465:G465"/>
    <mergeCell ref="G466:G467"/>
    <mergeCell ref="H466:J467"/>
    <mergeCell ref="A468:C469"/>
    <mergeCell ref="G468:G469"/>
    <mergeCell ref="H468:H469"/>
    <mergeCell ref="I468:J469"/>
    <mergeCell ref="C479:D479"/>
    <mergeCell ref="F479:H479"/>
    <mergeCell ref="I479:J479"/>
    <mergeCell ref="A481:B481"/>
    <mergeCell ref="C481:E481"/>
    <mergeCell ref="G481:H481"/>
    <mergeCell ref="I481:J481"/>
    <mergeCell ref="C482:D482"/>
    <mergeCell ref="F482:J482"/>
    <mergeCell ref="C476:D476"/>
    <mergeCell ref="F476:H476"/>
    <mergeCell ref="I476:J476"/>
    <mergeCell ref="C477:D477"/>
    <mergeCell ref="F477:H477"/>
    <mergeCell ref="I477:J477"/>
    <mergeCell ref="C478:D478"/>
    <mergeCell ref="F478:H478"/>
    <mergeCell ref="I478:J478"/>
    <mergeCell ref="A487:B487"/>
    <mergeCell ref="C487:E487"/>
    <mergeCell ref="F487:J487"/>
    <mergeCell ref="A488:B488"/>
    <mergeCell ref="C488:E488"/>
    <mergeCell ref="G488:H488"/>
    <mergeCell ref="I488:J488"/>
    <mergeCell ref="A489:B489"/>
    <mergeCell ref="C489:E489"/>
    <mergeCell ref="F489:J489"/>
    <mergeCell ref="A484:B484"/>
    <mergeCell ref="C484:E484"/>
    <mergeCell ref="G484:H484"/>
    <mergeCell ref="I484:J484"/>
    <mergeCell ref="A485:B485"/>
    <mergeCell ref="C485:E485"/>
    <mergeCell ref="F485:J485"/>
    <mergeCell ref="A486:B486"/>
    <mergeCell ref="C486:E486"/>
    <mergeCell ref="G486:H486"/>
    <mergeCell ref="I486:J486"/>
    <mergeCell ref="A493:B493"/>
    <mergeCell ref="C493:E493"/>
    <mergeCell ref="F493:J493"/>
    <mergeCell ref="A494:D494"/>
    <mergeCell ref="G494:H494"/>
    <mergeCell ref="A495:D496"/>
    <mergeCell ref="E495:F495"/>
    <mergeCell ref="I495:I496"/>
    <mergeCell ref="J495:J496"/>
    <mergeCell ref="E496:F496"/>
    <mergeCell ref="A490:B490"/>
    <mergeCell ref="C490:E490"/>
    <mergeCell ref="G490:H490"/>
    <mergeCell ref="I490:J490"/>
    <mergeCell ref="A491:B491"/>
    <mergeCell ref="C491:E491"/>
    <mergeCell ref="F491:J491"/>
    <mergeCell ref="A492:B492"/>
    <mergeCell ref="C492:E492"/>
    <mergeCell ref="G492:H492"/>
    <mergeCell ref="I492:J492"/>
    <mergeCell ref="A501:A502"/>
    <mergeCell ref="B501:B502"/>
    <mergeCell ref="C501:C502"/>
    <mergeCell ref="D501:D502"/>
    <mergeCell ref="E501:F501"/>
    <mergeCell ref="I501:I502"/>
    <mergeCell ref="J501:J502"/>
    <mergeCell ref="E502:F502"/>
    <mergeCell ref="I504:I505"/>
    <mergeCell ref="J504:J505"/>
    <mergeCell ref="A497:A498"/>
    <mergeCell ref="B497:B498"/>
    <mergeCell ref="C497:C498"/>
    <mergeCell ref="D497:D498"/>
    <mergeCell ref="E497:F497"/>
    <mergeCell ref="E498:F498"/>
    <mergeCell ref="I498:I499"/>
    <mergeCell ref="J498:J499"/>
    <mergeCell ref="A499:A500"/>
    <mergeCell ref="B499:B500"/>
    <mergeCell ref="C499:C500"/>
    <mergeCell ref="D499:D500"/>
    <mergeCell ref="E499:F499"/>
    <mergeCell ref="E500:F500"/>
  </mergeCells>
  <phoneticPr fontId="2"/>
  <conditionalFormatting sqref="D50:D55">
    <cfRule type="cellIs" dxfId="27" priority="15" operator="equal">
      <formula>$D49</formula>
    </cfRule>
  </conditionalFormatting>
  <conditionalFormatting sqref="D107:D112">
    <cfRule type="cellIs" dxfId="26" priority="17" operator="equal">
      <formula>$D106</formula>
    </cfRule>
  </conditionalFormatting>
  <conditionalFormatting sqref="D164:D169">
    <cfRule type="cellIs" dxfId="25" priority="19" operator="equal">
      <formula>$D163</formula>
    </cfRule>
  </conditionalFormatting>
  <conditionalFormatting sqref="D335:D340">
    <cfRule type="cellIs" dxfId="22" priority="25" operator="equal">
      <formula>$D334</formula>
    </cfRule>
  </conditionalFormatting>
  <conditionalFormatting sqref="D392:D397">
    <cfRule type="cellIs" dxfId="21" priority="27" operator="equal">
      <formula>$D391</formula>
    </cfRule>
  </conditionalFormatting>
  <conditionalFormatting sqref="D449:D454">
    <cfRule type="cellIs" dxfId="20" priority="29" operator="equal">
      <formula>$D448</formula>
    </cfRule>
  </conditionalFormatting>
  <conditionalFormatting sqref="D506:D511">
    <cfRule type="cellIs" dxfId="19" priority="11" operator="equal">
      <formula>$D505</formula>
    </cfRule>
  </conditionalFormatting>
  <conditionalFormatting sqref="I39:I40">
    <cfRule type="cellIs" dxfId="18" priority="16" operator="lessThan">
      <formula>45658</formula>
    </cfRule>
  </conditionalFormatting>
  <conditionalFormatting sqref="I96:I97">
    <cfRule type="cellIs" dxfId="17" priority="18" operator="lessThan">
      <formula>45658</formula>
    </cfRule>
  </conditionalFormatting>
  <conditionalFormatting sqref="I153:I154">
    <cfRule type="cellIs" dxfId="16" priority="20" operator="lessThan">
      <formula>45658</formula>
    </cfRule>
  </conditionalFormatting>
  <conditionalFormatting sqref="I324:I325">
    <cfRule type="cellIs" dxfId="13" priority="26" operator="lessThan">
      <formula>45658</formula>
    </cfRule>
  </conditionalFormatting>
  <conditionalFormatting sqref="I381:I382">
    <cfRule type="cellIs" dxfId="12" priority="28" operator="lessThan">
      <formula>45658</formula>
    </cfRule>
  </conditionalFormatting>
  <conditionalFormatting sqref="I438:I439">
    <cfRule type="cellIs" dxfId="11" priority="30" operator="lessThan">
      <formula>45658</formula>
    </cfRule>
  </conditionalFormatting>
  <conditionalFormatting sqref="I495:I496">
    <cfRule type="cellIs" dxfId="10" priority="12" operator="lessThan">
      <formula>45658</formula>
    </cfRule>
  </conditionalFormatting>
  <conditionalFormatting sqref="I210:I211">
    <cfRule type="cellIs" dxfId="3" priority="4" operator="lessThan">
      <formula>45658</formula>
    </cfRule>
  </conditionalFormatting>
  <conditionalFormatting sqref="D221:D226">
    <cfRule type="cellIs" dxfId="2" priority="3" operator="equal">
      <formula>$D220</formula>
    </cfRule>
  </conditionalFormatting>
  <conditionalFormatting sqref="I267:I268">
    <cfRule type="cellIs" dxfId="1" priority="2" operator="lessThan">
      <formula>45658</formula>
    </cfRule>
  </conditionalFormatting>
  <conditionalFormatting sqref="D278:D283">
    <cfRule type="cellIs" dxfId="0" priority="1" operator="equal">
      <formula>$D277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8" manualBreakCount="8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teppei tomita</cp:lastModifiedBy>
  <cp:lastPrinted>2025-05-22T06:42:46Z</cp:lastPrinted>
  <dcterms:created xsi:type="dcterms:W3CDTF">2024-07-11T02:08:33Z</dcterms:created>
  <dcterms:modified xsi:type="dcterms:W3CDTF">2025-06-03T01:26:15Z</dcterms:modified>
</cp:coreProperties>
</file>