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6F5B3163-6883-4F8C-85A2-263CDFAEB2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<sst xmlns="http://schemas.openxmlformats.org/spreadsheetml/2006/main" count="92" uniqueCount="86">
  <si>
    <t>検査梱包指示書</t>
  </si>
  <si>
    <t>品目番号</t>
  </si>
  <si>
    <t>J1AKZYB00205000</t>
  </si>
  <si>
    <t>Ｌ寸</t>
  </si>
  <si>
    <t>名称</t>
  </si>
  <si>
    <t>PK-59827 L=500</t>
  </si>
  <si>
    <t>上長</t>
  </si>
  <si>
    <t>係員</t>
  </si>
  <si>
    <t>製造指図№</t>
  </si>
  <si>
    <t>000000000004207</t>
  </si>
  <si>
    <t>原料名</t>
  </si>
  <si>
    <t>(J6VX820)(J6VX819)</t>
  </si>
  <si>
    <t>発注明細№</t>
  </si>
  <si>
    <t>000000000762366</t>
  </si>
  <si>
    <t>色　名</t>
  </si>
  <si>
    <t>YW</t>
  </si>
  <si>
    <t>製品Grp</t>
  </si>
  <si>
    <t>J1AA</t>
  </si>
  <si>
    <t>開始日</t>
  </si>
  <si>
    <t>入り数</t>
  </si>
  <si>
    <t>終了日</t>
  </si>
  <si>
    <t>梱包数</t>
  </si>
  <si>
    <t>指示数量</t>
  </si>
  <si>
    <t>金　型</t>
  </si>
  <si>
    <t>4383</t>
  </si>
  <si>
    <t>*J1AKZYB00205000*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</si>
  <si>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</si>
  <si>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</si>
  <si>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</si>
  <si>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</si>
  <si>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</si>
  <si>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</si>
  <si>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</si>
  <si>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</si>
  <si>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</si>
  <si>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</si>
  <si>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</si>
  <si>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</si>
  <si>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</si>
  <si>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</si>
  <si>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</si>
  <si>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</si>
  <si>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</si>
  <si>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</si>
  <si>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</si>
  <si>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</si>
  <si>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</si>
  <si>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</si>
  <si>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J1AKZYA00215400</t>
  </si>
  <si>
    <t>@PK-59827 L1540</t>
  </si>
  <si>
    <t>*J1AKZYA00215400*</t>
  </si>
  <si>
    <t>PK-59827 L500用</t>
  </si>
  <si>
    <t>*J6DW0099*</t>
  </si>
  <si>
    <t>J6XX0017</t>
  </si>
  <si>
    <t>(管理外)筋入ｸﾗﾌﾄ紙</t>
  </si>
  <si>
    <t>*J6XX0017*</t>
  </si>
  <si>
    <t>600＊100</t>
  </si>
  <si>
    <t>J6DW0099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</si>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</sst>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[$-F800]dddd\,\ mmmm\ dd\,\ yyyy"/>
    <numFmt numFmtId="177" formatCode="#,##0.0_ "/>
    <numFmt numFmtId="178" formatCode="#,##0_ "/>
    <numFmt numFmtId="179" formatCode="#"/>
    <numFmt numFmtId="180" formatCode="#&quot;枚使用&quot;"/>
    <numFmt numFmtId="181" formatCode="m&quot;月&quot;d&quot;日&quot;;@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0"/>
    <numFmt numFmtId="192" formatCode="m/d"/>
    <numFmt numFmtId="193" formatCode="yy\,mm\,dd"/>
    <numFmt numFmtId="194" formatCode="#&quot;箱&quot;"/>
  </numFmts>
  <fonts count="29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8" fillId="0" borderId="23" xfId="0" applyNumberFormat="1" applyFont="1" applyBorder="1" applyAlignment="1">
      <alignment horizontal="center" vertical="center"/>
    </xf>
    <xf numFmtId="181" fontId="5" fillId="0" borderId="2" xfId="1" applyNumberFormat="1" applyFont="1" applyBorder="1" applyAlignment="1">
      <alignment horizontal="center" vertical="center" shrinkToFit="1"/>
    </xf>
    <xf numFmtId="182" fontId="18" fillId="0" borderId="24" xfId="0" applyNumberFormat="1" applyFont="1" applyBorder="1" applyAlignment="1">
      <alignment horizontal="left" vertical="center" shrinkToFit="1"/>
    </xf>
    <xf numFmtId="0" fontId="5" fillId="0" borderId="2" xfId="1" applyFont="1" applyBorder="1" applyAlignment="1">
      <alignment horizontal="center" vertical="center" shrinkToFit="1"/>
    </xf>
    <xf numFmtId="183" fontId="18" fillId="0" borderId="27" xfId="0" applyNumberFormat="1" applyFont="1" applyBorder="1" applyAlignment="1">
      <alignment horizontal="left" vertical="center" shrinkToFit="1"/>
    </xf>
    <xf numFmtId="49" fontId="19" fillId="0" borderId="0" xfId="1" applyNumberFormat="1" applyFont="1" applyAlignment="1">
      <alignment horizontal="left" vertical="center" shrinkToFit="1"/>
    </xf>
    <xf numFmtId="0" fontId="18" fillId="0" borderId="23" xfId="0" applyFont="1" applyBorder="1" applyAlignment="1">
      <alignment horizontal="center" vertical="center" wrapText="1"/>
    </xf>
    <xf numFmtId="184" fontId="18" fillId="0" borderId="27" xfId="0" applyNumberFormat="1" applyFont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185" fontId="18" fillId="0" borderId="27" xfId="0" applyNumberFormat="1" applyFont="1" applyBorder="1" applyAlignment="1">
      <alignment horizontal="left" vertical="center" shrinkToFit="1"/>
    </xf>
    <xf numFmtId="187" fontId="18" fillId="0" borderId="27" xfId="0" applyNumberFormat="1" applyFont="1" applyBorder="1" applyAlignment="1">
      <alignment horizontal="left" vertical="center" shrinkToFit="1"/>
    </xf>
    <xf numFmtId="188" fontId="18" fillId="0" borderId="27" xfId="0" applyNumberFormat="1" applyFont="1" applyBorder="1" applyAlignment="1">
      <alignment horizontal="left" vertical="center" shrinkToFit="1"/>
    </xf>
    <xf numFmtId="190" fontId="18" fillId="0" borderId="27" xfId="0" applyNumberFormat="1" applyFont="1" applyBorder="1" applyAlignment="1">
      <alignment horizontal="left" vertical="center" shrinkToFit="1"/>
    </xf>
    <xf numFmtId="0" fontId="18" fillId="0" borderId="36" xfId="0" applyFont="1" applyBorder="1" applyAlignment="1">
      <alignment horizontal="center" vertical="center" wrapText="1"/>
    </xf>
    <xf numFmtId="179" fontId="15" fillId="0" borderId="37" xfId="1" applyNumberFormat="1" applyFont="1" applyBorder="1" applyAlignment="1">
      <alignment horizontal="center" vertical="center" shrinkToFit="1"/>
    </xf>
    <xf numFmtId="191" fontId="18" fillId="0" borderId="38" xfId="0" applyNumberFormat="1" applyFont="1" applyBorder="1" applyAlignment="1">
      <alignment horizontal="left" vertical="center"/>
    </xf>
    <xf numFmtId="0" fontId="23" fillId="6" borderId="39" xfId="0" applyFont="1" applyFill="1" applyBorder="1" applyAlignment="1">
      <alignment horizontal="center" vertical="center"/>
    </xf>
    <xf numFmtId="49" fontId="23" fillId="6" borderId="40" xfId="1" applyNumberFormat="1" applyFont="1" applyFill="1" applyBorder="1" applyAlignment="1">
      <alignment vertical="center" shrinkToFit="1"/>
    </xf>
    <xf numFmtId="49" fontId="23" fillId="6" borderId="40" xfId="1" applyNumberFormat="1" applyFont="1" applyFill="1" applyBorder="1" applyAlignment="1">
      <alignment horizontal="center" vertical="center" shrinkToFit="1"/>
    </xf>
    <xf numFmtId="49" fontId="23" fillId="6" borderId="19" xfId="0" applyNumberFormat="1" applyFont="1" applyFill="1" applyBorder="1" applyAlignment="1">
      <alignment horizontal="center" vertical="center" shrinkToFit="1"/>
    </xf>
    <xf numFmtId="0" fontId="23" fillId="2" borderId="30" xfId="0" applyFont="1" applyFill="1" applyBorder="1">
      <alignment vertical="center"/>
    </xf>
    <xf numFmtId="49" fontId="23" fillId="2" borderId="6" xfId="0" applyNumberFormat="1" applyFont="1" applyFill="1" applyBorder="1" applyAlignment="1">
      <alignment horizontal="center" vertical="center" shrinkToFit="1"/>
    </xf>
    <xf numFmtId="49" fontId="23" fillId="2" borderId="24" xfId="0" applyNumberFormat="1" applyFont="1" applyFill="1" applyBorder="1" applyAlignment="1">
      <alignment horizontal="center" vertical="center" shrinkToFit="1"/>
    </xf>
    <xf numFmtId="0" fontId="24" fillId="3" borderId="41" xfId="0" applyFont="1" applyFill="1" applyBorder="1" applyAlignment="1">
      <alignment horizontal="center" vertical="center"/>
    </xf>
    <xf numFmtId="0" fontId="24" fillId="3" borderId="42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49" fontId="26" fillId="0" borderId="0" xfId="0" applyNumberFormat="1" applyFont="1" applyAlignment="1">
      <alignment vertical="top" shrinkToFit="1"/>
    </xf>
    <xf numFmtId="192" fontId="15" fillId="0" borderId="23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43" xfId="0" applyFont="1" applyFill="1" applyBorder="1" applyAlignment="1">
      <alignment horizontal="center" vertical="center"/>
    </xf>
    <xf numFmtId="189" fontId="15" fillId="4" borderId="44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193" fontId="15" fillId="0" borderId="23" xfId="0" applyNumberFormat="1" applyFont="1" applyBorder="1" applyAlignment="1">
      <alignment horizontal="center" vertical="center"/>
    </xf>
    <xf numFmtId="194" fontId="15" fillId="0" borderId="27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49" fontId="28" fillId="0" borderId="0" xfId="0" applyNumberFormat="1" applyFont="1" applyAlignment="1">
      <alignment vertical="top" shrinkToFit="1"/>
    </xf>
    <xf numFmtId="189" fontId="15" fillId="0" borderId="27" xfId="0" applyNumberFormat="1" applyFont="1" applyBorder="1" applyAlignment="1">
      <alignment horizontal="center" vertical="center"/>
    </xf>
    <xf numFmtId="193" fontId="15" fillId="0" borderId="28" xfId="0" applyNumberFormat="1" applyFont="1" applyBorder="1" applyAlignment="1">
      <alignment horizontal="center" vertical="center"/>
    </xf>
    <xf numFmtId="194" fontId="15" fillId="0" borderId="22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92" fontId="15" fillId="0" borderId="36" xfId="0" applyNumberFormat="1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189" fontId="15" fillId="0" borderId="38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193" fontId="15" fillId="0" borderId="36" xfId="0" applyNumberFormat="1" applyFont="1" applyBorder="1" applyAlignment="1">
      <alignment horizontal="center" vertical="center"/>
    </xf>
    <xf numFmtId="194" fontId="15" fillId="0" borderId="38" xfId="0" applyNumberFormat="1" applyFont="1" applyBorder="1" applyAlignment="1">
      <alignment horizontal="center" vertical="center"/>
    </xf>
    <xf numFmtId="0" fontId="15" fillId="3" borderId="18" xfId="0" applyFont="1" applyFill="1" applyBorder="1">
      <alignment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5" fillId="3" borderId="1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49" fontId="12" fillId="0" borderId="10" xfId="1" applyNumberFormat="1" applyFont="1" applyBorder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0" fontId="0" fillId="0" borderId="16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0" fontId="1" fillId="0" borderId="0" xfId="0" applyFont="1">
      <alignment vertical="center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25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0" fontId="16" fillId="0" borderId="26" xfId="1" applyFont="1" applyBorder="1" applyAlignment="1">
      <alignment horizontal="left" vertical="center" shrinkToFit="1"/>
    </xf>
    <xf numFmtId="179" fontId="17" fillId="5" borderId="20" xfId="0" applyNumberFormat="1" applyFont="1" applyFill="1" applyBorder="1" applyAlignment="1">
      <alignment horizontal="left" vertical="center" shrinkToFit="1"/>
    </xf>
    <xf numFmtId="179" fontId="17" fillId="5" borderId="15" xfId="0" applyNumberFormat="1" applyFont="1" applyFill="1" applyBorder="1" applyAlignment="1">
      <alignment horizontal="left" vertical="center" shrinkToFit="1"/>
    </xf>
    <xf numFmtId="179" fontId="17" fillId="5" borderId="25" xfId="0" applyNumberFormat="1" applyFont="1" applyFill="1" applyBorder="1" applyAlignment="1">
      <alignment horizontal="left" vertical="center" shrinkToFit="1"/>
    </xf>
    <xf numFmtId="179" fontId="17" fillId="5" borderId="12" xfId="0" applyNumberFormat="1" applyFont="1" applyFill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5" fillId="0" borderId="22" xfId="1" applyNumberFormat="1" applyFont="1" applyBorder="1" applyAlignment="1">
      <alignment horizontal="center" vertical="center" shrinkToFit="1"/>
    </xf>
    <xf numFmtId="180" fontId="5" fillId="0" borderId="24" xfId="1" applyNumberFormat="1" applyFont="1" applyBorder="1" applyAlignment="1">
      <alignment horizontal="center" vertical="center" shrinkToFit="1"/>
    </xf>
    <xf numFmtId="0" fontId="14" fillId="2" borderId="28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32" xfId="0" applyNumberFormat="1" applyFont="1" applyBorder="1" applyAlignment="1">
      <alignment horizontal="center" vertical="center"/>
    </xf>
    <xf numFmtId="49" fontId="22" fillId="2" borderId="29" xfId="1" applyNumberFormat="1" applyFont="1" applyFill="1" applyBorder="1" applyAlignment="1">
      <alignment horizontal="center" vertical="center" shrinkToFit="1"/>
    </xf>
    <xf numFmtId="49" fontId="22" fillId="2" borderId="33" xfId="1" applyNumberFormat="1" applyFont="1" applyFill="1" applyBorder="1" applyAlignment="1">
      <alignment horizontal="center" vertical="center" shrinkToFit="1"/>
    </xf>
    <xf numFmtId="0" fontId="17" fillId="0" borderId="21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179" fontId="17" fillId="5" borderId="14" xfId="0" applyNumberFormat="1" applyFont="1" applyFill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35" xfId="0" applyNumberFormat="1" applyFont="1" applyFill="1" applyBorder="1" applyAlignment="1">
      <alignment horizontal="left" vertical="center" shrinkToFit="1"/>
    </xf>
    <xf numFmtId="179" fontId="17" fillId="5" borderId="7" xfId="0" applyNumberFormat="1" applyFont="1" applyFill="1" applyBorder="1" applyAlignment="1">
      <alignment horizontal="left" vertical="center" shrinkToFit="1"/>
    </xf>
    <xf numFmtId="179" fontId="17" fillId="5" borderId="34" xfId="0" applyNumberFormat="1" applyFont="1" applyFill="1" applyBorder="1" applyAlignment="1">
      <alignment horizontal="left" vertical="center" shrinkToFit="1"/>
    </xf>
    <xf numFmtId="0" fontId="14" fillId="2" borderId="30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9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0" fillId="0" borderId="21" xfId="1" applyFont="1" applyBorder="1" applyAlignment="1">
      <alignment horizontal="center" vertical="center" shrinkToFit="1"/>
    </xf>
    <xf numFmtId="0" fontId="20" fillId="0" borderId="26" xfId="1" applyFont="1" applyBorder="1" applyAlignment="1">
      <alignment horizontal="center" vertical="center" shrinkToFit="1"/>
    </xf>
    <xf numFmtId="179" fontId="17" fillId="5" borderId="10" xfId="0" applyNumberFormat="1" applyFont="1" applyFill="1" applyBorder="1" applyAlignment="1">
      <alignment horizontal="left" vertical="center" shrinkToFit="1"/>
    </xf>
    <xf numFmtId="179" fontId="17" fillId="5" borderId="26" xfId="0" applyNumberFormat="1" applyFont="1" applyFill="1" applyBorder="1" applyAlignment="1">
      <alignment horizontal="left" vertical="center" shrinkToFit="1"/>
    </xf>
    <xf numFmtId="49" fontId="14" fillId="2" borderId="28" xfId="1" applyNumberFormat="1" applyFont="1" applyFill="1" applyBorder="1" applyAlignment="1">
      <alignment horizontal="center" vertical="center" shrinkToFit="1"/>
    </xf>
    <xf numFmtId="49" fontId="14" fillId="2" borderId="30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2" fillId="2" borderId="29" xfId="0" applyNumberFormat="1" applyFont="1" applyFill="1" applyBorder="1" applyAlignment="1">
      <alignment horizontal="center" vertical="center"/>
    </xf>
    <xf numFmtId="49" fontId="22" fillId="2" borderId="16" xfId="0" applyNumberFormat="1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180976</xdr:colOff>
      <xdr:row>3</xdr:row>
      <xdr:rowOff>95251</xdr:rowOff>
    </xdr:from>
    <xdr:to>
      <xdr:col>8</xdr:col>
      <xdr:colOff>619126</xdr:colOff>
      <xdr:row>5</xdr:row>
      <xdr:rowOff>133351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A8113A-1AA5-73D9-F83D-992553120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6226" y="638176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180976</xdr:colOff>
      <xdr:row>3</xdr:row>
      <xdr:rowOff>57151</xdr:rowOff>
    </xdr:from>
    <xdr:to>
      <xdr:col>9</xdr:col>
      <xdr:colOff>657226</xdr:colOff>
      <xdr:row>5</xdr:row>
      <xdr:rowOff>133351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AD5A676-0FF7-22E3-48B5-4E7100DA4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5851" y="600076"/>
          <a:ext cx="476250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.xlsm" TargetMode="External"/><Relationship Id="rId1" Type="http://schemas.openxmlformats.org/officeDocument/2006/relationships/externalLinkPath" Target="/Users/&#40658;&#37096;&#24037;&#26989;&#65293;&#65328;&#65315;/Desktop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Sheet1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Sheet2"/>
      <sheetName val="温度換算"/>
      <sheetName val="網戸日程"/>
    </sheetNames>
    <sheetDataSet>
      <sheetData sheetId="0"/>
      <sheetData sheetId="1"/>
      <sheetData sheetId="2"/>
      <sheetData sheetId="3">
        <row r="3">
          <cell r="B3" t="str">
            <v>00754613</v>
          </cell>
          <cell r="C3" t="str">
            <v>灯具カバーPC IN 2050　L=1183.5</v>
          </cell>
          <cell r="D3">
            <v>45734</v>
          </cell>
          <cell r="E3" t="str">
            <v>25C11-01</v>
          </cell>
          <cell r="I3" t="str">
            <v>25C11-01</v>
          </cell>
          <cell r="J3">
            <v>3</v>
          </cell>
          <cell r="K3">
            <v>3</v>
          </cell>
          <cell r="O3">
            <v>45811</v>
          </cell>
          <cell r="P3">
            <v>8</v>
          </cell>
          <cell r="T3" t="str">
            <v>000000000003340</v>
          </cell>
        </row>
        <row r="4">
          <cell r="D4">
            <v>45807</v>
          </cell>
          <cell r="E4" t="str">
            <v>25E17-01</v>
          </cell>
          <cell r="G4" t="str">
            <v/>
          </cell>
          <cell r="I4" t="str">
            <v>25E17-01</v>
          </cell>
          <cell r="J4">
            <v>200</v>
          </cell>
          <cell r="K4">
            <v>200</v>
          </cell>
          <cell r="L4">
            <v>45807</v>
          </cell>
          <cell r="M4">
            <v>7</v>
          </cell>
          <cell r="O4">
            <v>288</v>
          </cell>
          <cell r="P4">
            <v>87</v>
          </cell>
          <cell r="T4" t="str">
            <v>000000000003340</v>
          </cell>
        </row>
        <row r="5">
          <cell r="B5" t="str">
            <v>+公差</v>
          </cell>
          <cell r="C5">
            <v>288</v>
          </cell>
          <cell r="D5">
            <v>45810</v>
          </cell>
          <cell r="E5" t="str">
            <v>25E20-02</v>
          </cell>
          <cell r="G5" t="str">
            <v/>
          </cell>
          <cell r="I5" t="str">
            <v>25E20-02</v>
          </cell>
          <cell r="J5">
            <v>187</v>
          </cell>
          <cell r="K5">
            <v>187</v>
          </cell>
          <cell r="L5">
            <v>45810</v>
          </cell>
          <cell r="M5">
            <v>8</v>
          </cell>
          <cell r="O5">
            <v>390</v>
          </cell>
          <cell r="P5">
            <v>7</v>
          </cell>
          <cell r="T5" t="str">
            <v>000000000003340</v>
          </cell>
        </row>
        <row r="6">
          <cell r="D6">
            <v>45811</v>
          </cell>
          <cell r="E6" t="str">
            <v>25E20-02</v>
          </cell>
          <cell r="G6" t="str">
            <v/>
          </cell>
          <cell r="J6" t="str">
            <v/>
          </cell>
          <cell r="L6">
            <v>45811</v>
          </cell>
          <cell r="M6">
            <v>3</v>
          </cell>
          <cell r="O6">
            <v>102</v>
          </cell>
          <cell r="T6" t="str">
            <v>000000000003340</v>
          </cell>
        </row>
        <row r="7">
          <cell r="B7" t="str">
            <v>+2</v>
          </cell>
          <cell r="C7">
            <v>1</v>
          </cell>
          <cell r="G7" t="str">
            <v/>
          </cell>
          <cell r="J7" t="str">
            <v/>
          </cell>
          <cell r="O7">
            <v>102</v>
          </cell>
          <cell r="P7">
            <v>1</v>
          </cell>
          <cell r="T7" t="str">
            <v>000000000003340</v>
          </cell>
        </row>
        <row r="8">
          <cell r="B8" t="str">
            <v>使用数</v>
          </cell>
          <cell r="C8" t="str">
            <v>灯具-1　L=1370</v>
          </cell>
          <cell r="G8" t="str">
            <v/>
          </cell>
          <cell r="J8" t="str">
            <v/>
          </cell>
          <cell r="P8">
            <v>1</v>
          </cell>
          <cell r="T8" t="str">
            <v>000000000003340</v>
          </cell>
        </row>
        <row r="9">
          <cell r="B9">
            <v>18</v>
          </cell>
          <cell r="C9">
            <v>18</v>
          </cell>
          <cell r="G9" t="str">
            <v/>
          </cell>
          <cell r="J9" t="str">
            <v/>
          </cell>
          <cell r="O9" t="str">
            <v>水野</v>
          </cell>
          <cell r="P9">
            <v>1</v>
          </cell>
          <cell r="T9" t="str">
            <v>000000000003340</v>
          </cell>
        </row>
        <row r="10">
          <cell r="G10" t="str">
            <v/>
          </cell>
          <cell r="J10" t="str">
            <v/>
          </cell>
          <cell r="P10">
            <v>102</v>
          </cell>
          <cell r="T10" t="str">
            <v>000000000003340</v>
          </cell>
        </row>
        <row r="11">
          <cell r="B11" t="str">
            <v>00754612</v>
          </cell>
          <cell r="C11" t="str">
            <v>灯具カバーPC IN 2130　L=908</v>
          </cell>
          <cell r="D11">
            <v>45768</v>
          </cell>
          <cell r="E11" t="str">
            <v>25D10-01</v>
          </cell>
          <cell r="I11" t="str">
            <v>25D10-01</v>
          </cell>
          <cell r="J11">
            <v>3</v>
          </cell>
          <cell r="K11">
            <v>3</v>
          </cell>
          <cell r="L11">
            <v>45806</v>
          </cell>
          <cell r="M11">
            <v>2</v>
          </cell>
          <cell r="O11">
            <v>45807</v>
          </cell>
          <cell r="P11">
            <v>7</v>
          </cell>
          <cell r="T11" t="str">
            <v>000000000003339</v>
          </cell>
        </row>
        <row r="12">
          <cell r="D12">
            <v>45806</v>
          </cell>
          <cell r="E12" t="str">
            <v>25E17-01</v>
          </cell>
          <cell r="G12" t="str">
            <v/>
          </cell>
          <cell r="I12" t="str">
            <v>25E17-01</v>
          </cell>
          <cell r="J12">
            <v>200</v>
          </cell>
          <cell r="K12">
            <v>200</v>
          </cell>
          <cell r="L12">
            <v>45807</v>
          </cell>
          <cell r="M12">
            <v>9</v>
          </cell>
          <cell r="O12">
            <v>176</v>
          </cell>
          <cell r="P12">
            <v>19</v>
          </cell>
          <cell r="T12" t="str">
            <v>000000000003339</v>
          </cell>
        </row>
        <row r="13">
          <cell r="B13" t="str">
            <v>+公差</v>
          </cell>
          <cell r="C13">
            <v>176</v>
          </cell>
          <cell r="G13" t="str">
            <v/>
          </cell>
          <cell r="J13" t="str">
            <v/>
          </cell>
          <cell r="O13">
            <v>203</v>
          </cell>
          <cell r="T13" t="str">
            <v>000000000003339</v>
          </cell>
        </row>
        <row r="14">
          <cell r="G14" t="str">
            <v/>
          </cell>
          <cell r="J14" t="str">
            <v/>
          </cell>
          <cell r="O14">
            <v>27</v>
          </cell>
          <cell r="P14">
            <v>1</v>
          </cell>
          <cell r="T14" t="str">
            <v>000000000003339</v>
          </cell>
        </row>
        <row r="15">
          <cell r="B15" t="str">
            <v>+2</v>
          </cell>
          <cell r="C15">
            <v>1</v>
          </cell>
          <cell r="G15" t="str">
            <v/>
          </cell>
          <cell r="J15" t="str">
            <v/>
          </cell>
          <cell r="O15">
            <v>27</v>
          </cell>
          <cell r="T15" t="str">
            <v>000000000003339</v>
          </cell>
        </row>
        <row r="16">
          <cell r="B16" t="str">
            <v>使用数</v>
          </cell>
          <cell r="C16" t="str">
            <v>灯具-1　L=1370</v>
          </cell>
          <cell r="G16" t="str">
            <v/>
          </cell>
          <cell r="J16" t="str">
            <v/>
          </cell>
          <cell r="T16" t="str">
            <v>000000000003339</v>
          </cell>
        </row>
        <row r="17">
          <cell r="B17">
            <v>11</v>
          </cell>
          <cell r="C17">
            <v>11</v>
          </cell>
          <cell r="G17" t="str">
            <v/>
          </cell>
          <cell r="J17" t="str">
            <v/>
          </cell>
          <cell r="O17" t="str">
            <v>水野</v>
          </cell>
          <cell r="T17" t="str">
            <v>000000000003339</v>
          </cell>
        </row>
        <row r="18">
          <cell r="G18" t="str">
            <v/>
          </cell>
          <cell r="J18" t="str">
            <v/>
          </cell>
          <cell r="P18">
            <v>27</v>
          </cell>
          <cell r="T18" t="str">
            <v>000000000003339</v>
          </cell>
        </row>
        <row r="19">
          <cell r="B19" t="str">
            <v>00758074</v>
          </cell>
          <cell r="C19" t="str">
            <v>灯具カバーPC　L=669</v>
          </cell>
          <cell r="I19" t="str">
            <v>25D10-01</v>
          </cell>
          <cell r="J19" t="str">
            <v/>
          </cell>
          <cell r="K19">
            <v>0</v>
          </cell>
          <cell r="L19">
            <v>45806</v>
          </cell>
          <cell r="M19">
            <v>5</v>
          </cell>
          <cell r="O19">
            <v>45806</v>
          </cell>
          <cell r="T19" t="str">
            <v>Z002</v>
          </cell>
        </row>
        <row r="20">
          <cell r="D20">
            <v>45806</v>
          </cell>
          <cell r="E20" t="str">
            <v>25D10-01</v>
          </cell>
          <cell r="F20">
            <v>22</v>
          </cell>
          <cell r="G20" t="str">
            <v/>
          </cell>
          <cell r="H20">
            <v>670.15</v>
          </cell>
          <cell r="J20" t="str">
            <v/>
          </cell>
          <cell r="O20">
            <v>10</v>
          </cell>
          <cell r="T20" t="str">
            <v>Z002</v>
          </cell>
        </row>
        <row r="21">
          <cell r="B21" t="str">
            <v>+公差</v>
          </cell>
          <cell r="C21">
            <v>10</v>
          </cell>
          <cell r="D21">
            <v>45806</v>
          </cell>
          <cell r="E21" t="str">
            <v>25D10-01</v>
          </cell>
          <cell r="F21">
            <v>22</v>
          </cell>
          <cell r="G21" t="str">
            <v/>
          </cell>
          <cell r="H21">
            <v>670.2</v>
          </cell>
          <cell r="J21" t="str">
            <v/>
          </cell>
          <cell r="O21">
            <v>10</v>
          </cell>
          <cell r="T21" t="str">
            <v>Z002</v>
          </cell>
        </row>
        <row r="22">
          <cell r="G22" t="str">
            <v/>
          </cell>
          <cell r="J22" t="str">
            <v/>
          </cell>
          <cell r="O22">
            <v>0</v>
          </cell>
          <cell r="T22" t="str">
            <v>Z002</v>
          </cell>
        </row>
        <row r="23">
          <cell r="C23">
            <v>1</v>
          </cell>
          <cell r="G23" t="str">
            <v/>
          </cell>
          <cell r="J23" t="str">
            <v/>
          </cell>
          <cell r="O23">
            <v>0</v>
          </cell>
          <cell r="T23" t="str">
            <v>Z002</v>
          </cell>
        </row>
        <row r="24">
          <cell r="B24" t="str">
            <v>使用数</v>
          </cell>
          <cell r="G24" t="str">
            <v/>
          </cell>
          <cell r="J24" t="str">
            <v/>
          </cell>
          <cell r="T24" t="str">
            <v>Z002</v>
          </cell>
        </row>
        <row r="25">
          <cell r="B25" t="e">
            <v>#N/A</v>
          </cell>
          <cell r="C25" t="e">
            <v>#N/A</v>
          </cell>
          <cell r="G25" t="str">
            <v/>
          </cell>
          <cell r="J25" t="str">
            <v/>
          </cell>
          <cell r="O25" t="str">
            <v>水野</v>
          </cell>
          <cell r="T25" t="str">
            <v>Z002</v>
          </cell>
        </row>
        <row r="26">
          <cell r="G26" t="str">
            <v/>
          </cell>
          <cell r="J26" t="str">
            <v/>
          </cell>
          <cell r="P26">
            <v>0</v>
          </cell>
          <cell r="T26" t="str">
            <v>Z002</v>
          </cell>
        </row>
        <row r="27">
          <cell r="B27" t="str">
            <v>00758073</v>
          </cell>
          <cell r="C27" t="str">
            <v>灯具カバーPC　L=503</v>
          </cell>
          <cell r="I27" t="str">
            <v>25D11-01</v>
          </cell>
          <cell r="J27" t="str">
            <v/>
          </cell>
          <cell r="K27">
            <v>0</v>
          </cell>
          <cell r="L27">
            <v>45806</v>
          </cell>
          <cell r="M27">
            <v>5</v>
          </cell>
          <cell r="O27">
            <v>45806</v>
          </cell>
          <cell r="T27" t="str">
            <v>Z001</v>
          </cell>
        </row>
        <row r="28">
          <cell r="D28">
            <v>45806</v>
          </cell>
          <cell r="E28" t="str">
            <v>25D11-01</v>
          </cell>
          <cell r="F28">
            <v>22</v>
          </cell>
          <cell r="G28" t="str">
            <v/>
          </cell>
          <cell r="H28">
            <v>503.7</v>
          </cell>
          <cell r="J28" t="str">
            <v/>
          </cell>
          <cell r="O28">
            <v>10</v>
          </cell>
          <cell r="T28" t="str">
            <v>Z001</v>
          </cell>
        </row>
        <row r="29">
          <cell r="B29" t="str">
            <v>+公差</v>
          </cell>
          <cell r="C29">
            <v>10</v>
          </cell>
          <cell r="D29">
            <v>45806</v>
          </cell>
          <cell r="E29" t="str">
            <v>25D11-01</v>
          </cell>
          <cell r="F29">
            <v>22</v>
          </cell>
          <cell r="G29" t="str">
            <v/>
          </cell>
          <cell r="H29">
            <v>503.7</v>
          </cell>
          <cell r="J29" t="str">
            <v/>
          </cell>
          <cell r="O29">
            <v>10</v>
          </cell>
          <cell r="T29" t="str">
            <v>Z001</v>
          </cell>
        </row>
        <row r="30">
          <cell r="G30" t="str">
            <v/>
          </cell>
          <cell r="J30" t="str">
            <v/>
          </cell>
          <cell r="O30">
            <v>0</v>
          </cell>
          <cell r="T30" t="str">
            <v>Z001</v>
          </cell>
        </row>
        <row r="31">
          <cell r="C31">
            <v>1</v>
          </cell>
          <cell r="G31" t="str">
            <v/>
          </cell>
          <cell r="J31" t="str">
            <v/>
          </cell>
          <cell r="O31">
            <v>0</v>
          </cell>
          <cell r="T31" t="str">
            <v>Z001</v>
          </cell>
        </row>
        <row r="32">
          <cell r="B32" t="str">
            <v>使用数</v>
          </cell>
          <cell r="G32" t="str">
            <v/>
          </cell>
          <cell r="J32" t="str">
            <v/>
          </cell>
          <cell r="T32" t="str">
            <v>Z001</v>
          </cell>
        </row>
        <row r="33">
          <cell r="B33" t="e">
            <v>#N/A</v>
          </cell>
          <cell r="C33" t="e">
            <v>#N/A</v>
          </cell>
          <cell r="G33" t="str">
            <v/>
          </cell>
          <cell r="J33" t="str">
            <v/>
          </cell>
          <cell r="O33" t="str">
            <v>水野</v>
          </cell>
          <cell r="T33" t="str">
            <v>Z001</v>
          </cell>
        </row>
        <row r="34">
          <cell r="G34" t="str">
            <v/>
          </cell>
          <cell r="J34" t="str">
            <v/>
          </cell>
          <cell r="P34">
            <v>0</v>
          </cell>
          <cell r="T34" t="str">
            <v>Z001</v>
          </cell>
        </row>
        <row r="35">
          <cell r="B35" t="str">
            <v>00757225</v>
          </cell>
          <cell r="C35" t="str">
            <v>001EGAW　715</v>
          </cell>
          <cell r="I35" t="str">
            <v>25A17B</v>
          </cell>
          <cell r="J35">
            <v>200</v>
          </cell>
          <cell r="K35">
            <v>100</v>
          </cell>
          <cell r="L35">
            <v>45810</v>
          </cell>
          <cell r="M35">
            <v>2</v>
          </cell>
          <cell r="O35">
            <v>45810</v>
          </cell>
          <cell r="T35" t="str">
            <v>000000000003627</v>
          </cell>
        </row>
        <row r="36">
          <cell r="D36">
            <v>45810</v>
          </cell>
          <cell r="E36" t="str">
            <v>25A17B</v>
          </cell>
          <cell r="G36">
            <v>715</v>
          </cell>
          <cell r="H36">
            <v>715.39</v>
          </cell>
          <cell r="I36" t="str">
            <v>25E26C</v>
          </cell>
          <cell r="J36">
            <v>200</v>
          </cell>
          <cell r="K36">
            <v>100</v>
          </cell>
          <cell r="O36">
            <v>400</v>
          </cell>
          <cell r="T36" t="str">
            <v>000000000003627</v>
          </cell>
        </row>
        <row r="37">
          <cell r="B37" t="str">
            <v>+公差</v>
          </cell>
          <cell r="C37">
            <v>400</v>
          </cell>
          <cell r="D37">
            <v>45810</v>
          </cell>
          <cell r="E37" t="str">
            <v>25E26C</v>
          </cell>
          <cell r="G37">
            <v>715</v>
          </cell>
          <cell r="H37">
            <v>715.21</v>
          </cell>
          <cell r="J37" t="str">
            <v/>
          </cell>
          <cell r="O37">
            <v>200</v>
          </cell>
          <cell r="T37" t="str">
            <v>000000000003627</v>
          </cell>
        </row>
        <row r="38">
          <cell r="G38">
            <v>715</v>
          </cell>
          <cell r="J38" t="str">
            <v/>
          </cell>
          <cell r="O38">
            <v>0</v>
          </cell>
          <cell r="T38" t="str">
            <v>000000000003627</v>
          </cell>
        </row>
        <row r="39">
          <cell r="B39" t="str">
            <v>+0.5</v>
          </cell>
          <cell r="C39">
            <v>2</v>
          </cell>
          <cell r="G39">
            <v>715</v>
          </cell>
          <cell r="J39" t="str">
            <v/>
          </cell>
          <cell r="O39">
            <v>0</v>
          </cell>
          <cell r="T39" t="str">
            <v>000000000003627</v>
          </cell>
        </row>
        <row r="40">
          <cell r="B40" t="str">
            <v>使用数</v>
          </cell>
          <cell r="C40" t="str">
            <v>S-40</v>
          </cell>
          <cell r="G40">
            <v>715</v>
          </cell>
          <cell r="J40" t="str">
            <v/>
          </cell>
          <cell r="T40" t="str">
            <v>000000000003627</v>
          </cell>
        </row>
        <row r="41">
          <cell r="B41">
            <v>2</v>
          </cell>
          <cell r="C41">
            <v>2</v>
          </cell>
          <cell r="G41">
            <v>715</v>
          </cell>
          <cell r="J41" t="str">
            <v/>
          </cell>
          <cell r="O41" t="str">
            <v>水野</v>
          </cell>
          <cell r="T41" t="str">
            <v>000000000003627</v>
          </cell>
        </row>
        <row r="42">
          <cell r="G42">
            <v>715</v>
          </cell>
          <cell r="J42" t="str">
            <v/>
          </cell>
          <cell r="P42">
            <v>0</v>
          </cell>
          <cell r="T42" t="str">
            <v>000000000003627</v>
          </cell>
        </row>
        <row r="43">
          <cell r="B43" t="str">
            <v>00757224</v>
          </cell>
          <cell r="C43" t="str">
            <v>001EGAW　665</v>
          </cell>
          <cell r="I43" t="str">
            <v>25E26C</v>
          </cell>
          <cell r="J43">
            <v>200</v>
          </cell>
          <cell r="K43">
            <v>100</v>
          </cell>
          <cell r="L43">
            <v>45811</v>
          </cell>
          <cell r="M43">
            <v>1</v>
          </cell>
          <cell r="O43">
            <v>45811</v>
          </cell>
          <cell r="T43" t="str">
            <v>000000000003626</v>
          </cell>
        </row>
        <row r="44">
          <cell r="D44">
            <v>45811</v>
          </cell>
          <cell r="E44" t="str">
            <v>25E26C</v>
          </cell>
          <cell r="G44">
            <v>665</v>
          </cell>
          <cell r="H44">
            <v>665.19</v>
          </cell>
          <cell r="J44" t="str">
            <v/>
          </cell>
          <cell r="O44">
            <v>200</v>
          </cell>
          <cell r="T44" t="str">
            <v>000000000003626</v>
          </cell>
        </row>
        <row r="45">
          <cell r="B45" t="str">
            <v>+公差</v>
          </cell>
          <cell r="C45">
            <v>200</v>
          </cell>
          <cell r="D45">
            <v>45811</v>
          </cell>
          <cell r="E45" t="str">
            <v>25E26C</v>
          </cell>
          <cell r="G45">
            <v>665</v>
          </cell>
          <cell r="H45">
            <v>665.13</v>
          </cell>
          <cell r="J45" t="str">
            <v/>
          </cell>
          <cell r="O45">
            <v>100</v>
          </cell>
          <cell r="T45" t="str">
            <v>000000000003626</v>
          </cell>
        </row>
        <row r="46">
          <cell r="G46">
            <v>665</v>
          </cell>
          <cell r="J46" t="str">
            <v/>
          </cell>
          <cell r="O46">
            <v>0</v>
          </cell>
          <cell r="T46" t="str">
            <v>000000000003626</v>
          </cell>
        </row>
        <row r="47">
          <cell r="B47" t="str">
            <v>+0.5</v>
          </cell>
          <cell r="C47">
            <v>2</v>
          </cell>
          <cell r="G47">
            <v>665</v>
          </cell>
          <cell r="J47" t="str">
            <v/>
          </cell>
          <cell r="O47">
            <v>0</v>
          </cell>
          <cell r="T47" t="str">
            <v>000000000003626</v>
          </cell>
        </row>
        <row r="48">
          <cell r="B48" t="str">
            <v>使用数</v>
          </cell>
          <cell r="C48" t="str">
            <v>S-40</v>
          </cell>
          <cell r="G48">
            <v>665</v>
          </cell>
          <cell r="J48" t="str">
            <v/>
          </cell>
          <cell r="T48" t="str">
            <v>000000000003626</v>
          </cell>
        </row>
        <row r="49">
          <cell r="B49">
            <v>1</v>
          </cell>
          <cell r="C49">
            <v>1</v>
          </cell>
          <cell r="G49">
            <v>665</v>
          </cell>
          <cell r="J49" t="str">
            <v/>
          </cell>
          <cell r="O49" t="str">
            <v>水野</v>
          </cell>
          <cell r="T49" t="str">
            <v>000000000003626</v>
          </cell>
        </row>
        <row r="50">
          <cell r="G50">
            <v>665</v>
          </cell>
          <cell r="J50" t="str">
            <v/>
          </cell>
          <cell r="O50" t="str">
            <v>-</v>
          </cell>
          <cell r="P50">
            <v>0</v>
          </cell>
          <cell r="T50" t="str">
            <v>000000000003626</v>
          </cell>
        </row>
        <row r="51">
          <cell r="B51" t="str">
            <v>00757223</v>
          </cell>
          <cell r="C51" t="str">
            <v>001EGAW　652</v>
          </cell>
          <cell r="I51" t="str">
            <v>25E26C</v>
          </cell>
          <cell r="J51">
            <v>1200</v>
          </cell>
          <cell r="K51">
            <v>600</v>
          </cell>
          <cell r="L51">
            <v>45811</v>
          </cell>
          <cell r="M51">
            <v>14</v>
          </cell>
          <cell r="O51">
            <v>45811</v>
          </cell>
          <cell r="T51" t="str">
            <v>000000000003625</v>
          </cell>
        </row>
        <row r="52">
          <cell r="D52">
            <v>45811</v>
          </cell>
          <cell r="E52" t="str">
            <v>25E26C</v>
          </cell>
          <cell r="G52">
            <v>652</v>
          </cell>
          <cell r="H52">
            <v>651.97</v>
          </cell>
          <cell r="I52" t="str">
            <v>25E24A</v>
          </cell>
          <cell r="J52">
            <v>900</v>
          </cell>
          <cell r="K52">
            <v>450</v>
          </cell>
          <cell r="O52">
            <v>2700</v>
          </cell>
          <cell r="T52" t="str">
            <v>000000000003625</v>
          </cell>
        </row>
        <row r="53">
          <cell r="B53" t="str">
            <v>+公差</v>
          </cell>
          <cell r="C53">
            <v>2700</v>
          </cell>
          <cell r="D53">
            <v>45811</v>
          </cell>
          <cell r="E53" t="str">
            <v>25E24A</v>
          </cell>
          <cell r="G53">
            <v>652</v>
          </cell>
          <cell r="H53">
            <v>652.20000000000005</v>
          </cell>
          <cell r="I53" t="str">
            <v>25E26B</v>
          </cell>
          <cell r="J53">
            <v>600</v>
          </cell>
          <cell r="K53">
            <v>300</v>
          </cell>
          <cell r="O53">
            <v>1350</v>
          </cell>
          <cell r="T53" t="str">
            <v>000000000003625</v>
          </cell>
        </row>
        <row r="54">
          <cell r="D54">
            <v>45811</v>
          </cell>
          <cell r="E54" t="str">
            <v>25E26C</v>
          </cell>
          <cell r="G54">
            <v>652</v>
          </cell>
          <cell r="H54">
            <v>652.16999999999996</v>
          </cell>
          <cell r="J54" t="str">
            <v/>
          </cell>
          <cell r="O54">
            <v>0</v>
          </cell>
          <cell r="T54" t="str">
            <v>000000000003625</v>
          </cell>
        </row>
        <row r="55">
          <cell r="B55" t="str">
            <v>+0.5</v>
          </cell>
          <cell r="C55">
            <v>2</v>
          </cell>
          <cell r="D55">
            <v>45811</v>
          </cell>
          <cell r="E55" t="str">
            <v>25E26B</v>
          </cell>
          <cell r="G55">
            <v>652</v>
          </cell>
          <cell r="H55">
            <v>652.03</v>
          </cell>
          <cell r="J55" t="str">
            <v/>
          </cell>
          <cell r="O55">
            <v>0</v>
          </cell>
          <cell r="T55" t="str">
            <v>000000000003625</v>
          </cell>
        </row>
        <row r="56">
          <cell r="B56" t="str">
            <v>使用数</v>
          </cell>
          <cell r="C56" t="str">
            <v>S-40</v>
          </cell>
          <cell r="G56">
            <v>652</v>
          </cell>
          <cell r="J56" t="str">
            <v/>
          </cell>
          <cell r="T56" t="str">
            <v>000000000003625</v>
          </cell>
        </row>
        <row r="57">
          <cell r="B57">
            <v>14</v>
          </cell>
          <cell r="C57">
            <v>14</v>
          </cell>
          <cell r="G57">
            <v>652</v>
          </cell>
          <cell r="J57" t="str">
            <v/>
          </cell>
          <cell r="O57" t="str">
            <v>水野</v>
          </cell>
          <cell r="T57" t="str">
            <v>000000000003625</v>
          </cell>
        </row>
        <row r="58">
          <cell r="G58">
            <v>652</v>
          </cell>
          <cell r="J58" t="str">
            <v/>
          </cell>
          <cell r="O58" t="str">
            <v>-</v>
          </cell>
          <cell r="P58">
            <v>0</v>
          </cell>
          <cell r="T58" t="str">
            <v>000000000003625</v>
          </cell>
        </row>
        <row r="59">
          <cell r="B59" t="str">
            <v>00757222</v>
          </cell>
          <cell r="C59" t="str">
            <v>001EGAW　633</v>
          </cell>
          <cell r="I59" t="str">
            <v>25E23C</v>
          </cell>
          <cell r="J59">
            <v>200</v>
          </cell>
          <cell r="K59">
            <v>100</v>
          </cell>
          <cell r="L59">
            <v>45812</v>
          </cell>
          <cell r="M59">
            <v>1</v>
          </cell>
          <cell r="O59">
            <v>45812</v>
          </cell>
          <cell r="T59" t="str">
            <v>000000000003624</v>
          </cell>
        </row>
        <row r="60">
          <cell r="D60">
            <v>45812</v>
          </cell>
          <cell r="E60" t="str">
            <v>25E23C</v>
          </cell>
          <cell r="G60">
            <v>633</v>
          </cell>
          <cell r="H60">
            <v>633.41999999999996</v>
          </cell>
          <cell r="J60" t="str">
            <v/>
          </cell>
          <cell r="O60">
            <v>200</v>
          </cell>
          <cell r="T60" t="str">
            <v>000000000003624</v>
          </cell>
        </row>
        <row r="61">
          <cell r="B61" t="str">
            <v>+公差</v>
          </cell>
          <cell r="C61">
            <v>200</v>
          </cell>
          <cell r="D61">
            <v>45812</v>
          </cell>
          <cell r="E61" t="str">
            <v>25E23C</v>
          </cell>
          <cell r="G61">
            <v>633</v>
          </cell>
          <cell r="H61">
            <v>633.45000000000005</v>
          </cell>
          <cell r="J61" t="str">
            <v/>
          </cell>
          <cell r="O61">
            <v>100</v>
          </cell>
          <cell r="T61" t="str">
            <v>000000000003624</v>
          </cell>
        </row>
        <row r="62">
          <cell r="G62">
            <v>633</v>
          </cell>
          <cell r="J62" t="str">
            <v/>
          </cell>
          <cell r="O62">
            <v>0</v>
          </cell>
          <cell r="T62" t="str">
            <v>000000000003624</v>
          </cell>
        </row>
        <row r="63">
          <cell r="B63" t="str">
            <v>+0.5</v>
          </cell>
          <cell r="C63">
            <v>2</v>
          </cell>
          <cell r="G63">
            <v>633</v>
          </cell>
          <cell r="J63" t="str">
            <v/>
          </cell>
          <cell r="O63">
            <v>0</v>
          </cell>
          <cell r="T63" t="str">
            <v>000000000003624</v>
          </cell>
        </row>
        <row r="64">
          <cell r="B64" t="str">
            <v>使用数</v>
          </cell>
          <cell r="C64" t="str">
            <v>S-40</v>
          </cell>
          <cell r="G64">
            <v>633</v>
          </cell>
          <cell r="J64" t="str">
            <v/>
          </cell>
          <cell r="T64" t="str">
            <v>000000000003624</v>
          </cell>
        </row>
        <row r="65">
          <cell r="B65">
            <v>1</v>
          </cell>
          <cell r="C65">
            <v>1</v>
          </cell>
          <cell r="G65">
            <v>633</v>
          </cell>
          <cell r="J65" t="str">
            <v/>
          </cell>
          <cell r="O65" t="str">
            <v>水野</v>
          </cell>
          <cell r="T65" t="str">
            <v>000000000003624</v>
          </cell>
        </row>
        <row r="66">
          <cell r="G66">
            <v>633</v>
          </cell>
          <cell r="J66" t="str">
            <v/>
          </cell>
          <cell r="O66" t="str">
            <v>-</v>
          </cell>
          <cell r="P66">
            <v>0</v>
          </cell>
          <cell r="T66" t="str">
            <v>000000000003624</v>
          </cell>
        </row>
        <row r="67">
          <cell r="B67" t="str">
            <v>00757221</v>
          </cell>
          <cell r="C67" t="str">
            <v>001EGAW　565</v>
          </cell>
          <cell r="I67" t="str">
            <v>25E23C</v>
          </cell>
          <cell r="J67">
            <v>800</v>
          </cell>
          <cell r="K67">
            <v>400</v>
          </cell>
          <cell r="L67">
            <v>45812</v>
          </cell>
          <cell r="M67">
            <v>4</v>
          </cell>
          <cell r="O67">
            <v>45812</v>
          </cell>
          <cell r="T67" t="str">
            <v>000000000003623</v>
          </cell>
        </row>
        <row r="68">
          <cell r="D68">
            <v>45812</v>
          </cell>
          <cell r="E68" t="str">
            <v>25E23C</v>
          </cell>
          <cell r="G68">
            <v>565</v>
          </cell>
          <cell r="H68">
            <v>565.16999999999996</v>
          </cell>
          <cell r="J68" t="str">
            <v/>
          </cell>
          <cell r="O68">
            <v>800</v>
          </cell>
          <cell r="T68" t="str">
            <v>000000000003623</v>
          </cell>
        </row>
        <row r="69">
          <cell r="B69" t="str">
            <v>+公差</v>
          </cell>
          <cell r="C69">
            <v>800</v>
          </cell>
          <cell r="D69">
            <v>45812</v>
          </cell>
          <cell r="E69" t="str">
            <v>25E23C</v>
          </cell>
          <cell r="G69">
            <v>565</v>
          </cell>
          <cell r="H69">
            <v>565.42999999999995</v>
          </cell>
          <cell r="J69" t="str">
            <v/>
          </cell>
          <cell r="O69">
            <v>400</v>
          </cell>
          <cell r="T69" t="str">
            <v>000000000003623</v>
          </cell>
        </row>
        <row r="70">
          <cell r="G70">
            <v>565</v>
          </cell>
          <cell r="J70" t="str">
            <v/>
          </cell>
          <cell r="O70">
            <v>0</v>
          </cell>
          <cell r="T70" t="str">
            <v>000000000003623</v>
          </cell>
        </row>
        <row r="71">
          <cell r="B71" t="str">
            <v>+0.5</v>
          </cell>
          <cell r="C71">
            <v>2</v>
          </cell>
          <cell r="G71">
            <v>565</v>
          </cell>
          <cell r="J71" t="str">
            <v/>
          </cell>
          <cell r="O71">
            <v>0</v>
          </cell>
          <cell r="T71" t="str">
            <v>000000000003623</v>
          </cell>
        </row>
        <row r="72">
          <cell r="B72" t="str">
            <v>使用数</v>
          </cell>
          <cell r="C72" t="str">
            <v>S-30</v>
          </cell>
          <cell r="G72">
            <v>565</v>
          </cell>
          <cell r="J72" t="str">
            <v/>
          </cell>
          <cell r="T72" t="str">
            <v>000000000003623</v>
          </cell>
        </row>
        <row r="73">
          <cell r="B73">
            <v>4</v>
          </cell>
          <cell r="C73">
            <v>4</v>
          </cell>
          <cell r="G73">
            <v>565</v>
          </cell>
          <cell r="J73" t="str">
            <v/>
          </cell>
          <cell r="O73" t="str">
            <v>水野</v>
          </cell>
          <cell r="T73" t="str">
            <v>000000000003623</v>
          </cell>
        </row>
        <row r="74">
          <cell r="G74">
            <v>565</v>
          </cell>
          <cell r="J74" t="str">
            <v/>
          </cell>
          <cell r="O74" t="str">
            <v>-</v>
          </cell>
          <cell r="P74">
            <v>0</v>
          </cell>
          <cell r="T74" t="str">
            <v>000000000003623</v>
          </cell>
        </row>
        <row r="75">
          <cell r="B75" t="str">
            <v>00757220</v>
          </cell>
          <cell r="C75" t="str">
            <v>001EGAW　508</v>
          </cell>
          <cell r="I75" t="str">
            <v>25E24A</v>
          </cell>
          <cell r="J75">
            <v>100</v>
          </cell>
          <cell r="K75">
            <v>50</v>
          </cell>
          <cell r="L75">
            <v>45812</v>
          </cell>
          <cell r="M75">
            <v>8</v>
          </cell>
          <cell r="O75">
            <v>45813</v>
          </cell>
          <cell r="T75" t="str">
            <v>000000000003622</v>
          </cell>
        </row>
        <row r="76">
          <cell r="D76">
            <v>45812</v>
          </cell>
          <cell r="E76" t="str">
            <v>25E24A</v>
          </cell>
          <cell r="G76">
            <v>508</v>
          </cell>
          <cell r="H76">
            <v>508.41</v>
          </cell>
          <cell r="I76" t="str">
            <v>25E23C</v>
          </cell>
          <cell r="J76">
            <v>600</v>
          </cell>
          <cell r="K76">
            <v>300</v>
          </cell>
          <cell r="L76">
            <v>45813</v>
          </cell>
          <cell r="M76">
            <v>1</v>
          </cell>
          <cell r="O76">
            <v>1700</v>
          </cell>
          <cell r="T76" t="str">
            <v>000000000003622</v>
          </cell>
        </row>
        <row r="77">
          <cell r="B77" t="str">
            <v>+公差</v>
          </cell>
          <cell r="C77">
            <v>1700</v>
          </cell>
          <cell r="D77">
            <v>45812</v>
          </cell>
          <cell r="E77" t="str">
            <v>25E23C</v>
          </cell>
          <cell r="G77">
            <v>508</v>
          </cell>
          <cell r="I77" t="str">
            <v>25A15B</v>
          </cell>
          <cell r="J77">
            <v>12</v>
          </cell>
          <cell r="K77">
            <v>6</v>
          </cell>
          <cell r="O77">
            <v>856</v>
          </cell>
          <cell r="T77" t="str">
            <v>000000000003622</v>
          </cell>
        </row>
        <row r="78">
          <cell r="D78">
            <v>45812</v>
          </cell>
          <cell r="E78" t="str">
            <v>25A15B</v>
          </cell>
          <cell r="G78">
            <v>508</v>
          </cell>
          <cell r="I78" t="str">
            <v>25E22B</v>
          </cell>
          <cell r="J78">
            <v>1000</v>
          </cell>
          <cell r="K78">
            <v>500</v>
          </cell>
          <cell r="O78">
            <v>6</v>
          </cell>
          <cell r="T78" t="str">
            <v>000000000003622</v>
          </cell>
        </row>
        <row r="79">
          <cell r="B79" t="str">
            <v>+0.5</v>
          </cell>
          <cell r="C79">
            <v>2</v>
          </cell>
          <cell r="D79">
            <v>45812</v>
          </cell>
          <cell r="E79" t="str">
            <v>25E22B</v>
          </cell>
          <cell r="G79">
            <v>508</v>
          </cell>
          <cell r="H79">
            <v>508.04</v>
          </cell>
          <cell r="J79" t="str">
            <v/>
          </cell>
          <cell r="O79">
            <v>12</v>
          </cell>
          <cell r="T79" t="str">
            <v>000000000003622</v>
          </cell>
        </row>
        <row r="80">
          <cell r="B80" t="str">
            <v>使用数</v>
          </cell>
          <cell r="C80" t="str">
            <v>S-30</v>
          </cell>
          <cell r="D80">
            <v>45812</v>
          </cell>
          <cell r="E80" t="str">
            <v>25E22B</v>
          </cell>
          <cell r="G80">
            <v>508</v>
          </cell>
          <cell r="H80">
            <v>508.02</v>
          </cell>
          <cell r="J80" t="str">
            <v/>
          </cell>
          <cell r="T80" t="str">
            <v>000000000003622</v>
          </cell>
        </row>
        <row r="81">
          <cell r="B81">
            <v>9</v>
          </cell>
          <cell r="C81">
            <v>9</v>
          </cell>
          <cell r="D81">
            <v>45813</v>
          </cell>
          <cell r="E81" t="str">
            <v>25E22B</v>
          </cell>
          <cell r="G81">
            <v>508</v>
          </cell>
          <cell r="H81">
            <v>508.02</v>
          </cell>
          <cell r="J81" t="str">
            <v/>
          </cell>
          <cell r="O81" t="str">
            <v>水野</v>
          </cell>
          <cell r="P81">
            <v>12</v>
          </cell>
          <cell r="T81" t="str">
            <v>000000000003622</v>
          </cell>
        </row>
        <row r="82">
          <cell r="D82">
            <v>45813</v>
          </cell>
          <cell r="E82" t="str">
            <v>25E22B</v>
          </cell>
          <cell r="G82">
            <v>508</v>
          </cell>
          <cell r="H82">
            <v>507.84</v>
          </cell>
          <cell r="J82" t="str">
            <v/>
          </cell>
          <cell r="O82" t="str">
            <v>-</v>
          </cell>
          <cell r="P82">
            <v>12</v>
          </cell>
          <cell r="T82" t="str">
            <v>000000000003622</v>
          </cell>
        </row>
        <row r="83">
          <cell r="B83" t="str">
            <v>00757219</v>
          </cell>
          <cell r="C83" t="str">
            <v>001EGAW　415</v>
          </cell>
          <cell r="I83" t="str">
            <v>25E22B</v>
          </cell>
          <cell r="J83" t="str">
            <v>端材</v>
          </cell>
          <cell r="L83">
            <v>45813</v>
          </cell>
          <cell r="M83">
            <v>8</v>
          </cell>
          <cell r="O83">
            <v>45813</v>
          </cell>
          <cell r="T83" t="str">
            <v>000000000003621</v>
          </cell>
        </row>
        <row r="84">
          <cell r="D84">
            <v>45813</v>
          </cell>
          <cell r="E84" t="str">
            <v>25E22B</v>
          </cell>
          <cell r="G84">
            <v>415</v>
          </cell>
          <cell r="H84">
            <v>415.12</v>
          </cell>
          <cell r="I84" t="str">
            <v>25E23C</v>
          </cell>
          <cell r="J84" t="str">
            <v>端材</v>
          </cell>
          <cell r="O84">
            <v>1500</v>
          </cell>
          <cell r="T84" t="str">
            <v>000000000003621</v>
          </cell>
        </row>
        <row r="85">
          <cell r="B85" t="str">
            <v>+公差</v>
          </cell>
          <cell r="C85">
            <v>1500</v>
          </cell>
          <cell r="D85">
            <v>45813</v>
          </cell>
          <cell r="E85" t="str">
            <v>25E23C</v>
          </cell>
          <cell r="G85">
            <v>415</v>
          </cell>
          <cell r="I85" t="str">
            <v>25E24A</v>
          </cell>
          <cell r="J85" t="str">
            <v>端材</v>
          </cell>
          <cell r="O85">
            <v>501</v>
          </cell>
          <cell r="T85" t="str">
            <v>000000000003621</v>
          </cell>
        </row>
        <row r="86">
          <cell r="D86">
            <v>45813</v>
          </cell>
          <cell r="E86" t="str">
            <v>25E24A</v>
          </cell>
          <cell r="G86">
            <v>415</v>
          </cell>
          <cell r="I86" t="str">
            <v>25E23B</v>
          </cell>
          <cell r="J86">
            <v>600</v>
          </cell>
          <cell r="K86">
            <v>200</v>
          </cell>
          <cell r="O86">
            <v>1</v>
          </cell>
          <cell r="T86" t="str">
            <v>000000000003621</v>
          </cell>
        </row>
        <row r="87">
          <cell r="B87" t="str">
            <v>+0.5</v>
          </cell>
          <cell r="C87">
            <v>3</v>
          </cell>
          <cell r="D87">
            <v>45813</v>
          </cell>
          <cell r="E87" t="str">
            <v>25E23B</v>
          </cell>
          <cell r="G87">
            <v>415</v>
          </cell>
          <cell r="H87">
            <v>415.12</v>
          </cell>
          <cell r="I87" t="str">
            <v>25A15B</v>
          </cell>
          <cell r="J87">
            <v>36</v>
          </cell>
          <cell r="K87">
            <v>12</v>
          </cell>
          <cell r="O87">
            <v>2</v>
          </cell>
          <cell r="T87" t="str">
            <v>000000000003621</v>
          </cell>
        </row>
        <row r="88">
          <cell r="B88" t="str">
            <v>使用数</v>
          </cell>
          <cell r="C88" t="str">
            <v>S-20</v>
          </cell>
          <cell r="D88">
            <v>45813</v>
          </cell>
          <cell r="E88" t="str">
            <v>25A15B</v>
          </cell>
          <cell r="G88">
            <v>415</v>
          </cell>
          <cell r="H88">
            <v>415.21</v>
          </cell>
          <cell r="J88" t="str">
            <v/>
          </cell>
          <cell r="T88" t="str">
            <v>000000000003621</v>
          </cell>
        </row>
        <row r="89">
          <cell r="B89">
            <v>8</v>
          </cell>
          <cell r="C89">
            <v>8</v>
          </cell>
          <cell r="G89">
            <v>415</v>
          </cell>
          <cell r="J89" t="str">
            <v/>
          </cell>
          <cell r="O89" t="str">
            <v>水野</v>
          </cell>
          <cell r="P89">
            <v>2</v>
          </cell>
          <cell r="T89" t="str">
            <v>000000000003621</v>
          </cell>
        </row>
        <row r="90">
          <cell r="G90">
            <v>415</v>
          </cell>
          <cell r="J90" t="str">
            <v/>
          </cell>
          <cell r="O90" t="str">
            <v>-</v>
          </cell>
          <cell r="P90">
            <v>2</v>
          </cell>
          <cell r="T90" t="str">
            <v>000000000003621</v>
          </cell>
        </row>
        <row r="91">
          <cell r="B91" t="str">
            <v>00758109</v>
          </cell>
          <cell r="C91" t="str">
            <v>8FL281304 6110　L=1478</v>
          </cell>
          <cell r="D91">
            <v>45782</v>
          </cell>
          <cell r="E91" t="str">
            <v>25E09-02</v>
          </cell>
          <cell r="I91" t="str">
            <v>25E09-02</v>
          </cell>
          <cell r="J91">
            <v>15</v>
          </cell>
          <cell r="K91">
            <v>15</v>
          </cell>
          <cell r="L91">
            <v>45814</v>
          </cell>
          <cell r="M91">
            <v>4</v>
          </cell>
          <cell r="O91">
            <v>45814</v>
          </cell>
          <cell r="P91">
            <v>3</v>
          </cell>
          <cell r="T91" t="str">
            <v>000000000003691</v>
          </cell>
        </row>
        <row r="92">
          <cell r="D92">
            <v>45813</v>
          </cell>
          <cell r="E92" t="str">
            <v>25E14-06</v>
          </cell>
          <cell r="F92">
            <v>26</v>
          </cell>
          <cell r="G92">
            <v>1478.58</v>
          </cell>
          <cell r="H92">
            <v>1478.58</v>
          </cell>
          <cell r="I92" t="str">
            <v>25E14-06</v>
          </cell>
          <cell r="J92">
            <v>359</v>
          </cell>
          <cell r="K92">
            <v>359</v>
          </cell>
          <cell r="O92">
            <v>400</v>
          </cell>
          <cell r="T92" t="str">
            <v>000000000003691</v>
          </cell>
        </row>
        <row r="93">
          <cell r="B93" t="str">
            <v>+公差</v>
          </cell>
          <cell r="C93">
            <v>400</v>
          </cell>
          <cell r="D93">
            <v>45813</v>
          </cell>
          <cell r="E93" t="str">
            <v>25E27-09</v>
          </cell>
          <cell r="F93">
            <v>26</v>
          </cell>
          <cell r="G93">
            <v>1478.58</v>
          </cell>
          <cell r="H93">
            <v>1478.65</v>
          </cell>
          <cell r="I93" t="str">
            <v>25E27-09</v>
          </cell>
          <cell r="J93">
            <v>29</v>
          </cell>
          <cell r="K93">
            <v>29</v>
          </cell>
          <cell r="O93">
            <v>403</v>
          </cell>
          <cell r="T93" t="str">
            <v>000000000003691</v>
          </cell>
        </row>
        <row r="94">
          <cell r="G94" t="str">
            <v/>
          </cell>
          <cell r="J94" t="str">
            <v/>
          </cell>
          <cell r="O94">
            <v>3</v>
          </cell>
          <cell r="T94" t="str">
            <v>000000000003691</v>
          </cell>
        </row>
        <row r="95">
          <cell r="B95" t="str">
            <v>+0.5</v>
          </cell>
          <cell r="C95">
            <v>1</v>
          </cell>
          <cell r="G95" t="str">
            <v/>
          </cell>
          <cell r="J95" t="str">
            <v/>
          </cell>
          <cell r="O95">
            <v>3</v>
          </cell>
          <cell r="T95" t="str">
            <v>000000000003691</v>
          </cell>
        </row>
        <row r="96">
          <cell r="B96" t="str">
            <v>使用数</v>
          </cell>
          <cell r="C96" t="str">
            <v>LED-A1478</v>
          </cell>
          <cell r="G96" t="str">
            <v/>
          </cell>
          <cell r="J96" t="str">
            <v/>
          </cell>
          <cell r="T96" t="str">
            <v>000000000003691</v>
          </cell>
        </row>
        <row r="97">
          <cell r="B97">
            <v>4</v>
          </cell>
          <cell r="C97">
            <v>4</v>
          </cell>
          <cell r="G97" t="str">
            <v/>
          </cell>
          <cell r="J97" t="str">
            <v/>
          </cell>
          <cell r="O97" t="str">
            <v>水野</v>
          </cell>
          <cell r="T97" t="str">
            <v>000000000003691</v>
          </cell>
        </row>
        <row r="98">
          <cell r="G98" t="str">
            <v/>
          </cell>
          <cell r="J98" t="str">
            <v/>
          </cell>
          <cell r="O98" t="str">
            <v>高森</v>
          </cell>
          <cell r="P98">
            <v>3</v>
          </cell>
          <cell r="T98" t="str">
            <v>000000000003691</v>
          </cell>
        </row>
        <row r="99">
          <cell r="B99" t="str">
            <v>00758108</v>
          </cell>
          <cell r="C99" t="str">
            <v>8FL281304 4810　L=297</v>
          </cell>
          <cell r="D99">
            <v>45792</v>
          </cell>
          <cell r="E99" t="str">
            <v>25E09-02</v>
          </cell>
          <cell r="I99" t="str">
            <v>25E09-02</v>
          </cell>
          <cell r="J99">
            <v>18</v>
          </cell>
          <cell r="K99">
            <v>3</v>
          </cell>
          <cell r="L99">
            <v>45814</v>
          </cell>
          <cell r="M99">
            <v>2</v>
          </cell>
          <cell r="O99">
            <v>45814</v>
          </cell>
          <cell r="P99">
            <v>1</v>
          </cell>
          <cell r="T99" t="str">
            <v>000000000003690</v>
          </cell>
        </row>
        <row r="100">
          <cell r="D100">
            <v>45814</v>
          </cell>
          <cell r="E100" t="str">
            <v>25E27-09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25E27-09</v>
          </cell>
          <cell r="J100">
            <v>186</v>
          </cell>
          <cell r="K100">
            <v>31</v>
          </cell>
          <cell r="O100">
            <v>200</v>
          </cell>
          <cell r="T100" t="str">
            <v>000000000003690</v>
          </cell>
        </row>
        <row r="101">
          <cell r="B101" t="str">
            <v>+公差</v>
          </cell>
          <cell r="C101">
            <v>200</v>
          </cell>
          <cell r="D101">
            <v>45814</v>
          </cell>
          <cell r="E101" t="str">
            <v>25E27-09</v>
          </cell>
          <cell r="F101">
            <v>26</v>
          </cell>
          <cell r="G101">
            <v>297.12</v>
          </cell>
          <cell r="H101">
            <v>297.31</v>
          </cell>
          <cell r="J101" t="str">
            <v/>
          </cell>
          <cell r="O101">
            <v>34</v>
          </cell>
          <cell r="T101" t="str">
            <v>000000000003690</v>
          </cell>
        </row>
        <row r="102">
          <cell r="G102" t="str">
            <v/>
          </cell>
          <cell r="J102" t="str">
            <v/>
          </cell>
          <cell r="O102">
            <v>1</v>
          </cell>
          <cell r="T102" t="str">
            <v>000000000003690</v>
          </cell>
        </row>
        <row r="103">
          <cell r="B103" t="str">
            <v>+0.5</v>
          </cell>
          <cell r="C103">
            <v>6</v>
          </cell>
          <cell r="G103" t="str">
            <v/>
          </cell>
          <cell r="J103" t="str">
            <v/>
          </cell>
          <cell r="O103">
            <v>1</v>
          </cell>
          <cell r="T103" t="str">
            <v>000000000003690</v>
          </cell>
        </row>
        <row r="104">
          <cell r="B104" t="str">
            <v>使用数</v>
          </cell>
          <cell r="C104" t="str">
            <v>LED-A300</v>
          </cell>
          <cell r="G104" t="str">
            <v/>
          </cell>
          <cell r="J104" t="str">
            <v/>
          </cell>
          <cell r="O104">
            <v>1</v>
          </cell>
          <cell r="T104" t="str">
            <v>000000000003690</v>
          </cell>
        </row>
        <row r="105">
          <cell r="B105">
            <v>2</v>
          </cell>
          <cell r="C105">
            <v>2</v>
          </cell>
          <cell r="G105" t="str">
            <v/>
          </cell>
          <cell r="J105" t="str">
            <v/>
          </cell>
          <cell r="O105" t="str">
            <v>水野</v>
          </cell>
          <cell r="T105" t="str">
            <v>000000000003690</v>
          </cell>
        </row>
        <row r="106">
          <cell r="G106" t="str">
            <v/>
          </cell>
          <cell r="J106" t="str">
            <v/>
          </cell>
          <cell r="O106" t="str">
            <v>高森</v>
          </cell>
          <cell r="P106">
            <v>1</v>
          </cell>
          <cell r="T106" t="str">
            <v>000000000003690</v>
          </cell>
        </row>
        <row r="107">
          <cell r="B107" t="str">
            <v>00761438</v>
          </cell>
          <cell r="C107" t="str">
            <v>8FL281304 4810　L=297</v>
          </cell>
          <cell r="D107">
            <v>45814</v>
          </cell>
          <cell r="E107" t="str">
            <v>25E27-09</v>
          </cell>
          <cell r="I107" t="str">
            <v>25E27-09</v>
          </cell>
          <cell r="J107">
            <v>288</v>
          </cell>
          <cell r="K107">
            <v>48</v>
          </cell>
          <cell r="L107">
            <v>45818</v>
          </cell>
          <cell r="M107">
            <v>3</v>
          </cell>
          <cell r="O107">
            <v>45818</v>
          </cell>
          <cell r="T107" t="str">
            <v>000000000004070</v>
          </cell>
        </row>
        <row r="108">
          <cell r="D108">
            <v>45817</v>
          </cell>
          <cell r="E108" t="str">
            <v>25E27-09</v>
          </cell>
          <cell r="F108">
            <v>26</v>
          </cell>
          <cell r="G108">
            <v>297.12</v>
          </cell>
          <cell r="H108">
            <v>297.18</v>
          </cell>
          <cell r="J108" t="str">
            <v/>
          </cell>
          <cell r="O108">
            <v>300</v>
          </cell>
          <cell r="T108" t="str">
            <v>000000000004070</v>
          </cell>
        </row>
        <row r="109">
          <cell r="B109" t="str">
            <v>+公差</v>
          </cell>
          <cell r="C109">
            <v>300</v>
          </cell>
          <cell r="D109">
            <v>45817</v>
          </cell>
          <cell r="E109" t="str">
            <v>25E27-09</v>
          </cell>
          <cell r="F109">
            <v>26</v>
          </cell>
          <cell r="G109">
            <v>297.12</v>
          </cell>
          <cell r="H109">
            <v>297.39</v>
          </cell>
          <cell r="J109" t="str">
            <v/>
          </cell>
          <cell r="O109">
            <v>48</v>
          </cell>
          <cell r="T109" t="str">
            <v>000000000004070</v>
          </cell>
        </row>
        <row r="110">
          <cell r="G110" t="str">
            <v/>
          </cell>
          <cell r="J110" t="str">
            <v/>
          </cell>
          <cell r="O110">
            <v>0</v>
          </cell>
          <cell r="T110" t="str">
            <v>000000000004070</v>
          </cell>
        </row>
        <row r="111">
          <cell r="B111" t="str">
            <v>+0.5</v>
          </cell>
          <cell r="C111">
            <v>6</v>
          </cell>
          <cell r="G111" t="str">
            <v/>
          </cell>
          <cell r="J111" t="str">
            <v/>
          </cell>
          <cell r="O111">
            <v>0</v>
          </cell>
          <cell r="T111" t="str">
            <v>000000000004070</v>
          </cell>
        </row>
        <row r="112">
          <cell r="B112" t="str">
            <v>使用数</v>
          </cell>
          <cell r="C112" t="str">
            <v>LED-A300</v>
          </cell>
          <cell r="G112" t="str">
            <v/>
          </cell>
          <cell r="J112" t="str">
            <v/>
          </cell>
          <cell r="O112">
            <v>12</v>
          </cell>
          <cell r="T112" t="str">
            <v>000000000004070</v>
          </cell>
        </row>
        <row r="113">
          <cell r="B113">
            <v>3</v>
          </cell>
          <cell r="C113">
            <v>3</v>
          </cell>
          <cell r="G113" t="str">
            <v/>
          </cell>
          <cell r="J113" t="str">
            <v/>
          </cell>
          <cell r="O113" t="str">
            <v>水野</v>
          </cell>
          <cell r="T113" t="str">
            <v>000000000004070</v>
          </cell>
        </row>
        <row r="114">
          <cell r="G114" t="str">
            <v/>
          </cell>
          <cell r="J114" t="str">
            <v/>
          </cell>
          <cell r="O114" t="str">
            <v>高森</v>
          </cell>
          <cell r="P114">
            <v>0</v>
          </cell>
          <cell r="T114" t="str">
            <v>000000000004070</v>
          </cell>
        </row>
        <row r="115">
          <cell r="B115" t="str">
            <v>00761437</v>
          </cell>
          <cell r="C115" t="str">
            <v>8FL281304 4810　L=297</v>
          </cell>
          <cell r="I115" t="str">
            <v>25E27-09</v>
          </cell>
          <cell r="J115">
            <v>306</v>
          </cell>
          <cell r="K115">
            <v>51</v>
          </cell>
          <cell r="L115">
            <v>45818</v>
          </cell>
          <cell r="M115">
            <v>3</v>
          </cell>
          <cell r="O115">
            <v>45818</v>
          </cell>
          <cell r="P115">
            <v>2</v>
          </cell>
          <cell r="T115" t="str">
            <v>000000000004069</v>
          </cell>
        </row>
        <row r="116">
          <cell r="D116">
            <v>45817</v>
          </cell>
          <cell r="E116" t="str">
            <v>25E27-09</v>
          </cell>
          <cell r="F116">
            <v>26</v>
          </cell>
          <cell r="G116">
            <v>297.12</v>
          </cell>
          <cell r="H116">
            <v>297.22000000000003</v>
          </cell>
          <cell r="J116" t="str">
            <v/>
          </cell>
          <cell r="O116">
            <v>300</v>
          </cell>
          <cell r="T116" t="str">
            <v>000000000004069</v>
          </cell>
        </row>
        <row r="117">
          <cell r="B117" t="str">
            <v>+公差</v>
          </cell>
          <cell r="C117">
            <v>300</v>
          </cell>
          <cell r="D117">
            <v>45817</v>
          </cell>
          <cell r="E117" t="str">
            <v>25E27-09</v>
          </cell>
          <cell r="F117">
            <v>26</v>
          </cell>
          <cell r="G117">
            <v>297.12</v>
          </cell>
          <cell r="H117">
            <v>297.27999999999997</v>
          </cell>
          <cell r="J117" t="str">
            <v/>
          </cell>
          <cell r="O117">
            <v>51</v>
          </cell>
          <cell r="T117" t="str">
            <v>000000000004069</v>
          </cell>
        </row>
        <row r="118">
          <cell r="D118">
            <v>45818</v>
          </cell>
          <cell r="E118" t="str">
            <v>25E27-09</v>
          </cell>
          <cell r="F118">
            <v>22</v>
          </cell>
          <cell r="G118">
            <v>297.04000000000002</v>
          </cell>
          <cell r="H118">
            <v>297.27999999999997</v>
          </cell>
          <cell r="J118" t="str">
            <v/>
          </cell>
          <cell r="O118">
            <v>1</v>
          </cell>
          <cell r="T118" t="str">
            <v>000000000004069</v>
          </cell>
        </row>
        <row r="119">
          <cell r="B119" t="str">
            <v>+0.5</v>
          </cell>
          <cell r="C119">
            <v>6</v>
          </cell>
          <cell r="D119">
            <v>45818</v>
          </cell>
          <cell r="E119" t="str">
            <v>25E27-09</v>
          </cell>
          <cell r="F119">
            <v>22</v>
          </cell>
          <cell r="G119">
            <v>297.04000000000002</v>
          </cell>
          <cell r="H119">
            <v>297.29000000000002</v>
          </cell>
          <cell r="J119" t="str">
            <v/>
          </cell>
          <cell r="O119">
            <v>2</v>
          </cell>
          <cell r="T119" t="str">
            <v>000000000004069</v>
          </cell>
        </row>
        <row r="120">
          <cell r="B120" t="str">
            <v>使用数</v>
          </cell>
          <cell r="C120" t="str">
            <v>LED-A300</v>
          </cell>
          <cell r="G120" t="str">
            <v/>
          </cell>
          <cell r="J120" t="str">
            <v/>
          </cell>
          <cell r="T120" t="str">
            <v>000000000004069</v>
          </cell>
        </row>
        <row r="121">
          <cell r="B121">
            <v>3</v>
          </cell>
          <cell r="C121">
            <v>3</v>
          </cell>
          <cell r="G121" t="str">
            <v/>
          </cell>
          <cell r="J121" t="str">
            <v/>
          </cell>
          <cell r="O121" t="str">
            <v>水野</v>
          </cell>
          <cell r="T121" t="str">
            <v>000000000004069</v>
          </cell>
        </row>
        <row r="122">
          <cell r="G122" t="str">
            <v/>
          </cell>
          <cell r="J122" t="str">
            <v/>
          </cell>
          <cell r="O122" t="str">
            <v>高森</v>
          </cell>
          <cell r="P122">
            <v>2</v>
          </cell>
          <cell r="T122" t="str">
            <v>000000000004069</v>
          </cell>
        </row>
        <row r="123">
          <cell r="B123" t="str">
            <v>00761440</v>
          </cell>
          <cell r="C123" t="str">
            <v>8FL281304 5010　L=888</v>
          </cell>
          <cell r="D123">
            <v>45798</v>
          </cell>
          <cell r="E123" t="str">
            <v>25E14-06</v>
          </cell>
          <cell r="I123" t="str">
            <v>25E14-06</v>
          </cell>
          <cell r="J123">
            <v>16</v>
          </cell>
          <cell r="K123">
            <v>8</v>
          </cell>
          <cell r="L123">
            <v>45818</v>
          </cell>
          <cell r="M123">
            <v>4</v>
          </cell>
          <cell r="O123">
            <v>45820</v>
          </cell>
          <cell r="P123">
            <v>20</v>
          </cell>
          <cell r="T123" t="str">
            <v>000000000004072</v>
          </cell>
        </row>
        <row r="124">
          <cell r="D124">
            <v>45818</v>
          </cell>
          <cell r="E124" t="str">
            <v>25E27-09</v>
          </cell>
          <cell r="F124">
            <v>22</v>
          </cell>
          <cell r="G124">
            <v>888.12</v>
          </cell>
          <cell r="H124">
            <v>888.28</v>
          </cell>
          <cell r="I124" t="str">
            <v>25E27-09</v>
          </cell>
          <cell r="J124">
            <v>296</v>
          </cell>
          <cell r="K124">
            <v>148</v>
          </cell>
          <cell r="L124">
            <v>45819</v>
          </cell>
          <cell r="M124">
            <v>15</v>
          </cell>
          <cell r="O124">
            <v>2000</v>
          </cell>
          <cell r="T124" t="str">
            <v>000000000004072</v>
          </cell>
        </row>
        <row r="125">
          <cell r="B125" t="str">
            <v>+公差</v>
          </cell>
          <cell r="C125">
            <v>2000</v>
          </cell>
          <cell r="D125">
            <v>45818</v>
          </cell>
          <cell r="E125" t="str">
            <v>25E14-07</v>
          </cell>
          <cell r="F125">
            <v>24</v>
          </cell>
          <cell r="G125">
            <v>888.23</v>
          </cell>
          <cell r="H125">
            <v>888.44</v>
          </cell>
          <cell r="I125" t="str">
            <v>25E14-07</v>
          </cell>
          <cell r="J125">
            <v>1000</v>
          </cell>
          <cell r="K125">
            <v>500</v>
          </cell>
          <cell r="L125">
            <v>45820</v>
          </cell>
          <cell r="M125">
            <v>1</v>
          </cell>
          <cell r="O125">
            <v>1013</v>
          </cell>
          <cell r="P125">
            <v>2</v>
          </cell>
          <cell r="T125" t="str">
            <v>000000000004072</v>
          </cell>
        </row>
        <row r="126">
          <cell r="D126">
            <v>45818</v>
          </cell>
          <cell r="E126" t="str">
            <v>25E14-07</v>
          </cell>
          <cell r="F126">
            <v>24</v>
          </cell>
          <cell r="G126">
            <v>888.23</v>
          </cell>
          <cell r="H126">
            <v>888.49</v>
          </cell>
          <cell r="I126" t="str">
            <v>25E27-08</v>
          </cell>
          <cell r="J126">
            <v>714</v>
          </cell>
          <cell r="K126">
            <v>357</v>
          </cell>
          <cell r="O126">
            <v>13</v>
          </cell>
          <cell r="T126" t="str">
            <v>000000000004072</v>
          </cell>
        </row>
        <row r="127">
          <cell r="B127" t="str">
            <v>+0.5</v>
          </cell>
          <cell r="C127">
            <v>2</v>
          </cell>
          <cell r="D127">
            <v>45818</v>
          </cell>
          <cell r="E127" t="str">
            <v>25E14-07</v>
          </cell>
          <cell r="F127">
            <v>24</v>
          </cell>
          <cell r="G127">
            <v>888.23</v>
          </cell>
          <cell r="H127">
            <v>888.63</v>
          </cell>
          <cell r="J127" t="str">
            <v/>
          </cell>
          <cell r="O127">
            <v>25</v>
          </cell>
          <cell r="T127" t="str">
            <v>000000000004072</v>
          </cell>
        </row>
        <row r="128">
          <cell r="B128" t="str">
            <v>使用数</v>
          </cell>
          <cell r="C128" t="str">
            <v>LED-A888</v>
          </cell>
          <cell r="D128">
            <v>45819</v>
          </cell>
          <cell r="E128" t="str">
            <v>25E27-08</v>
          </cell>
          <cell r="F128">
            <v>22</v>
          </cell>
          <cell r="G128">
            <v>888.12</v>
          </cell>
          <cell r="H128">
            <v>888.34</v>
          </cell>
          <cell r="J128" t="str">
            <v/>
          </cell>
          <cell r="T128" t="str">
            <v>000000000004072</v>
          </cell>
        </row>
        <row r="129">
          <cell r="B129">
            <v>20</v>
          </cell>
          <cell r="C129">
            <v>20</v>
          </cell>
          <cell r="D129">
            <v>45819</v>
          </cell>
          <cell r="E129" t="str">
            <v>25E27-08</v>
          </cell>
          <cell r="F129">
            <v>24</v>
          </cell>
          <cell r="G129">
            <v>888.23</v>
          </cell>
          <cell r="H129">
            <v>888.43</v>
          </cell>
          <cell r="J129" t="str">
            <v/>
          </cell>
          <cell r="O129" t="str">
            <v>水野</v>
          </cell>
          <cell r="P129">
            <v>3</v>
          </cell>
          <cell r="T129" t="str">
            <v>000000000004072</v>
          </cell>
        </row>
        <row r="130">
          <cell r="G130" t="str">
            <v/>
          </cell>
          <cell r="J130" t="str">
            <v/>
          </cell>
          <cell r="O130" t="str">
            <v>高森</v>
          </cell>
          <cell r="P130">
            <v>25</v>
          </cell>
          <cell r="T130" t="str">
            <v>000000000004072</v>
          </cell>
        </row>
        <row r="131">
          <cell r="B131" t="str">
            <v>00761439</v>
          </cell>
          <cell r="C131" t="str">
            <v>8FL281304 5010　L=888</v>
          </cell>
          <cell r="I131" t="str">
            <v>25E27-08</v>
          </cell>
          <cell r="J131">
            <v>886</v>
          </cell>
          <cell r="K131">
            <v>443</v>
          </cell>
          <cell r="O131">
            <v>45821</v>
          </cell>
          <cell r="P131">
            <v>21</v>
          </cell>
          <cell r="T131" t="str">
            <v>000000000004071</v>
          </cell>
        </row>
        <row r="132">
          <cell r="D132">
            <v>45819</v>
          </cell>
          <cell r="E132" t="str">
            <v>25E27-08</v>
          </cell>
          <cell r="F132">
            <v>24</v>
          </cell>
          <cell r="G132">
            <v>888.23</v>
          </cell>
          <cell r="H132">
            <v>888.45</v>
          </cell>
          <cell r="I132" t="str">
            <v>25E28-10</v>
          </cell>
          <cell r="J132">
            <v>1136</v>
          </cell>
          <cell r="K132">
            <v>568</v>
          </cell>
          <cell r="O132">
            <v>2000</v>
          </cell>
          <cell r="P132">
            <v>1</v>
          </cell>
          <cell r="T132" t="str">
            <v>000000000004071</v>
          </cell>
        </row>
        <row r="133">
          <cell r="B133" t="str">
            <v>+公差</v>
          </cell>
          <cell r="C133">
            <v>2000</v>
          </cell>
          <cell r="D133">
            <v>45819</v>
          </cell>
          <cell r="E133" t="str">
            <v>25E27-08</v>
          </cell>
          <cell r="F133">
            <v>24</v>
          </cell>
          <cell r="G133">
            <v>888.23</v>
          </cell>
          <cell r="H133">
            <v>888.44</v>
          </cell>
          <cell r="J133" t="str">
            <v/>
          </cell>
          <cell r="L133">
            <v>45820</v>
          </cell>
          <cell r="M133">
            <v>13</v>
          </cell>
          <cell r="O133">
            <v>1011</v>
          </cell>
          <cell r="T133" t="str">
            <v>000000000004071</v>
          </cell>
        </row>
        <row r="134">
          <cell r="D134">
            <v>45819</v>
          </cell>
          <cell r="E134" t="str">
            <v>25E27-08</v>
          </cell>
          <cell r="F134">
            <v>24</v>
          </cell>
          <cell r="G134">
            <v>888.23</v>
          </cell>
          <cell r="H134">
            <v>888.41</v>
          </cell>
          <cell r="J134" t="str">
            <v/>
          </cell>
          <cell r="L134">
            <v>45821</v>
          </cell>
          <cell r="M134">
            <v>7</v>
          </cell>
          <cell r="O134">
            <v>11</v>
          </cell>
          <cell r="T134" t="str">
            <v>000000000004071</v>
          </cell>
        </row>
        <row r="135">
          <cell r="B135" t="str">
            <v>+0.5</v>
          </cell>
          <cell r="C135">
            <v>2</v>
          </cell>
          <cell r="D135">
            <v>45820</v>
          </cell>
          <cell r="E135" t="str">
            <v>25E28-10</v>
          </cell>
          <cell r="F135">
            <v>24</v>
          </cell>
          <cell r="G135">
            <v>888.23</v>
          </cell>
          <cell r="H135">
            <v>888.3</v>
          </cell>
          <cell r="J135" t="str">
            <v/>
          </cell>
          <cell r="O135">
            <v>22</v>
          </cell>
          <cell r="T135" t="str">
            <v>000000000004071</v>
          </cell>
        </row>
        <row r="136">
          <cell r="B136" t="str">
            <v>使用数</v>
          </cell>
          <cell r="C136" t="str">
            <v>LED-A888</v>
          </cell>
          <cell r="D136">
            <v>45820</v>
          </cell>
          <cell r="E136" t="str">
            <v>25E28-10</v>
          </cell>
          <cell r="F136">
            <v>26</v>
          </cell>
          <cell r="G136">
            <v>888.35</v>
          </cell>
          <cell r="H136">
            <v>888.39</v>
          </cell>
          <cell r="J136" t="str">
            <v/>
          </cell>
          <cell r="T136" t="str">
            <v>000000000004071</v>
          </cell>
        </row>
        <row r="137">
          <cell r="B137">
            <v>20</v>
          </cell>
          <cell r="C137">
            <v>20</v>
          </cell>
          <cell r="D137">
            <v>45820</v>
          </cell>
          <cell r="E137" t="str">
            <v>25E28-10</v>
          </cell>
          <cell r="F137">
            <v>26</v>
          </cell>
          <cell r="G137">
            <v>888.35</v>
          </cell>
          <cell r="H137">
            <v>888.4</v>
          </cell>
          <cell r="J137" t="str">
            <v/>
          </cell>
          <cell r="O137" t="str">
            <v>水野</v>
          </cell>
          <cell r="T137" t="str">
            <v>000000000004071</v>
          </cell>
        </row>
        <row r="138">
          <cell r="D138">
            <v>45820</v>
          </cell>
          <cell r="E138" t="str">
            <v>25E28-10</v>
          </cell>
          <cell r="F138">
            <v>26</v>
          </cell>
          <cell r="G138">
            <v>888.35</v>
          </cell>
          <cell r="H138">
            <v>888.38</v>
          </cell>
          <cell r="J138" t="str">
            <v/>
          </cell>
          <cell r="O138" t="str">
            <v>高森</v>
          </cell>
          <cell r="P138">
            <v>22</v>
          </cell>
          <cell r="T138" t="str">
            <v>000000000004071</v>
          </cell>
        </row>
        <row r="139">
          <cell r="B139" t="str">
            <v>00762354</v>
          </cell>
          <cell r="C139" t="str">
            <v>灯具カバーPC IN 2140　L=547</v>
          </cell>
          <cell r="D139">
            <v>45799</v>
          </cell>
          <cell r="E139" t="str">
            <v>25E16-01</v>
          </cell>
          <cell r="I139" t="str">
            <v>25E16-01</v>
          </cell>
          <cell r="J139">
            <v>8</v>
          </cell>
          <cell r="K139">
            <v>8</v>
          </cell>
          <cell r="L139">
            <v>45825</v>
          </cell>
          <cell r="M139">
            <v>10</v>
          </cell>
          <cell r="O139">
            <v>45825</v>
          </cell>
          <cell r="P139">
            <v>2</v>
          </cell>
          <cell r="T139" t="str">
            <v>000000000004195</v>
          </cell>
        </row>
        <row r="140">
          <cell r="D140">
            <v>45824</v>
          </cell>
          <cell r="E140" t="str">
            <v>25F10-01</v>
          </cell>
          <cell r="G140" t="str">
            <v/>
          </cell>
          <cell r="I140" t="str">
            <v>25F10-01</v>
          </cell>
          <cell r="J140">
            <v>89</v>
          </cell>
          <cell r="K140">
            <v>89</v>
          </cell>
          <cell r="O140">
            <v>80</v>
          </cell>
          <cell r="P140">
            <v>15</v>
          </cell>
          <cell r="T140" t="str">
            <v>000000000004195</v>
          </cell>
        </row>
        <row r="141">
          <cell r="B141" t="str">
            <v>+公差</v>
          </cell>
          <cell r="C141">
            <v>80</v>
          </cell>
          <cell r="G141" t="str">
            <v/>
          </cell>
          <cell r="J141" t="str">
            <v/>
          </cell>
          <cell r="O141">
            <v>97</v>
          </cell>
          <cell r="T141" t="str">
            <v>000000000004195</v>
          </cell>
        </row>
        <row r="142">
          <cell r="G142" t="str">
            <v/>
          </cell>
          <cell r="J142" t="str">
            <v/>
          </cell>
          <cell r="O142">
            <v>17</v>
          </cell>
          <cell r="T142" t="str">
            <v>000000000004195</v>
          </cell>
        </row>
        <row r="143">
          <cell r="B143" t="str">
            <v>+2</v>
          </cell>
          <cell r="C143">
            <v>1</v>
          </cell>
          <cell r="G143" t="str">
            <v/>
          </cell>
          <cell r="J143" t="str">
            <v/>
          </cell>
          <cell r="O143">
            <v>17</v>
          </cell>
          <cell r="T143" t="str">
            <v>000000000004195</v>
          </cell>
        </row>
        <row r="144">
          <cell r="B144" t="str">
            <v>使用数</v>
          </cell>
          <cell r="C144" t="str">
            <v>灯具-1　L=1370</v>
          </cell>
          <cell r="G144" t="str">
            <v/>
          </cell>
          <cell r="J144" t="str">
            <v/>
          </cell>
          <cell r="T144" t="str">
            <v>000000000004195</v>
          </cell>
        </row>
        <row r="145">
          <cell r="B145">
            <v>20</v>
          </cell>
          <cell r="C145">
            <v>10</v>
          </cell>
          <cell r="G145" t="str">
            <v/>
          </cell>
          <cell r="J145" t="str">
            <v/>
          </cell>
          <cell r="T145" t="str">
            <v>000000000004195</v>
          </cell>
        </row>
        <row r="146">
          <cell r="G146" t="str">
            <v/>
          </cell>
          <cell r="J146" t="str">
            <v/>
          </cell>
          <cell r="O146" t="str">
            <v>高森</v>
          </cell>
          <cell r="P146">
            <v>17</v>
          </cell>
          <cell r="T146" t="str">
            <v>000000000004195</v>
          </cell>
        </row>
        <row r="147">
          <cell r="B147" t="str">
            <v>00762352</v>
          </cell>
          <cell r="C147" t="str">
            <v>灯具カバーPC  　2200    L=221.8</v>
          </cell>
          <cell r="I147" t="str">
            <v>25F10-01</v>
          </cell>
          <cell r="J147">
            <v>20</v>
          </cell>
          <cell r="K147">
            <v>10</v>
          </cell>
          <cell r="L147">
            <v>45825</v>
          </cell>
          <cell r="M147">
            <v>10</v>
          </cell>
          <cell r="O147">
            <v>45825</v>
          </cell>
          <cell r="T147" t="str">
            <v>000000000004193</v>
          </cell>
        </row>
        <row r="148">
          <cell r="D148">
            <v>45824</v>
          </cell>
          <cell r="E148" t="str">
            <v>25F10-01</v>
          </cell>
          <cell r="F148">
            <v>26</v>
          </cell>
          <cell r="G148">
            <v>222.3</v>
          </cell>
          <cell r="H148">
            <v>222.04</v>
          </cell>
          <cell r="J148" t="str">
            <v/>
          </cell>
          <cell r="O148">
            <v>20</v>
          </cell>
          <cell r="P148">
            <v>4</v>
          </cell>
          <cell r="T148" t="str">
            <v>000000000004193</v>
          </cell>
        </row>
        <row r="149">
          <cell r="B149" t="str">
            <v>+公差</v>
          </cell>
          <cell r="C149">
            <v>20</v>
          </cell>
          <cell r="D149">
            <v>45824</v>
          </cell>
          <cell r="E149" t="str">
            <v>25F10-01</v>
          </cell>
          <cell r="F149">
            <v>26</v>
          </cell>
          <cell r="G149">
            <v>222.3</v>
          </cell>
          <cell r="H149">
            <v>222.18</v>
          </cell>
          <cell r="J149" t="str">
            <v/>
          </cell>
          <cell r="O149">
            <v>10</v>
          </cell>
          <cell r="T149" t="str">
            <v>000000000004193</v>
          </cell>
        </row>
        <row r="150">
          <cell r="G150" t="str">
            <v/>
          </cell>
          <cell r="J150" t="str">
            <v/>
          </cell>
          <cell r="O150">
            <v>2</v>
          </cell>
          <cell r="T150" t="str">
            <v>000000000004193</v>
          </cell>
        </row>
        <row r="151">
          <cell r="B151" t="str">
            <v>+2</v>
          </cell>
          <cell r="C151">
            <v>2</v>
          </cell>
          <cell r="G151" t="str">
            <v/>
          </cell>
          <cell r="J151" t="str">
            <v/>
          </cell>
          <cell r="O151">
            <v>4</v>
          </cell>
          <cell r="T151" t="str">
            <v>000000000004193</v>
          </cell>
        </row>
        <row r="152">
          <cell r="B152" t="str">
            <v>使用数</v>
          </cell>
          <cell r="C152" t="str">
            <v>H型ジョイナー</v>
          </cell>
          <cell r="G152" t="str">
            <v/>
          </cell>
          <cell r="J152" t="str">
            <v/>
          </cell>
          <cell r="O152">
            <v>4</v>
          </cell>
          <cell r="T152" t="str">
            <v>000000000004193</v>
          </cell>
        </row>
        <row r="153">
          <cell r="B153">
            <v>10</v>
          </cell>
          <cell r="C153">
            <v>0</v>
          </cell>
          <cell r="G153" t="str">
            <v/>
          </cell>
          <cell r="J153" t="str">
            <v/>
          </cell>
          <cell r="O153" t="str">
            <v>水野</v>
          </cell>
          <cell r="T153" t="str">
            <v>000000000004193</v>
          </cell>
        </row>
        <row r="154">
          <cell r="G154" t="str">
            <v/>
          </cell>
          <cell r="J154" t="str">
            <v/>
          </cell>
          <cell r="O154" t="str">
            <v>高森</v>
          </cell>
          <cell r="P154">
            <v>4</v>
          </cell>
          <cell r="T154" t="str">
            <v>000000000004193</v>
          </cell>
        </row>
        <row r="155">
          <cell r="B155" t="str">
            <v>00762358</v>
          </cell>
          <cell r="C155" t="str">
            <v>灯具カバーPC IN 2060　L=1258.5</v>
          </cell>
          <cell r="D155">
            <v>45768</v>
          </cell>
          <cell r="E155" t="str">
            <v>25D10-01</v>
          </cell>
          <cell r="I155" t="str">
            <v>25D10-01</v>
          </cell>
          <cell r="J155">
            <v>7</v>
          </cell>
          <cell r="K155">
            <v>7</v>
          </cell>
          <cell r="L155">
            <v>45825</v>
          </cell>
          <cell r="M155">
            <v>5</v>
          </cell>
          <cell r="O155">
            <v>45825</v>
          </cell>
          <cell r="P155">
            <v>1</v>
          </cell>
          <cell r="T155" t="str">
            <v>000000000004199</v>
          </cell>
        </row>
        <row r="156">
          <cell r="D156">
            <v>45825</v>
          </cell>
          <cell r="E156" t="str">
            <v>25F10-01</v>
          </cell>
          <cell r="G156" t="str">
            <v/>
          </cell>
          <cell r="I156" t="str">
            <v>25F10-01</v>
          </cell>
          <cell r="J156">
            <v>90</v>
          </cell>
          <cell r="K156">
            <v>90</v>
          </cell>
          <cell r="O156">
            <v>80</v>
          </cell>
          <cell r="P156">
            <v>16</v>
          </cell>
          <cell r="T156" t="str">
            <v>000000000004199</v>
          </cell>
        </row>
        <row r="157">
          <cell r="B157" t="str">
            <v>+公差</v>
          </cell>
          <cell r="C157">
            <v>80</v>
          </cell>
          <cell r="G157" t="str">
            <v/>
          </cell>
          <cell r="J157" t="str">
            <v/>
          </cell>
          <cell r="O157">
            <v>97</v>
          </cell>
          <cell r="T157" t="str">
            <v>000000000004199</v>
          </cell>
        </row>
        <row r="158">
          <cell r="G158" t="str">
            <v/>
          </cell>
          <cell r="J158" t="str">
            <v/>
          </cell>
          <cell r="O158">
            <v>17</v>
          </cell>
          <cell r="T158" t="str">
            <v>000000000004199</v>
          </cell>
        </row>
        <row r="159">
          <cell r="B159" t="str">
            <v>+2</v>
          </cell>
          <cell r="C159">
            <v>1</v>
          </cell>
          <cell r="G159" t="str">
            <v/>
          </cell>
          <cell r="J159" t="str">
            <v/>
          </cell>
          <cell r="O159">
            <v>17</v>
          </cell>
          <cell r="T159" t="str">
            <v>000000000004199</v>
          </cell>
        </row>
        <row r="160">
          <cell r="B160" t="str">
            <v>使用数</v>
          </cell>
          <cell r="C160" t="str">
            <v>灯具-1　L=1370</v>
          </cell>
          <cell r="G160" t="str">
            <v/>
          </cell>
          <cell r="J160" t="str">
            <v/>
          </cell>
          <cell r="T160" t="str">
            <v>000000000004199</v>
          </cell>
        </row>
        <row r="161">
          <cell r="B161">
            <v>5</v>
          </cell>
          <cell r="C161">
            <v>5</v>
          </cell>
          <cell r="G161" t="str">
            <v/>
          </cell>
          <cell r="J161" t="str">
            <v/>
          </cell>
          <cell r="T161" t="str">
            <v>000000000004199</v>
          </cell>
        </row>
        <row r="162">
          <cell r="G162" t="str">
            <v/>
          </cell>
          <cell r="J162" t="str">
            <v/>
          </cell>
          <cell r="O162" t="str">
            <v>高森</v>
          </cell>
          <cell r="P162">
            <v>17</v>
          </cell>
          <cell r="T162" t="str">
            <v>000000000004199</v>
          </cell>
        </row>
        <row r="163">
          <cell r="B163" t="str">
            <v>00762353</v>
          </cell>
          <cell r="C163" t="str">
            <v>灯具カバーPC  　7530    L=565</v>
          </cell>
          <cell r="I163" t="str">
            <v>25F10-01</v>
          </cell>
          <cell r="J163" t="str">
            <v/>
          </cell>
          <cell r="L163">
            <v>45825</v>
          </cell>
          <cell r="M163">
            <v>10</v>
          </cell>
          <cell r="O163">
            <v>45825</v>
          </cell>
          <cell r="T163" t="str">
            <v>000000000004194</v>
          </cell>
        </row>
        <row r="164">
          <cell r="D164">
            <v>45824</v>
          </cell>
          <cell r="E164" t="str">
            <v>25F10-01</v>
          </cell>
          <cell r="F164">
            <v>26</v>
          </cell>
          <cell r="G164">
            <v>565.4</v>
          </cell>
          <cell r="H164">
            <v>565.16999999999996</v>
          </cell>
          <cell r="J164" t="str">
            <v/>
          </cell>
          <cell r="O164">
            <v>20</v>
          </cell>
          <cell r="T164" t="str">
            <v>000000000004194</v>
          </cell>
        </row>
        <row r="165">
          <cell r="B165" t="str">
            <v>+公差</v>
          </cell>
          <cell r="C165">
            <v>20</v>
          </cell>
          <cell r="D165">
            <v>45824</v>
          </cell>
          <cell r="E165" t="str">
            <v>25F10-01</v>
          </cell>
          <cell r="F165">
            <v>26</v>
          </cell>
          <cell r="G165">
            <v>565.4</v>
          </cell>
          <cell r="H165">
            <v>565.03</v>
          </cell>
          <cell r="J165" t="str">
            <v/>
          </cell>
          <cell r="O165">
            <v>10</v>
          </cell>
          <cell r="T165" t="str">
            <v>000000000004194</v>
          </cell>
        </row>
        <row r="166">
          <cell r="G166" t="str">
            <v/>
          </cell>
          <cell r="J166" t="str">
            <v/>
          </cell>
          <cell r="O166">
            <v>0</v>
          </cell>
          <cell r="T166" t="str">
            <v>000000000004194</v>
          </cell>
        </row>
        <row r="167">
          <cell r="B167" t="str">
            <v>+2</v>
          </cell>
          <cell r="C167">
            <v>2</v>
          </cell>
          <cell r="G167" t="str">
            <v/>
          </cell>
          <cell r="J167" t="str">
            <v/>
          </cell>
          <cell r="O167">
            <v>0</v>
          </cell>
          <cell r="T167" t="str">
            <v>000000000004194</v>
          </cell>
        </row>
        <row r="168">
          <cell r="B168" t="str">
            <v>使用数</v>
          </cell>
          <cell r="C168" t="str">
            <v>H型ジョイナー</v>
          </cell>
          <cell r="G168" t="str">
            <v/>
          </cell>
          <cell r="J168" t="str">
            <v/>
          </cell>
          <cell r="T168" t="str">
            <v>000000000004194</v>
          </cell>
        </row>
        <row r="169">
          <cell r="B169">
            <v>10</v>
          </cell>
          <cell r="C169">
            <v>0</v>
          </cell>
          <cell r="G169" t="str">
            <v/>
          </cell>
          <cell r="J169" t="str">
            <v/>
          </cell>
          <cell r="O169" t="str">
            <v>水野</v>
          </cell>
          <cell r="T169" t="str">
            <v>000000000004194</v>
          </cell>
        </row>
        <row r="170">
          <cell r="G170" t="str">
            <v/>
          </cell>
          <cell r="J170" t="str">
            <v/>
          </cell>
          <cell r="O170" t="str">
            <v>高森</v>
          </cell>
          <cell r="P170">
            <v>0</v>
          </cell>
          <cell r="T170" t="str">
            <v>000000000004194</v>
          </cell>
        </row>
        <row r="171">
          <cell r="B171" t="str">
            <v>00762356</v>
          </cell>
          <cell r="C171" t="str">
            <v>灯具カバーPC IN 2130　L=908</v>
          </cell>
          <cell r="I171" t="str">
            <v>25F10-01</v>
          </cell>
          <cell r="J171">
            <v>198</v>
          </cell>
          <cell r="K171">
            <v>198</v>
          </cell>
          <cell r="L171">
            <v>45826</v>
          </cell>
          <cell r="M171">
            <v>9</v>
          </cell>
          <cell r="O171">
            <v>45826</v>
          </cell>
          <cell r="P171">
            <v>8</v>
          </cell>
          <cell r="T171" t="str">
            <v>000000000004197</v>
          </cell>
        </row>
        <row r="172">
          <cell r="D172">
            <v>45826</v>
          </cell>
          <cell r="E172" t="str">
            <v>25F10-01</v>
          </cell>
          <cell r="G172" t="str">
            <v/>
          </cell>
          <cell r="J172" t="str">
            <v/>
          </cell>
          <cell r="O172">
            <v>144</v>
          </cell>
          <cell r="P172">
            <v>46</v>
          </cell>
          <cell r="T172" t="str">
            <v>000000000004197</v>
          </cell>
        </row>
        <row r="173">
          <cell r="B173" t="str">
            <v>+公差</v>
          </cell>
          <cell r="C173">
            <v>144</v>
          </cell>
          <cell r="G173" t="str">
            <v/>
          </cell>
          <cell r="J173" t="str">
            <v/>
          </cell>
          <cell r="O173">
            <v>198</v>
          </cell>
          <cell r="T173" t="str">
            <v>000000000004197</v>
          </cell>
        </row>
        <row r="174">
          <cell r="G174" t="str">
            <v/>
          </cell>
          <cell r="J174" t="str">
            <v/>
          </cell>
          <cell r="O174">
            <v>54</v>
          </cell>
          <cell r="T174" t="str">
            <v>000000000004197</v>
          </cell>
        </row>
        <row r="175">
          <cell r="B175" t="str">
            <v>+2</v>
          </cell>
          <cell r="C175">
            <v>1</v>
          </cell>
          <cell r="G175" t="str">
            <v/>
          </cell>
          <cell r="J175" t="str">
            <v/>
          </cell>
          <cell r="O175">
            <v>54</v>
          </cell>
          <cell r="T175" t="str">
            <v>000000000004197</v>
          </cell>
        </row>
        <row r="176">
          <cell r="B176" t="str">
            <v>使用数</v>
          </cell>
          <cell r="C176" t="str">
            <v>灯具-1　L=1370</v>
          </cell>
          <cell r="G176" t="str">
            <v/>
          </cell>
          <cell r="J176" t="str">
            <v/>
          </cell>
          <cell r="T176" t="str">
            <v>000000000004197</v>
          </cell>
        </row>
        <row r="177">
          <cell r="B177">
            <v>9</v>
          </cell>
          <cell r="C177">
            <v>9</v>
          </cell>
          <cell r="G177" t="str">
            <v/>
          </cell>
          <cell r="J177" t="str">
            <v/>
          </cell>
          <cell r="T177" t="str">
            <v>000000000004197</v>
          </cell>
        </row>
        <row r="178">
          <cell r="G178" t="str">
            <v/>
          </cell>
          <cell r="J178" t="str">
            <v/>
          </cell>
          <cell r="O178" t="str">
            <v>水野・高森</v>
          </cell>
          <cell r="P178">
            <v>54</v>
          </cell>
          <cell r="T178" t="str">
            <v>000000000004197</v>
          </cell>
        </row>
        <row r="179">
          <cell r="B179" t="str">
            <v>00762355</v>
          </cell>
          <cell r="C179" t="str">
            <v>灯具カバーPC IN 2090　L=840</v>
          </cell>
          <cell r="D179">
            <v>45798</v>
          </cell>
          <cell r="E179" t="str">
            <v>25E15-01</v>
          </cell>
          <cell r="I179" t="str">
            <v>25E15-01</v>
          </cell>
          <cell r="J179">
            <v>14</v>
          </cell>
          <cell r="K179">
            <v>14</v>
          </cell>
          <cell r="L179">
            <v>45826</v>
          </cell>
          <cell r="M179">
            <v>7</v>
          </cell>
          <cell r="O179">
            <v>45827</v>
          </cell>
          <cell r="P179">
            <v>15</v>
          </cell>
          <cell r="T179" t="str">
            <v>000000000004196</v>
          </cell>
        </row>
        <row r="180">
          <cell r="D180">
            <v>45827</v>
          </cell>
          <cell r="E180" t="str">
            <v>25F10-01</v>
          </cell>
          <cell r="G180" t="str">
            <v/>
          </cell>
          <cell r="I180" t="str">
            <v>25F10-01</v>
          </cell>
          <cell r="J180">
            <v>198</v>
          </cell>
          <cell r="K180">
            <v>198</v>
          </cell>
          <cell r="L180">
            <v>45827</v>
          </cell>
          <cell r="M180">
            <v>5</v>
          </cell>
          <cell r="O180">
            <v>192</v>
          </cell>
          <cell r="P180">
            <v>4</v>
          </cell>
          <cell r="T180" t="str">
            <v>000000000004196</v>
          </cell>
        </row>
        <row r="181">
          <cell r="B181" t="str">
            <v>+公差</v>
          </cell>
          <cell r="C181">
            <v>192</v>
          </cell>
          <cell r="G181" t="str">
            <v/>
          </cell>
          <cell r="J181" t="str">
            <v/>
          </cell>
          <cell r="O181">
            <v>212</v>
          </cell>
          <cell r="P181">
            <v>1</v>
          </cell>
          <cell r="T181" t="str">
            <v>000000000004196</v>
          </cell>
        </row>
        <row r="182">
          <cell r="G182" t="str">
            <v/>
          </cell>
          <cell r="J182" t="str">
            <v/>
          </cell>
          <cell r="O182">
            <v>20</v>
          </cell>
          <cell r="T182" t="str">
            <v>000000000004196</v>
          </cell>
        </row>
        <row r="183">
          <cell r="B183" t="str">
            <v>+2</v>
          </cell>
          <cell r="C183">
            <v>1</v>
          </cell>
          <cell r="G183" t="str">
            <v/>
          </cell>
          <cell r="J183" t="str">
            <v/>
          </cell>
          <cell r="O183">
            <v>20</v>
          </cell>
          <cell r="T183" t="str">
            <v>000000000004196</v>
          </cell>
        </row>
        <row r="184">
          <cell r="B184" t="str">
            <v>使用数</v>
          </cell>
          <cell r="C184" t="str">
            <v>灯具-2　L＝1996</v>
          </cell>
          <cell r="G184" t="str">
            <v/>
          </cell>
          <cell r="J184" t="str">
            <v/>
          </cell>
          <cell r="T184" t="str">
            <v>000000000004196</v>
          </cell>
        </row>
        <row r="185">
          <cell r="B185">
            <v>24</v>
          </cell>
          <cell r="C185">
            <v>12</v>
          </cell>
          <cell r="G185" t="str">
            <v/>
          </cell>
          <cell r="J185" t="str">
            <v/>
          </cell>
          <cell r="T185" t="str">
            <v>000000000004196</v>
          </cell>
        </row>
        <row r="186">
          <cell r="G186" t="str">
            <v/>
          </cell>
          <cell r="J186" t="str">
            <v/>
          </cell>
          <cell r="O186" t="str">
            <v>高森</v>
          </cell>
          <cell r="P186">
            <v>20</v>
          </cell>
          <cell r="T186" t="str">
            <v>000000000004196</v>
          </cell>
        </row>
        <row r="187">
          <cell r="B187" t="str">
            <v>00762362</v>
          </cell>
          <cell r="C187" t="str">
            <v>灯具カバーPC IN 2100　L=1923</v>
          </cell>
          <cell r="D187">
            <v>45769</v>
          </cell>
          <cell r="E187" t="str">
            <v>25D11-01</v>
          </cell>
          <cell r="I187" t="str">
            <v>25D11-01</v>
          </cell>
          <cell r="J187">
            <v>12</v>
          </cell>
          <cell r="K187">
            <v>12</v>
          </cell>
          <cell r="L187">
            <v>45827</v>
          </cell>
          <cell r="M187">
            <v>6</v>
          </cell>
          <cell r="O187">
            <v>45827</v>
          </cell>
          <cell r="P187">
            <v>4</v>
          </cell>
          <cell r="T187" t="str">
            <v>000000000004203</v>
          </cell>
        </row>
        <row r="188">
          <cell r="D188">
            <v>45828</v>
          </cell>
          <cell r="E188" t="str">
            <v>25F10-01</v>
          </cell>
          <cell r="G188" t="str">
            <v/>
          </cell>
          <cell r="I188" t="str">
            <v>25F10-01</v>
          </cell>
          <cell r="J188">
            <v>99</v>
          </cell>
          <cell r="K188">
            <v>99</v>
          </cell>
          <cell r="O188">
            <v>96</v>
          </cell>
          <cell r="P188">
            <v>11</v>
          </cell>
          <cell r="T188" t="str">
            <v>000000000004203</v>
          </cell>
        </row>
        <row r="189">
          <cell r="B189" t="str">
            <v>+公差</v>
          </cell>
          <cell r="C189">
            <v>96</v>
          </cell>
          <cell r="G189" t="str">
            <v/>
          </cell>
          <cell r="J189" t="str">
            <v/>
          </cell>
          <cell r="O189">
            <v>111</v>
          </cell>
          <cell r="T189" t="str">
            <v>000000000004203</v>
          </cell>
        </row>
        <row r="190">
          <cell r="G190" t="str">
            <v/>
          </cell>
          <cell r="J190" t="str">
            <v/>
          </cell>
          <cell r="O190">
            <v>15</v>
          </cell>
          <cell r="T190" t="str">
            <v>000000000004203</v>
          </cell>
        </row>
        <row r="191">
          <cell r="B191" t="str">
            <v>+2</v>
          </cell>
          <cell r="C191">
            <v>1</v>
          </cell>
          <cell r="G191" t="str">
            <v/>
          </cell>
          <cell r="J191" t="str">
            <v/>
          </cell>
          <cell r="O191">
            <v>15</v>
          </cell>
          <cell r="T191" t="str">
            <v>000000000004203</v>
          </cell>
        </row>
        <row r="192">
          <cell r="B192" t="str">
            <v>使用数</v>
          </cell>
          <cell r="C192" t="str">
            <v>灯具-2　L＝1996</v>
          </cell>
          <cell r="G192" t="str">
            <v/>
          </cell>
          <cell r="J192" t="str">
            <v/>
          </cell>
          <cell r="T192" t="str">
            <v>000000000004203</v>
          </cell>
        </row>
        <row r="193">
          <cell r="B193">
            <v>6</v>
          </cell>
          <cell r="C193">
            <v>6</v>
          </cell>
          <cell r="G193" t="str">
            <v/>
          </cell>
          <cell r="J193" t="str">
            <v/>
          </cell>
          <cell r="T193" t="str">
            <v>000000000004203</v>
          </cell>
        </row>
        <row r="194">
          <cell r="G194" t="str">
            <v/>
          </cell>
          <cell r="J194" t="str">
            <v/>
          </cell>
          <cell r="O194" t="str">
            <v>水野・高森</v>
          </cell>
          <cell r="P194">
            <v>15</v>
          </cell>
          <cell r="T194" t="str">
            <v>000000000004203</v>
          </cell>
        </row>
        <row r="195">
          <cell r="B195" t="str">
            <v>00762357</v>
          </cell>
          <cell r="C195" t="str">
            <v>灯具カバーPC IN 2480　L=954</v>
          </cell>
          <cell r="I195" t="str">
            <v>25F10-01</v>
          </cell>
          <cell r="J195">
            <v>94</v>
          </cell>
          <cell r="K195">
            <v>94</v>
          </cell>
          <cell r="L195">
            <v>45828</v>
          </cell>
          <cell r="M195">
            <v>5</v>
          </cell>
          <cell r="O195">
            <v>45828</v>
          </cell>
          <cell r="P195">
            <v>2</v>
          </cell>
          <cell r="T195" t="str">
            <v>000000000004198</v>
          </cell>
        </row>
        <row r="196">
          <cell r="D196">
            <v>45828</v>
          </cell>
          <cell r="E196" t="str">
            <v>25F10-01</v>
          </cell>
          <cell r="G196" t="str">
            <v/>
          </cell>
          <cell r="J196" t="str">
            <v/>
          </cell>
          <cell r="O196">
            <v>80</v>
          </cell>
          <cell r="P196">
            <v>12</v>
          </cell>
          <cell r="T196" t="str">
            <v>000000000004198</v>
          </cell>
        </row>
        <row r="197">
          <cell r="B197" t="str">
            <v>+公差</v>
          </cell>
          <cell r="C197">
            <v>80</v>
          </cell>
          <cell r="G197" t="str">
            <v/>
          </cell>
          <cell r="J197" t="str">
            <v/>
          </cell>
          <cell r="O197">
            <v>94</v>
          </cell>
          <cell r="T197" t="str">
            <v>000000000004198</v>
          </cell>
        </row>
        <row r="198">
          <cell r="G198" t="str">
            <v/>
          </cell>
          <cell r="J198" t="str">
            <v/>
          </cell>
          <cell r="O198">
            <v>14</v>
          </cell>
          <cell r="T198" t="str">
            <v>000000000004198</v>
          </cell>
        </row>
        <row r="199">
          <cell r="B199" t="str">
            <v>+2</v>
          </cell>
          <cell r="C199">
            <v>1</v>
          </cell>
          <cell r="G199" t="str">
            <v/>
          </cell>
          <cell r="J199" t="str">
            <v/>
          </cell>
          <cell r="O199">
            <v>14</v>
          </cell>
          <cell r="T199" t="str">
            <v>000000000004198</v>
          </cell>
        </row>
        <row r="200">
          <cell r="B200" t="str">
            <v>使用数</v>
          </cell>
          <cell r="C200" t="str">
            <v>灯具-1　L=1370</v>
          </cell>
          <cell r="G200" t="str">
            <v/>
          </cell>
          <cell r="J200" t="str">
            <v/>
          </cell>
          <cell r="T200" t="str">
            <v>000000000004198</v>
          </cell>
        </row>
        <row r="201">
          <cell r="B201">
            <v>5</v>
          </cell>
          <cell r="C201">
            <v>5</v>
          </cell>
          <cell r="G201" t="str">
            <v/>
          </cell>
          <cell r="J201" t="str">
            <v/>
          </cell>
          <cell r="T201" t="str">
            <v>000000000004198</v>
          </cell>
        </row>
        <row r="202">
          <cell r="G202" t="str">
            <v/>
          </cell>
          <cell r="J202" t="str">
            <v/>
          </cell>
          <cell r="O202" t="str">
            <v>高森</v>
          </cell>
          <cell r="P202">
            <v>14</v>
          </cell>
          <cell r="T202" t="str">
            <v>000000000004198</v>
          </cell>
        </row>
        <row r="203">
          <cell r="B203" t="str">
            <v>00762885</v>
          </cell>
          <cell r="C203" t="str">
            <v>L型ｱﾝｸﾞﾙ　P-VH-A　L=1018</v>
          </cell>
          <cell r="I203" t="str">
            <v>25F12B</v>
          </cell>
          <cell r="J203">
            <v>200</v>
          </cell>
          <cell r="K203">
            <v>200</v>
          </cell>
          <cell r="L203">
            <v>45828</v>
          </cell>
          <cell r="M203">
            <v>9</v>
          </cell>
          <cell r="O203">
            <v>45828</v>
          </cell>
          <cell r="T203" t="str">
            <v>000000000004272</v>
          </cell>
        </row>
        <row r="204">
          <cell r="D204">
            <v>45828</v>
          </cell>
          <cell r="E204" t="str">
            <v>25F12B</v>
          </cell>
          <cell r="G204">
            <v>1018</v>
          </cell>
          <cell r="H204">
            <v>1017.62</v>
          </cell>
          <cell r="I204" t="str">
            <v>25F11B</v>
          </cell>
          <cell r="J204">
            <v>100</v>
          </cell>
          <cell r="K204">
            <v>100</v>
          </cell>
          <cell r="O204">
            <v>900</v>
          </cell>
          <cell r="T204" t="str">
            <v>000000000004272</v>
          </cell>
        </row>
        <row r="205">
          <cell r="B205" t="str">
            <v>+公差</v>
          </cell>
          <cell r="C205">
            <v>900</v>
          </cell>
          <cell r="D205">
            <v>45828</v>
          </cell>
          <cell r="E205" t="str">
            <v>25F11B</v>
          </cell>
          <cell r="G205">
            <v>1018</v>
          </cell>
          <cell r="I205" t="str">
            <v>25F09B</v>
          </cell>
          <cell r="J205">
            <v>300</v>
          </cell>
          <cell r="K205">
            <v>300</v>
          </cell>
          <cell r="O205">
            <v>900</v>
          </cell>
          <cell r="T205" t="str">
            <v>000000000004272</v>
          </cell>
        </row>
        <row r="206">
          <cell r="D206">
            <v>45828</v>
          </cell>
          <cell r="E206" t="str">
            <v>25F09B</v>
          </cell>
          <cell r="G206">
            <v>1018</v>
          </cell>
          <cell r="H206">
            <v>1017.83</v>
          </cell>
          <cell r="I206" t="str">
            <v>25F06B</v>
          </cell>
          <cell r="J206">
            <v>150</v>
          </cell>
          <cell r="K206">
            <v>150</v>
          </cell>
          <cell r="O206">
            <v>0</v>
          </cell>
          <cell r="T206" t="str">
            <v>000000000004272</v>
          </cell>
        </row>
        <row r="207">
          <cell r="B207">
            <v>0</v>
          </cell>
          <cell r="C207">
            <v>1</v>
          </cell>
          <cell r="D207">
            <v>45828</v>
          </cell>
          <cell r="E207" t="str">
            <v>25F06B</v>
          </cell>
          <cell r="G207">
            <v>1018</v>
          </cell>
          <cell r="I207" t="str">
            <v>25C05B</v>
          </cell>
          <cell r="J207">
            <v>150</v>
          </cell>
          <cell r="K207">
            <v>150</v>
          </cell>
          <cell r="O207">
            <v>0</v>
          </cell>
          <cell r="T207" t="str">
            <v>000000000004272</v>
          </cell>
        </row>
        <row r="208">
          <cell r="B208" t="str">
            <v>使用数</v>
          </cell>
          <cell r="C208" t="str">
            <v>T-60</v>
          </cell>
          <cell r="D208">
            <v>45828</v>
          </cell>
          <cell r="E208" t="str">
            <v>25C05B</v>
          </cell>
          <cell r="G208">
            <v>1018</v>
          </cell>
          <cell r="H208">
            <v>1017.75</v>
          </cell>
          <cell r="J208" t="str">
            <v/>
          </cell>
          <cell r="T208" t="str">
            <v>000000000004272</v>
          </cell>
        </row>
        <row r="209">
          <cell r="B209">
            <v>9</v>
          </cell>
          <cell r="C209">
            <v>9</v>
          </cell>
          <cell r="G209">
            <v>1018</v>
          </cell>
          <cell r="J209" t="str">
            <v/>
          </cell>
          <cell r="O209" t="str">
            <v>富田・水野</v>
          </cell>
          <cell r="T209" t="str">
            <v>000000000004272</v>
          </cell>
        </row>
        <row r="210">
          <cell r="G210">
            <v>1018</v>
          </cell>
          <cell r="J210" t="str">
            <v/>
          </cell>
          <cell r="P210">
            <v>0</v>
          </cell>
          <cell r="T210" t="str">
            <v>000000000004272</v>
          </cell>
        </row>
        <row r="211">
          <cell r="B211" t="str">
            <v>00762884</v>
          </cell>
          <cell r="C211" t="str">
            <v>L型ｱﾝｸﾞﾙ　WT-56B　L=760</v>
          </cell>
          <cell r="I211" t="str">
            <v>25C05B</v>
          </cell>
          <cell r="J211" t="str">
            <v/>
          </cell>
          <cell r="K211">
            <v>0</v>
          </cell>
          <cell r="L211">
            <v>45828</v>
          </cell>
          <cell r="M211">
            <v>3</v>
          </cell>
          <cell r="O211">
            <v>45831</v>
          </cell>
          <cell r="T211" t="str">
            <v>000000000004271</v>
          </cell>
        </row>
        <row r="212">
          <cell r="D212">
            <v>45828</v>
          </cell>
          <cell r="E212" t="str">
            <v>25C05B</v>
          </cell>
          <cell r="G212">
            <v>760</v>
          </cell>
          <cell r="H212">
            <v>759.45</v>
          </cell>
          <cell r="I212" t="str">
            <v>25F11B</v>
          </cell>
          <cell r="J212" t="str">
            <v/>
          </cell>
          <cell r="K212">
            <v>0</v>
          </cell>
          <cell r="L212">
            <v>45831</v>
          </cell>
          <cell r="M212">
            <v>1</v>
          </cell>
          <cell r="O212">
            <v>400</v>
          </cell>
          <cell r="T212" t="str">
            <v>000000000004271</v>
          </cell>
        </row>
        <row r="213">
          <cell r="B213" t="str">
            <v>+公差</v>
          </cell>
          <cell r="C213">
            <v>400</v>
          </cell>
          <cell r="D213">
            <v>45828</v>
          </cell>
          <cell r="E213" t="str">
            <v>25F11B</v>
          </cell>
          <cell r="G213">
            <v>760</v>
          </cell>
          <cell r="H213">
            <v>759.6</v>
          </cell>
          <cell r="I213" t="str">
            <v>25F09B</v>
          </cell>
          <cell r="J213" t="str">
            <v/>
          </cell>
          <cell r="K213">
            <v>0</v>
          </cell>
          <cell r="O213">
            <v>0</v>
          </cell>
          <cell r="T213" t="str">
            <v>000000000004271</v>
          </cell>
        </row>
        <row r="214">
          <cell r="D214">
            <v>45831</v>
          </cell>
          <cell r="E214" t="str">
            <v>25F09B</v>
          </cell>
          <cell r="G214">
            <v>760</v>
          </cell>
          <cell r="H214">
            <v>759.75</v>
          </cell>
          <cell r="I214" t="str">
            <v>25F06B</v>
          </cell>
          <cell r="J214" t="str">
            <v/>
          </cell>
          <cell r="K214">
            <v>0</v>
          </cell>
          <cell r="O214">
            <v>0</v>
          </cell>
          <cell r="T214" t="str">
            <v>000000000004271</v>
          </cell>
        </row>
        <row r="215">
          <cell r="B215">
            <v>0</v>
          </cell>
          <cell r="C215">
            <v>2</v>
          </cell>
          <cell r="D215">
            <v>45831</v>
          </cell>
          <cell r="E215" t="str">
            <v>25F06B</v>
          </cell>
          <cell r="G215">
            <v>760</v>
          </cell>
          <cell r="H215">
            <v>759.59</v>
          </cell>
          <cell r="J215" t="str">
            <v/>
          </cell>
          <cell r="O215">
            <v>0</v>
          </cell>
          <cell r="T215" t="str">
            <v>000000000004271</v>
          </cell>
        </row>
        <row r="216">
          <cell r="B216" t="str">
            <v>使用数</v>
          </cell>
          <cell r="C216" t="str">
            <v>S-40</v>
          </cell>
          <cell r="J216" t="str">
            <v/>
          </cell>
          <cell r="O216">
            <v>400</v>
          </cell>
          <cell r="T216" t="str">
            <v>000000000004271</v>
          </cell>
        </row>
        <row r="217">
          <cell r="B217">
            <v>4</v>
          </cell>
          <cell r="C217">
            <v>4</v>
          </cell>
          <cell r="J217" t="str">
            <v/>
          </cell>
          <cell r="O217" t="str">
            <v>水野</v>
          </cell>
          <cell r="T217" t="str">
            <v>000000000004271</v>
          </cell>
        </row>
        <row r="218">
          <cell r="J218" t="str">
            <v/>
          </cell>
          <cell r="P218">
            <v>0</v>
          </cell>
          <cell r="T218" t="str">
            <v>000000000004271</v>
          </cell>
        </row>
        <row r="219">
          <cell r="B219" t="str">
            <v>00762883</v>
          </cell>
          <cell r="C219" t="str">
            <v>L型ｱﾝｸﾞﾙ　P-VH-56D　L=690</v>
          </cell>
          <cell r="I219" t="str">
            <v>25F09B</v>
          </cell>
          <cell r="J219" t="str">
            <v/>
          </cell>
          <cell r="K219">
            <v>0</v>
          </cell>
          <cell r="L219">
            <v>45831</v>
          </cell>
          <cell r="M219">
            <v>4</v>
          </cell>
          <cell r="O219">
            <v>45831</v>
          </cell>
          <cell r="T219" t="str">
            <v>000000000004270</v>
          </cell>
        </row>
        <row r="220">
          <cell r="D220">
            <v>45831</v>
          </cell>
          <cell r="E220" t="str">
            <v>25F09B</v>
          </cell>
          <cell r="G220">
            <v>690</v>
          </cell>
          <cell r="H220">
            <v>689.29</v>
          </cell>
          <cell r="I220" t="str">
            <v>25F12B</v>
          </cell>
          <cell r="J220" t="str">
            <v/>
          </cell>
          <cell r="K220">
            <v>0</v>
          </cell>
          <cell r="O220">
            <v>400</v>
          </cell>
          <cell r="T220" t="str">
            <v>000000000004270</v>
          </cell>
        </row>
        <row r="221">
          <cell r="B221" t="str">
            <v>+公差</v>
          </cell>
          <cell r="C221">
            <v>400</v>
          </cell>
          <cell r="D221">
            <v>45831</v>
          </cell>
          <cell r="E221" t="str">
            <v>25F12B</v>
          </cell>
          <cell r="G221">
            <v>690</v>
          </cell>
          <cell r="H221">
            <v>689.51</v>
          </cell>
          <cell r="J221" t="str">
            <v/>
          </cell>
          <cell r="O221">
            <v>0</v>
          </cell>
          <cell r="T221" t="str">
            <v>000000000004270</v>
          </cell>
        </row>
        <row r="222">
          <cell r="J222" t="str">
            <v/>
          </cell>
          <cell r="O222">
            <v>0</v>
          </cell>
          <cell r="T222" t="str">
            <v>000000000004270</v>
          </cell>
        </row>
        <row r="223">
          <cell r="B223">
            <v>0</v>
          </cell>
          <cell r="C223">
            <v>2</v>
          </cell>
          <cell r="J223" t="str">
            <v/>
          </cell>
          <cell r="O223">
            <v>0</v>
          </cell>
          <cell r="T223" t="str">
            <v>000000000004270</v>
          </cell>
        </row>
        <row r="224">
          <cell r="B224" t="str">
            <v>使用数</v>
          </cell>
          <cell r="C224" t="str">
            <v>S-40</v>
          </cell>
          <cell r="J224" t="str">
            <v/>
          </cell>
          <cell r="O224">
            <v>400</v>
          </cell>
          <cell r="T224" t="str">
            <v>000000000004270</v>
          </cell>
        </row>
        <row r="225">
          <cell r="B225">
            <v>4</v>
          </cell>
          <cell r="C225">
            <v>4</v>
          </cell>
          <cell r="J225" t="str">
            <v/>
          </cell>
          <cell r="O225" t="str">
            <v>水野</v>
          </cell>
          <cell r="T225" t="str">
            <v>000000000004270</v>
          </cell>
        </row>
        <row r="226">
          <cell r="J226" t="str">
            <v/>
          </cell>
          <cell r="P226">
            <v>0</v>
          </cell>
          <cell r="T226" t="str">
            <v>000000000004270</v>
          </cell>
        </row>
        <row r="227">
          <cell r="B227" t="str">
            <v>00762882</v>
          </cell>
          <cell r="C227" t="str">
            <v>L型ｱﾝｸﾞﾙ　WT-42B　L=590</v>
          </cell>
          <cell r="I227" t="str">
            <v>25F12B</v>
          </cell>
          <cell r="J227" t="str">
            <v/>
          </cell>
          <cell r="K227">
            <v>0</v>
          </cell>
          <cell r="L227">
            <v>45831</v>
          </cell>
          <cell r="M227">
            <v>4</v>
          </cell>
          <cell r="O227">
            <v>45831</v>
          </cell>
          <cell r="T227" t="str">
            <v>000000000004269</v>
          </cell>
        </row>
        <row r="228">
          <cell r="D228">
            <v>45831</v>
          </cell>
          <cell r="E228" t="str">
            <v>25F12B</v>
          </cell>
          <cell r="G228">
            <v>590</v>
          </cell>
          <cell r="H228">
            <v>589.57000000000005</v>
          </cell>
          <cell r="I228" t="str">
            <v>25C05B</v>
          </cell>
          <cell r="J228">
            <v>200</v>
          </cell>
          <cell r="K228">
            <v>100</v>
          </cell>
          <cell r="O228">
            <v>400</v>
          </cell>
          <cell r="T228" t="str">
            <v>000000000004269</v>
          </cell>
        </row>
        <row r="229">
          <cell r="B229" t="str">
            <v>+公差</v>
          </cell>
          <cell r="C229">
            <v>400</v>
          </cell>
          <cell r="D229">
            <v>45831</v>
          </cell>
          <cell r="E229" t="str">
            <v>25C05B</v>
          </cell>
          <cell r="G229">
            <v>590</v>
          </cell>
          <cell r="H229">
            <v>589.55999999999995</v>
          </cell>
          <cell r="J229" t="str">
            <v/>
          </cell>
          <cell r="O229">
            <v>100</v>
          </cell>
          <cell r="T229" t="str">
            <v>000000000004269</v>
          </cell>
        </row>
        <row r="230">
          <cell r="J230" t="str">
            <v/>
          </cell>
          <cell r="O230">
            <v>0</v>
          </cell>
          <cell r="T230" t="str">
            <v>000000000004269</v>
          </cell>
        </row>
        <row r="231">
          <cell r="B231">
            <v>0</v>
          </cell>
          <cell r="C231">
            <v>2</v>
          </cell>
          <cell r="J231" t="str">
            <v/>
          </cell>
          <cell r="O231">
            <v>0</v>
          </cell>
          <cell r="T231" t="str">
            <v>000000000004269</v>
          </cell>
        </row>
        <row r="232">
          <cell r="B232" t="str">
            <v>使用数</v>
          </cell>
          <cell r="C232" t="str">
            <v>S-30</v>
          </cell>
          <cell r="J232" t="str">
            <v/>
          </cell>
          <cell r="O232">
            <v>100</v>
          </cell>
          <cell r="T232" t="str">
            <v>000000000004269</v>
          </cell>
        </row>
        <row r="233">
          <cell r="B233">
            <v>4</v>
          </cell>
          <cell r="C233">
            <v>4</v>
          </cell>
          <cell r="J233" t="str">
            <v/>
          </cell>
          <cell r="O233" t="str">
            <v>水野・富田</v>
          </cell>
          <cell r="T233" t="str">
            <v>000000000004269</v>
          </cell>
        </row>
        <row r="234">
          <cell r="J234" t="str">
            <v/>
          </cell>
          <cell r="P234">
            <v>0</v>
          </cell>
          <cell r="T234" t="str">
            <v>000000000004269</v>
          </cell>
        </row>
        <row r="235">
          <cell r="B235" t="str">
            <v>00762881</v>
          </cell>
          <cell r="C235" t="str">
            <v>L型ｱﾝｸﾞﾙ　P-VH-C　L=530</v>
          </cell>
          <cell r="I235" t="str">
            <v>25F11B</v>
          </cell>
          <cell r="J235">
            <v>32</v>
          </cell>
          <cell r="K235">
            <v>16</v>
          </cell>
          <cell r="L235">
            <v>45828</v>
          </cell>
          <cell r="M235">
            <v>8</v>
          </cell>
          <cell r="O235">
            <v>45828</v>
          </cell>
          <cell r="T235" t="str">
            <v>000000000004268</v>
          </cell>
        </row>
        <row r="236">
          <cell r="D236">
            <v>45828</v>
          </cell>
          <cell r="E236" t="str">
            <v>25F11B</v>
          </cell>
          <cell r="G236">
            <v>530</v>
          </cell>
          <cell r="H236">
            <v>529.71</v>
          </cell>
          <cell r="I236" t="str">
            <v>25F10B</v>
          </cell>
          <cell r="J236">
            <v>484</v>
          </cell>
          <cell r="K236">
            <v>242</v>
          </cell>
          <cell r="O236">
            <v>800</v>
          </cell>
          <cell r="T236" t="str">
            <v>000000000004268</v>
          </cell>
        </row>
        <row r="237">
          <cell r="B237" t="str">
            <v>+公差</v>
          </cell>
          <cell r="C237">
            <v>800</v>
          </cell>
          <cell r="D237">
            <v>45828</v>
          </cell>
          <cell r="E237" t="str">
            <v>25F10B</v>
          </cell>
          <cell r="G237">
            <v>530</v>
          </cell>
          <cell r="I237" t="str">
            <v>25C05B</v>
          </cell>
          <cell r="J237">
            <v>16</v>
          </cell>
          <cell r="K237">
            <v>8</v>
          </cell>
          <cell r="O237">
            <v>266</v>
          </cell>
          <cell r="T237" t="str">
            <v>000000000004268</v>
          </cell>
        </row>
        <row r="238">
          <cell r="D238">
            <v>45828</v>
          </cell>
          <cell r="E238" t="str">
            <v>25C05B</v>
          </cell>
          <cell r="G238">
            <v>530</v>
          </cell>
          <cell r="H238">
            <v>529.66999999999996</v>
          </cell>
          <cell r="J238" t="str">
            <v/>
          </cell>
          <cell r="O238">
            <v>0</v>
          </cell>
          <cell r="T238" t="str">
            <v>000000000004268</v>
          </cell>
        </row>
        <row r="239">
          <cell r="B239">
            <v>0</v>
          </cell>
          <cell r="C239">
            <v>2</v>
          </cell>
          <cell r="J239" t="str">
            <v/>
          </cell>
          <cell r="O239">
            <v>0</v>
          </cell>
          <cell r="T239" t="str">
            <v>000000000004268</v>
          </cell>
        </row>
        <row r="240">
          <cell r="B240" t="str">
            <v>使用数</v>
          </cell>
          <cell r="C240" t="str">
            <v>S-30</v>
          </cell>
          <cell r="J240" t="str">
            <v/>
          </cell>
          <cell r="T240" t="str">
            <v>000000000004268</v>
          </cell>
        </row>
        <row r="241">
          <cell r="B241">
            <v>8</v>
          </cell>
          <cell r="C241">
            <v>8</v>
          </cell>
          <cell r="J241" t="str">
            <v/>
          </cell>
          <cell r="O241" t="str">
            <v>富田・水野</v>
          </cell>
          <cell r="T241" t="str">
            <v>000000000004268</v>
          </cell>
        </row>
        <row r="242">
          <cell r="J242" t="str">
            <v/>
          </cell>
          <cell r="P242">
            <v>0</v>
          </cell>
          <cell r="T242" t="str">
            <v>000000000004268</v>
          </cell>
        </row>
        <row r="243">
          <cell r="B243" t="str">
            <v>00762880</v>
          </cell>
          <cell r="C243" t="str">
            <v>L型ｱﾝｸﾞﾙ　P-VH-42D　L=520</v>
          </cell>
          <cell r="I243" t="str">
            <v>25F11B</v>
          </cell>
          <cell r="J243">
            <v>268</v>
          </cell>
          <cell r="K243">
            <v>134</v>
          </cell>
          <cell r="L243">
            <v>45828</v>
          </cell>
          <cell r="M243">
            <v>4</v>
          </cell>
          <cell r="O243">
            <v>45828</v>
          </cell>
          <cell r="T243" t="str">
            <v>000000000004267</v>
          </cell>
        </row>
        <row r="244">
          <cell r="D244">
            <v>45828</v>
          </cell>
          <cell r="E244" t="str">
            <v>25F11B</v>
          </cell>
          <cell r="G244">
            <v>520</v>
          </cell>
          <cell r="H244">
            <v>519.51</v>
          </cell>
          <cell r="J244" t="str">
            <v/>
          </cell>
          <cell r="O244">
            <v>400</v>
          </cell>
          <cell r="T244" t="str">
            <v>000000000004267</v>
          </cell>
        </row>
        <row r="245">
          <cell r="B245" t="str">
            <v>+公差</v>
          </cell>
          <cell r="C245">
            <v>400</v>
          </cell>
          <cell r="D245">
            <v>45828</v>
          </cell>
          <cell r="E245" t="str">
            <v>25F11B</v>
          </cell>
          <cell r="G245">
            <v>520</v>
          </cell>
          <cell r="H245">
            <v>519.61</v>
          </cell>
          <cell r="J245" t="str">
            <v/>
          </cell>
          <cell r="O245">
            <v>200</v>
          </cell>
          <cell r="T245" t="str">
            <v>000000000004267</v>
          </cell>
        </row>
        <row r="246">
          <cell r="J246" t="str">
            <v/>
          </cell>
          <cell r="O246">
            <v>0</v>
          </cell>
          <cell r="T246" t="str">
            <v>000000000004267</v>
          </cell>
        </row>
        <row r="247">
          <cell r="B247">
            <v>0</v>
          </cell>
          <cell r="C247">
            <v>2</v>
          </cell>
          <cell r="J247" t="str">
            <v/>
          </cell>
          <cell r="O247">
            <v>0</v>
          </cell>
          <cell r="T247" t="str">
            <v>000000000004267</v>
          </cell>
        </row>
        <row r="248">
          <cell r="B248" t="str">
            <v>使用数</v>
          </cell>
          <cell r="C248" t="str">
            <v>S-30</v>
          </cell>
          <cell r="J248" t="str">
            <v/>
          </cell>
          <cell r="T248" t="str">
            <v>000000000004267</v>
          </cell>
        </row>
        <row r="249">
          <cell r="B249">
            <v>4</v>
          </cell>
          <cell r="C249">
            <v>4</v>
          </cell>
          <cell r="J249" t="str">
            <v/>
          </cell>
          <cell r="O249" t="str">
            <v>富田・水野</v>
          </cell>
          <cell r="T249" t="str">
            <v>000000000004267</v>
          </cell>
        </row>
        <row r="250">
          <cell r="J250" t="str">
            <v/>
          </cell>
          <cell r="P250">
            <v>0</v>
          </cell>
          <cell r="T250" t="str">
            <v>000000000004267</v>
          </cell>
        </row>
        <row r="251">
          <cell r="B251" t="str">
            <v>00762359</v>
          </cell>
          <cell r="C251" t="str">
            <v>灯具カバーPC IN 2490　L=1264</v>
          </cell>
          <cell r="D251">
            <v>45790</v>
          </cell>
          <cell r="E251" t="str">
            <v>24F07-01</v>
          </cell>
          <cell r="I251" t="str">
            <v>24F07-01</v>
          </cell>
          <cell r="J251">
            <v>7</v>
          </cell>
          <cell r="K251">
            <v>7</v>
          </cell>
          <cell r="L251">
            <v>45828</v>
          </cell>
          <cell r="M251">
            <v>5</v>
          </cell>
          <cell r="O251">
            <v>45828</v>
          </cell>
          <cell r="P251">
            <v>8</v>
          </cell>
          <cell r="T251" t="str">
            <v>000000000004200</v>
          </cell>
        </row>
        <row r="252">
          <cell r="D252">
            <v>45828</v>
          </cell>
          <cell r="E252" t="str">
            <v>25F10-01</v>
          </cell>
          <cell r="G252" t="str">
            <v/>
          </cell>
          <cell r="I252" t="str">
            <v>25F10-01</v>
          </cell>
          <cell r="J252">
            <v>93</v>
          </cell>
          <cell r="K252">
            <v>93</v>
          </cell>
          <cell r="O252">
            <v>80</v>
          </cell>
          <cell r="P252">
            <v>12</v>
          </cell>
          <cell r="T252" t="str">
            <v>000000000004200</v>
          </cell>
        </row>
        <row r="253">
          <cell r="B253" t="str">
            <v>+公差</v>
          </cell>
          <cell r="C253">
            <v>80</v>
          </cell>
          <cell r="G253" t="str">
            <v/>
          </cell>
          <cell r="J253" t="str">
            <v/>
          </cell>
          <cell r="O253">
            <v>100</v>
          </cell>
          <cell r="T253" t="str">
            <v>000000000004200</v>
          </cell>
        </row>
        <row r="254">
          <cell r="G254" t="str">
            <v/>
          </cell>
          <cell r="J254" t="str">
            <v/>
          </cell>
          <cell r="O254">
            <v>20</v>
          </cell>
          <cell r="T254" t="str">
            <v>000000000004200</v>
          </cell>
        </row>
        <row r="255">
          <cell r="B255" t="str">
            <v>+2</v>
          </cell>
          <cell r="C255">
            <v>1</v>
          </cell>
          <cell r="G255" t="str">
            <v/>
          </cell>
          <cell r="J255" t="str">
            <v/>
          </cell>
          <cell r="O255">
            <v>20</v>
          </cell>
          <cell r="T255" t="str">
            <v>000000000004200</v>
          </cell>
        </row>
        <row r="256">
          <cell r="B256" t="str">
            <v>使用数</v>
          </cell>
          <cell r="C256" t="str">
            <v>灯具-1　L=1370</v>
          </cell>
          <cell r="G256" t="str">
            <v/>
          </cell>
          <cell r="J256" t="str">
            <v/>
          </cell>
          <cell r="T256" t="str">
            <v>000000000004200</v>
          </cell>
        </row>
        <row r="257">
          <cell r="B257">
            <v>5</v>
          </cell>
          <cell r="C257">
            <v>5</v>
          </cell>
          <cell r="G257" t="str">
            <v/>
          </cell>
          <cell r="J257" t="str">
            <v/>
          </cell>
          <cell r="T257" t="str">
            <v>000000000004200</v>
          </cell>
        </row>
        <row r="258">
          <cell r="G258" t="str">
            <v/>
          </cell>
          <cell r="J258" t="str">
            <v/>
          </cell>
          <cell r="O258" t="str">
            <v>高森</v>
          </cell>
          <cell r="P258">
            <v>20</v>
          </cell>
          <cell r="T258" t="str">
            <v>000000000004200</v>
          </cell>
        </row>
        <row r="259">
          <cell r="B259" t="str">
            <v>00764416</v>
          </cell>
          <cell r="C259" t="str">
            <v>ハーネスガイド部材　L=275</v>
          </cell>
          <cell r="I259" t="str">
            <v>25F16B</v>
          </cell>
          <cell r="J259">
            <v>1400</v>
          </cell>
          <cell r="K259">
            <v>280</v>
          </cell>
          <cell r="L259">
            <v>45831</v>
          </cell>
          <cell r="M259">
            <v>4</v>
          </cell>
          <cell r="O259">
            <v>45831</v>
          </cell>
          <cell r="T259" t="str">
            <v>000000000004428</v>
          </cell>
        </row>
        <row r="260">
          <cell r="D260">
            <v>45831</v>
          </cell>
          <cell r="E260" t="str">
            <v>25F16B</v>
          </cell>
          <cell r="G260">
            <v>275</v>
          </cell>
          <cell r="H260">
            <v>275.76</v>
          </cell>
          <cell r="I260" t="str">
            <v>25F17B</v>
          </cell>
          <cell r="J260">
            <v>200</v>
          </cell>
          <cell r="K260">
            <v>40</v>
          </cell>
          <cell r="O260">
            <v>1600</v>
          </cell>
          <cell r="T260" t="str">
            <v>000000000004428</v>
          </cell>
        </row>
        <row r="261">
          <cell r="B261" t="str">
            <v>+公差</v>
          </cell>
          <cell r="C261">
            <v>1600</v>
          </cell>
          <cell r="D261">
            <v>45831</v>
          </cell>
          <cell r="E261" t="str">
            <v>25F16B</v>
          </cell>
          <cell r="G261">
            <v>275</v>
          </cell>
          <cell r="H261">
            <v>275.70999999999998</v>
          </cell>
          <cell r="J261" t="str">
            <v/>
          </cell>
          <cell r="O261">
            <v>320</v>
          </cell>
          <cell r="T261" t="str">
            <v>000000000004428</v>
          </cell>
        </row>
        <row r="262">
          <cell r="D262">
            <v>45831</v>
          </cell>
          <cell r="E262" t="str">
            <v>25F17B</v>
          </cell>
          <cell r="G262">
            <v>275</v>
          </cell>
          <cell r="H262">
            <v>275.77</v>
          </cell>
          <cell r="J262" t="str">
            <v/>
          </cell>
          <cell r="O262">
            <v>0</v>
          </cell>
          <cell r="T262" t="str">
            <v>000000000004428</v>
          </cell>
        </row>
        <row r="263">
          <cell r="B263" t="str">
            <v>+1.5</v>
          </cell>
          <cell r="C263">
            <v>5</v>
          </cell>
          <cell r="J263" t="str">
            <v/>
          </cell>
          <cell r="O263">
            <v>0</v>
          </cell>
          <cell r="T263" t="str">
            <v>000000000004428</v>
          </cell>
        </row>
        <row r="264">
          <cell r="B264" t="str">
            <v>使用数</v>
          </cell>
          <cell r="C264" t="str">
            <v>S-11</v>
          </cell>
          <cell r="J264" t="str">
            <v/>
          </cell>
          <cell r="T264" t="str">
            <v>000000000004428</v>
          </cell>
        </row>
        <row r="265">
          <cell r="B265">
            <v>4</v>
          </cell>
          <cell r="C265">
            <v>4</v>
          </cell>
          <cell r="J265" t="str">
            <v/>
          </cell>
          <cell r="O265" t="str">
            <v>富田</v>
          </cell>
          <cell r="T265" t="str">
            <v>000000000004428</v>
          </cell>
        </row>
        <row r="266">
          <cell r="J266" t="str">
            <v/>
          </cell>
          <cell r="P266">
            <v>0</v>
          </cell>
          <cell r="T266" t="str">
            <v>000000000004428</v>
          </cell>
        </row>
        <row r="267">
          <cell r="B267" t="str">
            <v>00762366</v>
          </cell>
          <cell r="C267" t="str">
            <v>PK-59827 L=500</v>
          </cell>
          <cell r="D267">
            <v>45664</v>
          </cell>
          <cell r="E267" t="str">
            <v>24L20-01</v>
          </cell>
          <cell r="I267" t="str">
            <v>24L20-01</v>
          </cell>
          <cell r="J267">
            <v>1</v>
          </cell>
          <cell r="K267">
            <v>0</v>
          </cell>
          <cell r="L267">
            <v>45832</v>
          </cell>
          <cell r="M267">
            <v>22</v>
          </cell>
          <cell r="O267">
            <v>45832</v>
          </cell>
          <cell r="P267">
            <v>39</v>
          </cell>
          <cell r="T267" t="str">
            <v>000000000004207</v>
          </cell>
        </row>
        <row r="268">
          <cell r="D268">
            <v>45831</v>
          </cell>
          <cell r="E268" t="str">
            <v>25F11-01</v>
          </cell>
          <cell r="F268">
            <v>25</v>
          </cell>
          <cell r="G268">
            <v>500.07</v>
          </cell>
          <cell r="H268">
            <v>499.94</v>
          </cell>
          <cell r="I268" t="str">
            <v>25F11-01</v>
          </cell>
          <cell r="J268">
            <v>777</v>
          </cell>
          <cell r="K268">
            <v>259</v>
          </cell>
          <cell r="O268">
            <v>716</v>
          </cell>
          <cell r="P268">
            <v>7</v>
          </cell>
          <cell r="T268" t="str">
            <v>000000000004207</v>
          </cell>
        </row>
        <row r="269">
          <cell r="B269" t="str">
            <v>+公差</v>
          </cell>
          <cell r="C269">
            <v>716</v>
          </cell>
          <cell r="D269">
            <v>45831</v>
          </cell>
          <cell r="E269" t="str">
            <v>25F11-01</v>
          </cell>
          <cell r="F269">
            <v>25</v>
          </cell>
          <cell r="G269">
            <v>500.07</v>
          </cell>
          <cell r="H269">
            <v>499.95</v>
          </cell>
          <cell r="J269" t="str">
            <v/>
          </cell>
          <cell r="O269">
            <v>259</v>
          </cell>
          <cell r="T269" t="str">
            <v>000000000004207</v>
          </cell>
        </row>
        <row r="270">
          <cell r="D270">
            <v>45832</v>
          </cell>
          <cell r="E270" t="str">
            <v>25F11-01</v>
          </cell>
          <cell r="F270">
            <v>23</v>
          </cell>
          <cell r="G270">
            <v>500</v>
          </cell>
          <cell r="H270">
            <v>500.05</v>
          </cell>
          <cell r="J270" t="str">
            <v/>
          </cell>
          <cell r="O270">
            <v>21</v>
          </cell>
          <cell r="T270" t="str">
            <v>000000000004207</v>
          </cell>
        </row>
        <row r="271">
          <cell r="B271" t="str">
            <v>+1</v>
          </cell>
          <cell r="C271">
            <v>3</v>
          </cell>
          <cell r="D271">
            <v>45832</v>
          </cell>
          <cell r="E271" t="str">
            <v>25F11-01</v>
          </cell>
          <cell r="F271">
            <v>25</v>
          </cell>
          <cell r="G271">
            <v>500.07</v>
          </cell>
          <cell r="H271">
            <v>500.01</v>
          </cell>
          <cell r="J271" t="str">
            <v/>
          </cell>
          <cell r="O271">
            <v>62</v>
          </cell>
          <cell r="T271" t="str">
            <v>000000000004207</v>
          </cell>
        </row>
        <row r="272">
          <cell r="B272" t="str">
            <v>使用数</v>
          </cell>
          <cell r="C272" t="str">
            <v>PK-59827 L=500用</v>
          </cell>
          <cell r="D272">
            <v>45832</v>
          </cell>
          <cell r="E272" t="str">
            <v>25F11-01</v>
          </cell>
          <cell r="F272">
            <v>25</v>
          </cell>
          <cell r="G272">
            <v>500.07</v>
          </cell>
          <cell r="H272">
            <v>499.96</v>
          </cell>
          <cell r="J272" t="str">
            <v/>
          </cell>
          <cell r="O272">
            <v>1</v>
          </cell>
          <cell r="T272" t="str">
            <v>000000000004207</v>
          </cell>
        </row>
        <row r="273">
          <cell r="B273">
            <v>21</v>
          </cell>
          <cell r="C273">
            <v>21</v>
          </cell>
          <cell r="G273" t="str">
            <v/>
          </cell>
          <cell r="J273" t="str">
            <v/>
          </cell>
          <cell r="O273" t="str">
            <v>水野</v>
          </cell>
          <cell r="P273">
            <v>16</v>
          </cell>
          <cell r="T273" t="str">
            <v>000000000004207</v>
          </cell>
        </row>
        <row r="274">
          <cell r="G274" t="str">
            <v/>
          </cell>
          <cell r="J274" t="str">
            <v/>
          </cell>
          <cell r="O274" t="str">
            <v>高森・上野</v>
          </cell>
          <cell r="P274">
            <v>62</v>
          </cell>
          <cell r="T274" t="str">
            <v>000000000004207</v>
          </cell>
        </row>
        <row r="275">
          <cell r="B275" t="str">
            <v>00762363</v>
          </cell>
          <cell r="C275" t="str">
            <v>灯具カバーPC IN 2070　L=1966</v>
          </cell>
          <cell r="I275" t="str">
            <v/>
          </cell>
          <cell r="J275" t="str">
            <v/>
          </cell>
          <cell r="O275">
            <v>0</v>
          </cell>
          <cell r="T275" t="str">
            <v>000000000004204</v>
          </cell>
        </row>
        <row r="276">
          <cell r="G276" t="str">
            <v/>
          </cell>
          <cell r="J276" t="str">
            <v/>
          </cell>
          <cell r="O276">
            <v>96</v>
          </cell>
          <cell r="T276" t="str">
            <v>000000000004204</v>
          </cell>
        </row>
        <row r="277">
          <cell r="B277" t="str">
            <v>+公差</v>
          </cell>
          <cell r="C277">
            <v>96</v>
          </cell>
          <cell r="G277" t="str">
            <v/>
          </cell>
          <cell r="J277" t="str">
            <v/>
          </cell>
          <cell r="O277">
            <v>96</v>
          </cell>
          <cell r="T277" t="str">
            <v>000000000004204</v>
          </cell>
        </row>
        <row r="278">
          <cell r="G278" t="str">
            <v/>
          </cell>
          <cell r="J278" t="str">
            <v/>
          </cell>
          <cell r="O278">
            <v>0</v>
          </cell>
          <cell r="T278" t="str">
            <v>000000000004204</v>
          </cell>
        </row>
        <row r="279">
          <cell r="B279" t="str">
            <v>+2</v>
          </cell>
          <cell r="C279">
            <v>1</v>
          </cell>
          <cell r="G279" t="str">
            <v/>
          </cell>
          <cell r="J279" t="str">
            <v/>
          </cell>
          <cell r="O279">
            <v>0</v>
          </cell>
          <cell r="T279" t="str">
            <v>000000000004204</v>
          </cell>
        </row>
        <row r="280">
          <cell r="B280" t="str">
            <v>使用数</v>
          </cell>
          <cell r="C280" t="str">
            <v>灯具-2　L＝1996</v>
          </cell>
          <cell r="G280" t="str">
            <v/>
          </cell>
          <cell r="J280" t="str">
            <v/>
          </cell>
          <cell r="T280" t="str">
            <v>000000000004204</v>
          </cell>
        </row>
        <row r="281">
          <cell r="B281">
            <v>0</v>
          </cell>
          <cell r="C281">
            <v>0</v>
          </cell>
          <cell r="G281" t="str">
            <v/>
          </cell>
          <cell r="J281" t="str">
            <v/>
          </cell>
          <cell r="T281" t="str">
            <v>000000000004204</v>
          </cell>
        </row>
        <row r="282">
          <cell r="G282" t="str">
            <v/>
          </cell>
          <cell r="J282" t="str">
            <v/>
          </cell>
          <cell r="P282">
            <v>0</v>
          </cell>
          <cell r="T282" t="str">
            <v>000000000004204</v>
          </cell>
        </row>
        <row r="283">
          <cell r="B283" t="str">
            <v>00762360</v>
          </cell>
          <cell r="C283" t="str">
            <v>灯具カバーPC IN 2460　L=1291</v>
          </cell>
          <cell r="I283" t="str">
            <v/>
          </cell>
          <cell r="J283" t="str">
            <v/>
          </cell>
          <cell r="O283">
            <v>0</v>
          </cell>
          <cell r="T283" t="str">
            <v>000000000004201</v>
          </cell>
        </row>
        <row r="284">
          <cell r="G284" t="str">
            <v/>
          </cell>
          <cell r="J284" t="str">
            <v/>
          </cell>
          <cell r="O284">
            <v>96</v>
          </cell>
          <cell r="T284" t="str">
            <v>000000000004201</v>
          </cell>
        </row>
        <row r="285">
          <cell r="B285" t="str">
            <v>+公差</v>
          </cell>
          <cell r="C285">
            <v>96</v>
          </cell>
          <cell r="G285" t="str">
            <v/>
          </cell>
          <cell r="J285" t="str">
            <v/>
          </cell>
          <cell r="O285">
            <v>96</v>
          </cell>
          <cell r="T285" t="str">
            <v>000000000004201</v>
          </cell>
        </row>
        <row r="286">
          <cell r="G286" t="str">
            <v/>
          </cell>
          <cell r="J286" t="str">
            <v/>
          </cell>
          <cell r="O286">
            <v>0</v>
          </cell>
          <cell r="T286" t="str">
            <v>000000000004201</v>
          </cell>
        </row>
        <row r="287">
          <cell r="B287" t="str">
            <v>+2</v>
          </cell>
          <cell r="C287">
            <v>1</v>
          </cell>
          <cell r="G287" t="str">
            <v/>
          </cell>
          <cell r="J287" t="str">
            <v/>
          </cell>
          <cell r="O287">
            <v>0</v>
          </cell>
          <cell r="T287" t="str">
            <v>000000000004201</v>
          </cell>
        </row>
        <row r="288">
          <cell r="B288" t="str">
            <v>使用数</v>
          </cell>
          <cell r="C288" t="str">
            <v>灯具-1　L=1370</v>
          </cell>
          <cell r="G288" t="str">
            <v/>
          </cell>
          <cell r="J288" t="str">
            <v/>
          </cell>
          <cell r="T288" t="str">
            <v>000000000004201</v>
          </cell>
        </row>
        <row r="289">
          <cell r="B289">
            <v>0</v>
          </cell>
          <cell r="C289">
            <v>0</v>
          </cell>
          <cell r="G289" t="str">
            <v/>
          </cell>
          <cell r="J289" t="str">
            <v/>
          </cell>
          <cell r="T289" t="str">
            <v>000000000004201</v>
          </cell>
        </row>
        <row r="290">
          <cell r="G290" t="str">
            <v/>
          </cell>
          <cell r="J290" t="str">
            <v/>
          </cell>
          <cell r="P290">
            <v>0</v>
          </cell>
          <cell r="T290" t="str">
            <v>000000000004201</v>
          </cell>
        </row>
        <row r="291">
          <cell r="B291" t="str">
            <v>00762361</v>
          </cell>
          <cell r="C291" t="str">
            <v>灯具カバーPC IN 2110　L=1815</v>
          </cell>
          <cell r="I291" t="str">
            <v/>
          </cell>
          <cell r="J291" t="str">
            <v/>
          </cell>
          <cell r="O291">
            <v>0</v>
          </cell>
          <cell r="T291" t="str">
            <v>000000000004202</v>
          </cell>
        </row>
        <row r="292">
          <cell r="G292" t="str">
            <v/>
          </cell>
          <cell r="J292" t="str">
            <v/>
          </cell>
          <cell r="O292">
            <v>192</v>
          </cell>
          <cell r="T292" t="str">
            <v>000000000004202</v>
          </cell>
        </row>
        <row r="293">
          <cell r="B293" t="str">
            <v>+公差</v>
          </cell>
          <cell r="C293">
            <v>192</v>
          </cell>
          <cell r="G293" t="str">
            <v/>
          </cell>
          <cell r="J293" t="str">
            <v/>
          </cell>
          <cell r="O293">
            <v>192</v>
          </cell>
          <cell r="T293" t="str">
            <v>000000000004202</v>
          </cell>
        </row>
        <row r="294">
          <cell r="G294" t="str">
            <v/>
          </cell>
          <cell r="J294" t="str">
            <v/>
          </cell>
          <cell r="O294">
            <v>0</v>
          </cell>
          <cell r="T294" t="str">
            <v>000000000004202</v>
          </cell>
        </row>
        <row r="295">
          <cell r="B295" t="str">
            <v>+2</v>
          </cell>
          <cell r="C295">
            <v>1</v>
          </cell>
          <cell r="G295" t="str">
            <v/>
          </cell>
          <cell r="J295" t="str">
            <v/>
          </cell>
          <cell r="O295">
            <v>0</v>
          </cell>
          <cell r="T295" t="str">
            <v>000000000004202</v>
          </cell>
        </row>
        <row r="296">
          <cell r="B296" t="str">
            <v>使用数</v>
          </cell>
          <cell r="C296" t="str">
            <v>灯具-2　L＝1996</v>
          </cell>
          <cell r="G296" t="str">
            <v/>
          </cell>
          <cell r="J296" t="str">
            <v/>
          </cell>
          <cell r="T296" t="str">
            <v>000000000004202</v>
          </cell>
        </row>
        <row r="297">
          <cell r="B297">
            <v>0</v>
          </cell>
          <cell r="C297">
            <v>0</v>
          </cell>
          <cell r="G297" t="str">
            <v/>
          </cell>
          <cell r="J297" t="str">
            <v/>
          </cell>
          <cell r="T297" t="str">
            <v>000000000004202</v>
          </cell>
        </row>
        <row r="298">
          <cell r="G298" t="str">
            <v/>
          </cell>
          <cell r="J298" t="str">
            <v/>
          </cell>
          <cell r="P298">
            <v>0</v>
          </cell>
          <cell r="T298" t="str">
            <v>000000000004202</v>
          </cell>
        </row>
        <row r="299">
          <cell r="B299" t="str">
            <v>00763937</v>
          </cell>
          <cell r="C299" t="str">
            <v>8FL281304 4810　L=297</v>
          </cell>
          <cell r="I299" t="str">
            <v/>
          </cell>
          <cell r="J299" t="str">
            <v/>
          </cell>
          <cell r="O299">
            <v>0</v>
          </cell>
          <cell r="T299" t="str">
            <v>000000000004402</v>
          </cell>
        </row>
        <row r="300">
          <cell r="G300" t="str">
            <v/>
          </cell>
          <cell r="J300" t="str">
            <v/>
          </cell>
          <cell r="O300">
            <v>300</v>
          </cell>
          <cell r="T300" t="str">
            <v>000000000004402</v>
          </cell>
        </row>
        <row r="301">
          <cell r="B301" t="str">
            <v>+公差</v>
          </cell>
          <cell r="C301">
            <v>300</v>
          </cell>
          <cell r="G301" t="str">
            <v/>
          </cell>
          <cell r="J301" t="str">
            <v/>
          </cell>
          <cell r="O301">
            <v>50</v>
          </cell>
          <cell r="T301" t="str">
            <v>000000000004402</v>
          </cell>
        </row>
        <row r="302">
          <cell r="G302" t="str">
            <v/>
          </cell>
          <cell r="J302" t="str">
            <v/>
          </cell>
          <cell r="O302">
            <v>0</v>
          </cell>
          <cell r="T302" t="str">
            <v>000000000004402</v>
          </cell>
        </row>
        <row r="303">
          <cell r="B303" t="str">
            <v>+0.5</v>
          </cell>
          <cell r="C303">
            <v>6</v>
          </cell>
          <cell r="G303" t="str">
            <v/>
          </cell>
          <cell r="J303" t="str">
            <v/>
          </cell>
          <cell r="O303">
            <v>0</v>
          </cell>
          <cell r="T303" t="str">
            <v>000000000004402</v>
          </cell>
        </row>
        <row r="304">
          <cell r="B304" t="str">
            <v>使用数</v>
          </cell>
          <cell r="C304" t="str">
            <v>LED-A300</v>
          </cell>
          <cell r="G304" t="str">
            <v/>
          </cell>
          <cell r="J304" t="str">
            <v/>
          </cell>
          <cell r="T304" t="str">
            <v>000000000004402</v>
          </cell>
        </row>
        <row r="305">
          <cell r="B305">
            <v>0</v>
          </cell>
          <cell r="C305">
            <v>0</v>
          </cell>
          <cell r="G305" t="str">
            <v/>
          </cell>
          <cell r="J305" t="str">
            <v/>
          </cell>
          <cell r="T305" t="str">
            <v>000000000004402</v>
          </cell>
        </row>
        <row r="306">
          <cell r="G306" t="str">
            <v/>
          </cell>
          <cell r="J306" t="str">
            <v/>
          </cell>
          <cell r="P306">
            <v>0</v>
          </cell>
          <cell r="T306" t="str">
            <v>000000000004402</v>
          </cell>
        </row>
        <row r="307">
          <cell r="B307" t="str">
            <v>00763936</v>
          </cell>
          <cell r="C307" t="str">
            <v>8FL281304 4810　L=297</v>
          </cell>
          <cell r="I307" t="str">
            <v/>
          </cell>
          <cell r="J307" t="str">
            <v/>
          </cell>
          <cell r="O307">
            <v>0</v>
          </cell>
          <cell r="T307" t="str">
            <v>000000000004401</v>
          </cell>
        </row>
        <row r="308">
          <cell r="G308" t="str">
            <v/>
          </cell>
          <cell r="J308" t="str">
            <v/>
          </cell>
          <cell r="O308">
            <v>300</v>
          </cell>
          <cell r="T308" t="str">
            <v>000000000004401</v>
          </cell>
        </row>
        <row r="309">
          <cell r="B309" t="str">
            <v>+公差</v>
          </cell>
          <cell r="C309">
            <v>300</v>
          </cell>
          <cell r="G309" t="str">
            <v/>
          </cell>
          <cell r="J309" t="str">
            <v/>
          </cell>
          <cell r="O309">
            <v>50</v>
          </cell>
          <cell r="T309" t="str">
            <v>000000000004401</v>
          </cell>
        </row>
        <row r="310">
          <cell r="G310" t="str">
            <v/>
          </cell>
          <cell r="J310" t="str">
            <v/>
          </cell>
          <cell r="O310">
            <v>0</v>
          </cell>
          <cell r="T310" t="str">
            <v>000000000004401</v>
          </cell>
        </row>
        <row r="311">
          <cell r="B311" t="str">
            <v>+0.5</v>
          </cell>
          <cell r="C311">
            <v>6</v>
          </cell>
          <cell r="G311" t="str">
            <v/>
          </cell>
          <cell r="J311" t="str">
            <v/>
          </cell>
          <cell r="O311">
            <v>0</v>
          </cell>
          <cell r="T311" t="str">
            <v>000000000004401</v>
          </cell>
        </row>
        <row r="312">
          <cell r="B312" t="str">
            <v>使用数</v>
          </cell>
          <cell r="C312" t="str">
            <v>LED-A300</v>
          </cell>
          <cell r="G312" t="str">
            <v/>
          </cell>
          <cell r="J312" t="str">
            <v/>
          </cell>
          <cell r="T312" t="str">
            <v>000000000004401</v>
          </cell>
        </row>
        <row r="313">
          <cell r="B313">
            <v>0</v>
          </cell>
          <cell r="C313">
            <v>0</v>
          </cell>
          <cell r="G313" t="str">
            <v/>
          </cell>
          <cell r="J313" t="str">
            <v/>
          </cell>
          <cell r="T313" t="str">
            <v>000000000004401</v>
          </cell>
        </row>
        <row r="314">
          <cell r="G314" t="str">
            <v/>
          </cell>
          <cell r="J314" t="str">
            <v/>
          </cell>
          <cell r="P314">
            <v>0</v>
          </cell>
          <cell r="T314" t="str">
            <v>000000000004401</v>
          </cell>
        </row>
        <row r="315">
          <cell r="B315" t="str">
            <v>00763941</v>
          </cell>
          <cell r="C315" t="str">
            <v>8FL281304 6110　L=1478</v>
          </cell>
          <cell r="I315" t="str">
            <v/>
          </cell>
          <cell r="J315" t="str">
            <v/>
          </cell>
          <cell r="O315">
            <v>0</v>
          </cell>
          <cell r="T315" t="str">
            <v>000000000004406</v>
          </cell>
        </row>
        <row r="316">
          <cell r="G316" t="str">
            <v/>
          </cell>
          <cell r="J316" t="str">
            <v/>
          </cell>
          <cell r="O316">
            <v>200</v>
          </cell>
          <cell r="T316" t="str">
            <v>000000000004406</v>
          </cell>
        </row>
        <row r="317">
          <cell r="B317" t="str">
            <v>+公差</v>
          </cell>
          <cell r="C317">
            <v>200</v>
          </cell>
          <cell r="G317" t="str">
            <v/>
          </cell>
          <cell r="J317" t="str">
            <v/>
          </cell>
          <cell r="O317">
            <v>200</v>
          </cell>
          <cell r="T317" t="str">
            <v>000000000004406</v>
          </cell>
        </row>
        <row r="318">
          <cell r="G318" t="str">
            <v/>
          </cell>
          <cell r="J318" t="str">
            <v/>
          </cell>
          <cell r="O318">
            <v>0</v>
          </cell>
          <cell r="T318" t="str">
            <v>000000000004406</v>
          </cell>
        </row>
        <row r="319">
          <cell r="B319" t="str">
            <v>+0.5</v>
          </cell>
          <cell r="C319">
            <v>1</v>
          </cell>
          <cell r="G319" t="str">
            <v/>
          </cell>
          <cell r="J319" t="str">
            <v/>
          </cell>
          <cell r="O319">
            <v>0</v>
          </cell>
          <cell r="T319" t="str">
            <v>000000000004406</v>
          </cell>
        </row>
        <row r="320">
          <cell r="B320" t="str">
            <v>使用数</v>
          </cell>
          <cell r="C320" t="str">
            <v>LED-A1478</v>
          </cell>
          <cell r="G320" t="str">
            <v/>
          </cell>
          <cell r="J320" t="str">
            <v/>
          </cell>
          <cell r="T320" t="str">
            <v>000000000004406</v>
          </cell>
        </row>
        <row r="321">
          <cell r="B321">
            <v>0</v>
          </cell>
          <cell r="C321">
            <v>0</v>
          </cell>
          <cell r="G321" t="str">
            <v/>
          </cell>
          <cell r="J321" t="str">
            <v/>
          </cell>
          <cell r="T321" t="str">
            <v>000000000004406</v>
          </cell>
        </row>
        <row r="322">
          <cell r="G322" t="str">
            <v/>
          </cell>
          <cell r="J322" t="str">
            <v/>
          </cell>
          <cell r="P322">
            <v>0</v>
          </cell>
          <cell r="T322" t="str">
            <v>000000000004406</v>
          </cell>
        </row>
        <row r="323">
          <cell r="B323" t="str">
            <v>00763940</v>
          </cell>
          <cell r="C323" t="str">
            <v>8FL281304 6110　L=1478</v>
          </cell>
          <cell r="I323" t="str">
            <v/>
          </cell>
          <cell r="J323" t="str">
            <v/>
          </cell>
          <cell r="O323">
            <v>0</v>
          </cell>
          <cell r="T323" t="str">
            <v>000000000004405</v>
          </cell>
        </row>
        <row r="324">
          <cell r="G324" t="str">
            <v/>
          </cell>
          <cell r="J324" t="str">
            <v/>
          </cell>
          <cell r="O324">
            <v>600</v>
          </cell>
          <cell r="T324" t="str">
            <v>000000000004405</v>
          </cell>
        </row>
        <row r="325">
          <cell r="B325" t="str">
            <v>+公差</v>
          </cell>
          <cell r="C325">
            <v>600</v>
          </cell>
          <cell r="G325" t="str">
            <v/>
          </cell>
          <cell r="J325" t="str">
            <v/>
          </cell>
          <cell r="O325">
            <v>600</v>
          </cell>
          <cell r="T325" t="str">
            <v>000000000004405</v>
          </cell>
        </row>
        <row r="326">
          <cell r="G326" t="str">
            <v/>
          </cell>
          <cell r="J326" t="str">
            <v/>
          </cell>
          <cell r="O326">
            <v>0</v>
          </cell>
          <cell r="T326" t="str">
            <v>000000000004405</v>
          </cell>
        </row>
        <row r="327">
          <cell r="B327" t="str">
            <v>+0.5</v>
          </cell>
          <cell r="C327">
            <v>1</v>
          </cell>
          <cell r="G327" t="str">
            <v/>
          </cell>
          <cell r="J327" t="str">
            <v/>
          </cell>
          <cell r="O327">
            <v>0</v>
          </cell>
          <cell r="T327" t="str">
            <v>000000000004405</v>
          </cell>
        </row>
        <row r="328">
          <cell r="B328" t="str">
            <v>使用数</v>
          </cell>
          <cell r="C328" t="str">
            <v>LED-A1478</v>
          </cell>
          <cell r="G328" t="str">
            <v/>
          </cell>
          <cell r="J328" t="str">
            <v/>
          </cell>
          <cell r="T328" t="str">
            <v>000000000004405</v>
          </cell>
        </row>
        <row r="329">
          <cell r="B329">
            <v>0</v>
          </cell>
          <cell r="C329">
            <v>0</v>
          </cell>
          <cell r="G329" t="str">
            <v/>
          </cell>
          <cell r="J329" t="str">
            <v/>
          </cell>
          <cell r="T329" t="str">
            <v>000000000004405</v>
          </cell>
        </row>
        <row r="330">
          <cell r="G330" t="str">
            <v/>
          </cell>
          <cell r="J330" t="str">
            <v/>
          </cell>
          <cell r="P330">
            <v>0</v>
          </cell>
          <cell r="T330" t="str">
            <v>000000000004405</v>
          </cell>
        </row>
        <row r="331">
          <cell r="B331" t="str">
            <v>00763939</v>
          </cell>
          <cell r="C331" t="str">
            <v>8FL281304 5010　L=888</v>
          </cell>
          <cell r="I331" t="str">
            <v/>
          </cell>
          <cell r="J331" t="str">
            <v/>
          </cell>
          <cell r="O331">
            <v>0</v>
          </cell>
          <cell r="T331" t="str">
            <v>000000000004404</v>
          </cell>
        </row>
        <row r="332">
          <cell r="G332" t="str">
            <v/>
          </cell>
          <cell r="J332" t="str">
            <v/>
          </cell>
          <cell r="O332">
            <v>600</v>
          </cell>
          <cell r="T332" t="str">
            <v>000000000004404</v>
          </cell>
        </row>
        <row r="333">
          <cell r="B333" t="str">
            <v>+公差</v>
          </cell>
          <cell r="C333">
            <v>600</v>
          </cell>
          <cell r="G333" t="str">
            <v/>
          </cell>
          <cell r="J333" t="str">
            <v/>
          </cell>
          <cell r="O333">
            <v>300</v>
          </cell>
          <cell r="T333" t="str">
            <v>000000000004404</v>
          </cell>
        </row>
        <row r="334">
          <cell r="G334" t="str">
            <v/>
          </cell>
          <cell r="J334" t="str">
            <v/>
          </cell>
          <cell r="O334">
            <v>0</v>
          </cell>
          <cell r="T334" t="str">
            <v>000000000004404</v>
          </cell>
        </row>
        <row r="335">
          <cell r="B335" t="str">
            <v>+0.5</v>
          </cell>
          <cell r="C335">
            <v>2</v>
          </cell>
          <cell r="G335" t="str">
            <v/>
          </cell>
          <cell r="J335" t="str">
            <v/>
          </cell>
          <cell r="O335">
            <v>0</v>
          </cell>
          <cell r="T335" t="str">
            <v>000000000004404</v>
          </cell>
        </row>
        <row r="336">
          <cell r="B336" t="str">
            <v>使用数</v>
          </cell>
          <cell r="C336" t="str">
            <v>LED-A888</v>
          </cell>
          <cell r="G336" t="str">
            <v/>
          </cell>
          <cell r="J336" t="str">
            <v/>
          </cell>
          <cell r="T336" t="str">
            <v>000000000004404</v>
          </cell>
        </row>
        <row r="337">
          <cell r="B337">
            <v>0</v>
          </cell>
          <cell r="C337">
            <v>0</v>
          </cell>
          <cell r="G337" t="str">
            <v/>
          </cell>
          <cell r="J337" t="str">
            <v/>
          </cell>
          <cell r="T337" t="str">
            <v>000000000004404</v>
          </cell>
        </row>
        <row r="338">
          <cell r="G338" t="str">
            <v/>
          </cell>
          <cell r="J338" t="str">
            <v/>
          </cell>
          <cell r="P338">
            <v>0</v>
          </cell>
          <cell r="T338" t="str">
            <v>000000000004404</v>
          </cell>
        </row>
        <row r="339">
          <cell r="B339" t="str">
            <v>00763938</v>
          </cell>
          <cell r="C339" t="str">
            <v>8FL281304 5010　L=888</v>
          </cell>
          <cell r="I339" t="str">
            <v/>
          </cell>
          <cell r="J339" t="str">
            <v/>
          </cell>
          <cell r="O339">
            <v>0</v>
          </cell>
          <cell r="T339" t="str">
            <v>000000000004403</v>
          </cell>
        </row>
        <row r="340">
          <cell r="G340" t="str">
            <v/>
          </cell>
          <cell r="J340" t="str">
            <v/>
          </cell>
          <cell r="O340">
            <v>700</v>
          </cell>
          <cell r="T340" t="str">
            <v>000000000004403</v>
          </cell>
        </row>
        <row r="341">
          <cell r="B341" t="str">
            <v>+公差</v>
          </cell>
          <cell r="C341">
            <v>700</v>
          </cell>
          <cell r="G341" t="str">
            <v/>
          </cell>
          <cell r="J341" t="str">
            <v/>
          </cell>
          <cell r="O341">
            <v>350</v>
          </cell>
          <cell r="T341" t="str">
            <v>000000000004403</v>
          </cell>
        </row>
        <row r="342">
          <cell r="G342" t="str">
            <v/>
          </cell>
          <cell r="J342" t="str">
            <v/>
          </cell>
          <cell r="O342">
            <v>0</v>
          </cell>
          <cell r="T342" t="str">
            <v>000000000004403</v>
          </cell>
        </row>
        <row r="343">
          <cell r="B343" t="str">
            <v>+0.5</v>
          </cell>
          <cell r="C343">
            <v>2</v>
          </cell>
          <cell r="G343" t="str">
            <v/>
          </cell>
          <cell r="J343" t="str">
            <v/>
          </cell>
          <cell r="O343">
            <v>0</v>
          </cell>
          <cell r="T343" t="str">
            <v>000000000004403</v>
          </cell>
        </row>
        <row r="344">
          <cell r="B344" t="str">
            <v>使用数</v>
          </cell>
          <cell r="C344" t="str">
            <v>LED-A888</v>
          </cell>
          <cell r="G344" t="str">
            <v/>
          </cell>
          <cell r="J344" t="str">
            <v/>
          </cell>
          <cell r="T344" t="str">
            <v>000000000004403</v>
          </cell>
        </row>
        <row r="345">
          <cell r="B345">
            <v>0</v>
          </cell>
          <cell r="C345">
            <v>0</v>
          </cell>
          <cell r="G345" t="str">
            <v/>
          </cell>
          <cell r="J345" t="str">
            <v/>
          </cell>
          <cell r="T345" t="str">
            <v>000000000004403</v>
          </cell>
        </row>
        <row r="346">
          <cell r="G346" t="str">
            <v/>
          </cell>
          <cell r="J346" t="str">
            <v/>
          </cell>
          <cell r="P346">
            <v>0</v>
          </cell>
          <cell r="T346" t="str">
            <v>000000000004403</v>
          </cell>
        </row>
        <row r="347">
          <cell r="B347" t="str">
            <v>00749886</v>
          </cell>
          <cell r="C347" t="str">
            <v>PK-59827 L=700</v>
          </cell>
          <cell r="I347" t="str">
            <v/>
          </cell>
          <cell r="J347" t="str">
            <v/>
          </cell>
          <cell r="O347">
            <v>0</v>
          </cell>
          <cell r="T347" t="str">
            <v>000000000002882</v>
          </cell>
        </row>
        <row r="348">
          <cell r="G348" t="str">
            <v/>
          </cell>
          <cell r="J348" t="str">
            <v/>
          </cell>
          <cell r="O348">
            <v>1020</v>
          </cell>
          <cell r="T348" t="str">
            <v>000000000002882</v>
          </cell>
        </row>
        <row r="349">
          <cell r="B349" t="str">
            <v>+公差</v>
          </cell>
          <cell r="C349">
            <v>1020</v>
          </cell>
          <cell r="G349" t="str">
            <v/>
          </cell>
          <cell r="J349" t="str">
            <v/>
          </cell>
          <cell r="O349">
            <v>510</v>
          </cell>
          <cell r="T349" t="str">
            <v>000000000002882</v>
          </cell>
        </row>
        <row r="350">
          <cell r="G350" t="str">
            <v/>
          </cell>
          <cell r="J350" t="str">
            <v/>
          </cell>
          <cell r="O350">
            <v>0</v>
          </cell>
          <cell r="T350" t="str">
            <v>000000000002882</v>
          </cell>
        </row>
        <row r="351">
          <cell r="B351" t="str">
            <v>+1</v>
          </cell>
          <cell r="C351">
            <v>2</v>
          </cell>
          <cell r="G351" t="str">
            <v/>
          </cell>
          <cell r="J351" t="str">
            <v/>
          </cell>
          <cell r="O351">
            <v>0</v>
          </cell>
          <cell r="T351" t="str">
            <v>000000000002882</v>
          </cell>
        </row>
        <row r="352">
          <cell r="B352" t="str">
            <v>使用数</v>
          </cell>
          <cell r="C352" t="str">
            <v>PK-59827 L=700用</v>
          </cell>
          <cell r="G352" t="str">
            <v/>
          </cell>
          <cell r="J352" t="str">
            <v/>
          </cell>
          <cell r="T352" t="str">
            <v>000000000002882</v>
          </cell>
        </row>
        <row r="353">
          <cell r="B353">
            <v>0</v>
          </cell>
          <cell r="C353">
            <v>0</v>
          </cell>
          <cell r="G353" t="str">
            <v/>
          </cell>
          <cell r="J353" t="str">
            <v/>
          </cell>
          <cell r="T353" t="str">
            <v>000000000002882</v>
          </cell>
        </row>
        <row r="354">
          <cell r="G354" t="str">
            <v/>
          </cell>
          <cell r="J354" t="str">
            <v/>
          </cell>
          <cell r="P354">
            <v>0</v>
          </cell>
          <cell r="T354" t="str">
            <v>000000000002882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品目コード</v>
          </cell>
          <cell r="B1" t="str">
            <v>品名</v>
          </cell>
        </row>
        <row r="2">
          <cell r="A2" t="str">
            <v>J1JAZZB05412100</v>
          </cell>
          <cell r="B2" t="str">
            <v>黒板灯ﾌﾟﾘｽﾞﾑｶﾊﾞｰ　L=1210</v>
          </cell>
        </row>
        <row r="3">
          <cell r="A3" t="str">
            <v>J1JAZZB07012100</v>
          </cell>
          <cell r="B3" t="str">
            <v>ｺﾝﾌｫｰﾄ用ﾌﾟﾘｽﾞﾑｶﾊﾞｰL1210</v>
          </cell>
        </row>
        <row r="4">
          <cell r="A4" t="str">
            <v>J1JAZZB10802970</v>
          </cell>
          <cell r="B4" t="str">
            <v>8FL281304 4810　L=297</v>
          </cell>
        </row>
        <row r="5">
          <cell r="A5" t="str">
            <v>J1JAZZB10804440</v>
          </cell>
          <cell r="B5" t="str">
            <v>8FL281304 8110　L=444</v>
          </cell>
        </row>
        <row r="6">
          <cell r="A6" t="str">
            <v>J1JAZZB10805920</v>
          </cell>
          <cell r="B6" t="str">
            <v>8FL281304 4910　L=592</v>
          </cell>
        </row>
        <row r="7">
          <cell r="A7" t="str">
            <v>J1JAZZB10807480</v>
          </cell>
          <cell r="B7" t="str">
            <v>8FL281304 8310　L=748</v>
          </cell>
        </row>
        <row r="8">
          <cell r="A8" t="str">
            <v>J1JAZZB10808880</v>
          </cell>
          <cell r="B8" t="str">
            <v>8FL281304 5010　L=888</v>
          </cell>
        </row>
        <row r="9">
          <cell r="A9" t="str">
            <v>J1JAZZB10811830</v>
          </cell>
          <cell r="B9" t="str">
            <v>8FL281304 5110　L=1183</v>
          </cell>
        </row>
        <row r="10">
          <cell r="A10" t="str">
            <v>J1JAZZB10813290</v>
          </cell>
          <cell r="B10" t="str">
            <v>8FL281304 8010　L=1329</v>
          </cell>
        </row>
        <row r="11">
          <cell r="A11" t="str">
            <v>J1JAZZB10814780</v>
          </cell>
          <cell r="B11" t="str">
            <v>8FL281304 6110　L=1478</v>
          </cell>
        </row>
        <row r="12">
          <cell r="A12" t="str">
            <v>J1JAZZB11805920</v>
          </cell>
          <cell r="B12" t="str">
            <v>8FL281304 4920　L=592　クリア</v>
          </cell>
        </row>
        <row r="13">
          <cell r="A13" t="str">
            <v>J1JAZZB11808880</v>
          </cell>
          <cell r="B13" t="str">
            <v>8FL281304 5020　L=888　クリア</v>
          </cell>
        </row>
        <row r="14">
          <cell r="A14" t="str">
            <v>J1JAZZB11811830</v>
          </cell>
          <cell r="B14" t="str">
            <v>8FL281304 5120　L=1183　クリア</v>
          </cell>
        </row>
        <row r="15">
          <cell r="A15" t="str">
            <v>J1JAZZB11814780</v>
          </cell>
          <cell r="B15" t="str">
            <v>8FL281304 6120　L=1478　クリア</v>
          </cell>
        </row>
        <row r="16">
          <cell r="A16" t="str">
            <v>J1JAZZB05605540</v>
          </cell>
          <cell r="B16" t="str">
            <v>ランプシェード　SL-600</v>
          </cell>
        </row>
        <row r="17">
          <cell r="A17" t="str">
            <v>J1JAZZB11411920</v>
          </cell>
          <cell r="B17" t="str">
            <v>NNN33000W</v>
          </cell>
        </row>
        <row r="18">
          <cell r="A18" t="str">
            <v>J1JAZZB11311920</v>
          </cell>
          <cell r="B18" t="str">
            <v>NNN35000W</v>
          </cell>
        </row>
        <row r="19">
          <cell r="A19" t="str">
            <v>J1JAZZB12514780</v>
          </cell>
          <cell r="B19" t="str">
            <v>NNN36500-3</v>
          </cell>
        </row>
        <row r="20">
          <cell r="A20" t="str">
            <v>J1JAZZB12511870</v>
          </cell>
          <cell r="B20" t="str">
            <v>NNN36500-3-2</v>
          </cell>
        </row>
        <row r="21">
          <cell r="A21" t="str">
            <v>J1JAZZB12508870</v>
          </cell>
          <cell r="B21" t="str">
            <v>NNN36500-3-3</v>
          </cell>
        </row>
        <row r="22">
          <cell r="A22" t="str">
            <v>J1JAZZB12505960</v>
          </cell>
          <cell r="B22" t="str">
            <v>NNN36500-3-4</v>
          </cell>
        </row>
        <row r="23">
          <cell r="A23" t="str">
            <v>J1ZAFJB00219660</v>
          </cell>
          <cell r="B23" t="str">
            <v>灯具カバーPC IN 2070　L=1966</v>
          </cell>
        </row>
        <row r="24">
          <cell r="A24" t="str">
            <v>J1ZAFJB00219230</v>
          </cell>
          <cell r="B24" t="str">
            <v>灯具カバーPC IN 2100　L=1923</v>
          </cell>
        </row>
        <row r="25">
          <cell r="A25" t="str">
            <v>J1ZAFJB00218150</v>
          </cell>
          <cell r="B25" t="str">
            <v>灯具カバーPC IN 2110　L=1815</v>
          </cell>
        </row>
        <row r="26">
          <cell r="A26" t="str">
            <v>J1ZAFJB00215400</v>
          </cell>
          <cell r="B26" t="str">
            <v>灯具カバーPC IN 2080　L=1540</v>
          </cell>
        </row>
        <row r="27">
          <cell r="A27" t="str">
            <v>J1ZAFJB00212585</v>
          </cell>
          <cell r="B27" t="str">
            <v>灯具カバーPC IN 2060　L=1258.5</v>
          </cell>
        </row>
        <row r="28">
          <cell r="A28" t="str">
            <v>J1ZAFJB00211835</v>
          </cell>
          <cell r="B28" t="str">
            <v>灯具カバーPC IN 2050　L=1183.5</v>
          </cell>
        </row>
        <row r="29">
          <cell r="A29" t="str">
            <v>J1ZAFJB00209080</v>
          </cell>
          <cell r="B29" t="str">
            <v>灯具カバーPC IN 2130　L=908</v>
          </cell>
        </row>
        <row r="30">
          <cell r="A30" t="str">
            <v>J1ZAFJB00208400</v>
          </cell>
          <cell r="B30" t="str">
            <v>灯具カバーPC IN 2090　L=840</v>
          </cell>
        </row>
        <row r="31">
          <cell r="A31" t="str">
            <v>J1ZAFJB00205470</v>
          </cell>
          <cell r="B31" t="str">
            <v>灯具カバーPC IN 2140　L=547</v>
          </cell>
        </row>
        <row r="32">
          <cell r="A32" t="str">
            <v>J1ZAFJB00212640</v>
          </cell>
          <cell r="B32" t="str">
            <v>灯具カバーPC IN 2490　L=1264</v>
          </cell>
        </row>
        <row r="33">
          <cell r="A33" t="str">
            <v>J1ZAFJB00212380</v>
          </cell>
          <cell r="B33" t="str">
            <v>灯具カバーPC IN 2500　L=1238</v>
          </cell>
        </row>
        <row r="34">
          <cell r="A34" t="str">
            <v>J1ZAFJB00212910</v>
          </cell>
          <cell r="B34" t="str">
            <v>灯具カバーPC IN 2460　L=1291</v>
          </cell>
        </row>
        <row r="35">
          <cell r="A35" t="str">
            <v>J1ZAFJB00216480</v>
          </cell>
          <cell r="B35" t="str">
            <v>灯具カバーPC IN 2470　L=1648</v>
          </cell>
        </row>
        <row r="36">
          <cell r="A36" t="str">
            <v>J1ZAFJB00209540</v>
          </cell>
          <cell r="B36" t="str">
            <v>灯具カバーPC IN 2480　L=954</v>
          </cell>
        </row>
        <row r="37">
          <cell r="A37" t="str">
            <v>J1ZAFJB00113340</v>
          </cell>
          <cell r="B37" t="str">
            <v>灯具カバーPC  　7520    L=1334</v>
          </cell>
        </row>
        <row r="38">
          <cell r="A38" t="str">
            <v>J1ZAFJB00113095</v>
          </cell>
          <cell r="B38" t="str">
            <v>灯具カバーPC  　2180    L=1309.5</v>
          </cell>
        </row>
        <row r="39">
          <cell r="A39" t="str">
            <v>J1ZAFJB00112790</v>
          </cell>
          <cell r="B39" t="str">
            <v>灯具カバーPC  　2170    L=1279</v>
          </cell>
        </row>
        <row r="40">
          <cell r="A40" t="str">
            <v>J1ZAFJB00112400</v>
          </cell>
          <cell r="B40" t="str">
            <v>灯具カバーPC  　2190    L=1240</v>
          </cell>
        </row>
        <row r="41">
          <cell r="A41" t="str">
            <v>J1ZAFJB00106133</v>
          </cell>
          <cell r="B41" t="str">
            <v>灯具カバーPC  　2160    L=613.3</v>
          </cell>
        </row>
        <row r="42">
          <cell r="A42" t="str">
            <v>J1ZAFJB00105650</v>
          </cell>
          <cell r="B42" t="str">
            <v>灯具カバーPC  　7530    L=565</v>
          </cell>
        </row>
        <row r="43">
          <cell r="A43" t="str">
            <v>J1ZAFJB00102218</v>
          </cell>
          <cell r="B43" t="str">
            <v>灯具カバーPC  　2200    L=221.8</v>
          </cell>
        </row>
        <row r="44">
          <cell r="A44" t="str">
            <v>zz002</v>
          </cell>
          <cell r="B44" t="str">
            <v>灯具カバーPC  　特注　 L=669</v>
          </cell>
        </row>
        <row r="45">
          <cell r="A45" t="str">
            <v>zz001</v>
          </cell>
          <cell r="B45" t="str">
            <v>灯具カバーPC  　特注　 L=503</v>
          </cell>
        </row>
        <row r="46">
          <cell r="A46" t="str">
            <v>J1JAPAB00319960</v>
          </cell>
          <cell r="B46" t="str">
            <v>採光ルーバーパネルA　L=1996</v>
          </cell>
        </row>
        <row r="47">
          <cell r="A47" t="str">
            <v>J1JAPAB00419960</v>
          </cell>
          <cell r="B47" t="str">
            <v>採光ルーバーパネルB　L=1996</v>
          </cell>
        </row>
        <row r="48">
          <cell r="A48" t="str">
            <v>J1AKZYB00205000</v>
          </cell>
          <cell r="B48" t="str">
            <v>PK-59827 L=500</v>
          </cell>
        </row>
        <row r="49">
          <cell r="A49" t="str">
            <v>J1AKZYB00207000</v>
          </cell>
          <cell r="B49" t="str">
            <v>PK-59827 L=700</v>
          </cell>
        </row>
        <row r="50">
          <cell r="A50" t="str">
            <v>J1EAZZB03102750</v>
          </cell>
          <cell r="B50" t="str">
            <v>ハーネスガイド部材　L=275</v>
          </cell>
        </row>
        <row r="51">
          <cell r="A51" t="str">
            <v>J1AAEDB00825740</v>
          </cell>
          <cell r="B51" t="str">
            <v>MDP-689B L4　L=2574</v>
          </cell>
        </row>
        <row r="52">
          <cell r="A52" t="str">
            <v>J1AAEDB02825740</v>
          </cell>
          <cell r="B52" t="str">
            <v>MDPQ-689B L4 　L=2574　　</v>
          </cell>
        </row>
        <row r="53">
          <cell r="A53" t="str">
            <v>J1AAEDB00816080</v>
          </cell>
          <cell r="B53" t="str">
            <v>MDP-689B L1　L=1608</v>
          </cell>
        </row>
        <row r="54">
          <cell r="A54" t="str">
            <v>J1AAEDB00816620</v>
          </cell>
          <cell r="B54" t="str">
            <v>MDP-689B L2　L=1662</v>
          </cell>
        </row>
        <row r="55">
          <cell r="A55" t="str">
            <v>J1AAEDB02816080</v>
          </cell>
          <cell r="B55" t="str">
            <v>MDPQ-689B L1　L=1608</v>
          </cell>
        </row>
        <row r="56">
          <cell r="A56" t="str">
            <v>J1AAEDB02816620</v>
          </cell>
          <cell r="B56" t="str">
            <v>MDPQ-689B L2　L=1662</v>
          </cell>
        </row>
        <row r="57">
          <cell r="A57" t="str">
            <v>J1AAEDB01716040</v>
          </cell>
          <cell r="B57" t="str">
            <v>MDP-688A L1　L=1604</v>
          </cell>
        </row>
        <row r="58">
          <cell r="A58" t="str">
            <v>J1AAEDB01716580</v>
          </cell>
          <cell r="B58" t="str">
            <v>MDP-688A L2　L=1658</v>
          </cell>
        </row>
        <row r="59">
          <cell r="A59" t="str">
            <v>J1AAEDB02516040</v>
          </cell>
          <cell r="B59" t="str">
            <v>MDPQ-688A L1　L=1604</v>
          </cell>
        </row>
        <row r="60">
          <cell r="A60" t="str">
            <v>J1AAEDB02516580</v>
          </cell>
          <cell r="B60" t="str">
            <v>MDPQ-688A L2　L=1658</v>
          </cell>
        </row>
        <row r="61">
          <cell r="A61" t="str">
            <v>J1AAEZB00705860</v>
          </cell>
          <cell r="B61" t="str">
            <v>SRG-60D　L=586</v>
          </cell>
        </row>
        <row r="62">
          <cell r="A62" t="str">
            <v>J1AAEZB00708860</v>
          </cell>
          <cell r="B62" t="str">
            <v>SRG-90D　L=860</v>
          </cell>
        </row>
        <row r="63">
          <cell r="A63" t="str">
            <v>J1AAEZB00805860</v>
          </cell>
          <cell r="B63" t="str">
            <v>SRG-60U　L=586</v>
          </cell>
        </row>
        <row r="64">
          <cell r="A64" t="str">
            <v>J1AAEZB00808860</v>
          </cell>
          <cell r="B64" t="str">
            <v>SRG-90U　L=860</v>
          </cell>
        </row>
        <row r="65">
          <cell r="A65" t="str">
            <v>J1DAEZB00203000</v>
          </cell>
          <cell r="B65" t="str">
            <v>ﾃﾝｹﾝｺｳ(上)　L=300</v>
          </cell>
        </row>
        <row r="66">
          <cell r="A66" t="str">
            <v>J1DAEZB00204980</v>
          </cell>
          <cell r="B66" t="str">
            <v>ﾃﾝｹﾝｺｳ(上)　L=498</v>
          </cell>
        </row>
        <row r="67">
          <cell r="A67" t="str">
            <v>J1DAEZB00211680</v>
          </cell>
          <cell r="B67" t="str">
            <v>ﾃﾝｹﾝｺｳ(上)　L=1168</v>
          </cell>
        </row>
        <row r="68">
          <cell r="A68" t="str">
            <v>J1EAFZB02008740</v>
          </cell>
          <cell r="B68" t="str">
            <v>ﾏｴｶﾊﾞｰ(17F09810A)　L=874</v>
          </cell>
        </row>
        <row r="69">
          <cell r="A69" t="str">
            <v>J1EAFZB02011840</v>
          </cell>
          <cell r="B69" t="str">
            <v>ﾏｴｶﾊﾞｰ(17F09810B)　L=1184</v>
          </cell>
        </row>
        <row r="70">
          <cell r="A70" t="str">
            <v>J1EAFZB02014940</v>
          </cell>
          <cell r="B70" t="str">
            <v>ﾏｴｶﾊﾞｰ(17F09810C)　L=1494</v>
          </cell>
        </row>
        <row r="71">
          <cell r="A71" t="str">
            <v>J1AAEDB01725700</v>
          </cell>
          <cell r="B71" t="str">
            <v>MDP-688A L4　L=2570</v>
          </cell>
        </row>
        <row r="72">
          <cell r="A72" t="str">
            <v>J1AAEDB02525700</v>
          </cell>
          <cell r="B72" t="str">
            <v>MDPQ-688A L4　L=2570</v>
          </cell>
        </row>
        <row r="73">
          <cell r="A73" t="str">
            <v>J1DAFZB00105500</v>
          </cell>
          <cell r="B73" t="str">
            <v>照明ｶﾊﾞｰS15　L=550</v>
          </cell>
        </row>
        <row r="74">
          <cell r="A74" t="str">
            <v>J1DAFZB00105604</v>
          </cell>
          <cell r="B74" t="str">
            <v>照明ｶﾊﾞｰS　L=560.4</v>
          </cell>
        </row>
        <row r="75">
          <cell r="A75" t="str">
            <v>J1DAFZB00108200</v>
          </cell>
          <cell r="B75" t="str">
            <v>照明ｶﾊﾞｰL15　L=820</v>
          </cell>
        </row>
        <row r="76">
          <cell r="A76" t="str">
            <v>J1DAFZB00108304</v>
          </cell>
          <cell r="B76" t="str">
            <v>照明ｶﾊﾞｰL　L=830.4</v>
          </cell>
        </row>
        <row r="77">
          <cell r="A77" t="str">
            <v>J1ECZZB00104200</v>
          </cell>
          <cell r="B77" t="str">
            <v>L型ｱﾝｸﾞﾙ　WT-28B　L=420</v>
          </cell>
        </row>
        <row r="78">
          <cell r="A78" t="str">
            <v>J1ECZZB00105200</v>
          </cell>
          <cell r="B78" t="str">
            <v>L型ｱﾝｸﾞﾙ　P-VH-42D　L=520</v>
          </cell>
        </row>
        <row r="79">
          <cell r="A79" t="str">
            <v>J1ECZZB00105300</v>
          </cell>
          <cell r="B79" t="str">
            <v>L型ｱﾝｸﾞﾙ　P-VH-C　L=530</v>
          </cell>
        </row>
        <row r="80">
          <cell r="A80" t="str">
            <v>J1ECZZB00105900</v>
          </cell>
          <cell r="B80" t="str">
            <v>L型ｱﾝｸﾞﾙ　WT-42B　L=590</v>
          </cell>
        </row>
        <row r="81">
          <cell r="A81" t="str">
            <v>J1ECZZB00106000</v>
          </cell>
          <cell r="B81" t="str">
            <v>L型ｱﾝｸﾞﾙ　P-VH-E　L=600</v>
          </cell>
        </row>
        <row r="82">
          <cell r="A82" t="str">
            <v>J1ECZZB00106900</v>
          </cell>
          <cell r="B82" t="str">
            <v>L型ｱﾝｸﾞﾙ　P-VH-56D　L=690</v>
          </cell>
        </row>
        <row r="83">
          <cell r="A83" t="str">
            <v>J1ECZZB00107600</v>
          </cell>
          <cell r="B83" t="str">
            <v>L型ｱﾝｸﾞﾙ　WT-56B　L=760</v>
          </cell>
        </row>
        <row r="84">
          <cell r="A84" t="str">
            <v>J1ECZZB00110180</v>
          </cell>
          <cell r="B84" t="str">
            <v>L型ｱﾝｸﾞﾙ　P-VH-A　L=1018</v>
          </cell>
        </row>
        <row r="85">
          <cell r="A85" t="str">
            <v>J1AAFAB01107305</v>
          </cell>
          <cell r="B85" t="str">
            <v>GA-770 BK(BD)　L=730.5</v>
          </cell>
        </row>
        <row r="86">
          <cell r="A86" t="str">
            <v>J1AAFAB01107455</v>
          </cell>
          <cell r="B86" t="str">
            <v>GA-770 BK(BD)　L=745.5</v>
          </cell>
        </row>
        <row r="87">
          <cell r="A87" t="str">
            <v>J1AAFAB01207305</v>
          </cell>
          <cell r="B87" t="str">
            <v>GA-770 BR　L=730.5</v>
          </cell>
        </row>
        <row r="88">
          <cell r="A88" t="str">
            <v>J1AAFAB01207455</v>
          </cell>
          <cell r="B88" t="str">
            <v>GA-770 BR　L=745.5</v>
          </cell>
        </row>
        <row r="89">
          <cell r="A89" t="str">
            <v>J1AAFAB02204090</v>
          </cell>
          <cell r="B89" t="str">
            <v>WD3104A KC L=409</v>
          </cell>
        </row>
        <row r="90">
          <cell r="A90" t="str">
            <v>J1AAFAB02205005</v>
          </cell>
          <cell r="B90" t="str">
            <v>WD3104A KC　L=500.5</v>
          </cell>
        </row>
        <row r="91">
          <cell r="A91" t="str">
            <v>J1AAFAB02304090</v>
          </cell>
          <cell r="B91" t="str">
            <v>WD3104A BK　L=409</v>
          </cell>
        </row>
        <row r="92">
          <cell r="A92" t="str">
            <v>J1AAFAB02305005</v>
          </cell>
          <cell r="B92" t="str">
            <v>WD3104A BR(BK)　L=500.5</v>
          </cell>
        </row>
        <row r="93">
          <cell r="A93" t="str">
            <v>J1AAFAB02309000</v>
          </cell>
          <cell r="B93" t="str">
            <v>WD3104A BR(BK)　L=900</v>
          </cell>
        </row>
        <row r="94">
          <cell r="A94" t="str">
            <v>J1AAFAB02306890</v>
          </cell>
          <cell r="B94" t="str">
            <v>WD3104A BR(BK)　L=689</v>
          </cell>
        </row>
        <row r="95">
          <cell r="A95" t="str">
            <v>J1ZFAAB00203360</v>
          </cell>
          <cell r="B95" t="str">
            <v>GA9344/PYTB554K　L=336</v>
          </cell>
        </row>
        <row r="96">
          <cell r="A96" t="str">
            <v>J1ZFAAB00203860</v>
          </cell>
          <cell r="B96" t="str">
            <v>GA9344/PYTB554K　L=386</v>
          </cell>
        </row>
        <row r="97">
          <cell r="A97" t="str">
            <v>J1HFHBB01407100</v>
          </cell>
          <cell r="B97" t="str">
            <v>ｼﾞｮｲﾝﾄﾁｭ-ﾌﾞ5号　L=710</v>
          </cell>
        </row>
        <row r="98">
          <cell r="A98" t="str">
            <v>J1HFHBB01603400</v>
          </cell>
          <cell r="B98" t="str">
            <v>ｼﾞｮｲﾝﾄﾁｭ-ﾌﾞ2号　L=340</v>
          </cell>
        </row>
        <row r="99">
          <cell r="A99" t="str">
            <v>J1HFHBB01704200</v>
          </cell>
          <cell r="B99" t="str">
            <v>ｼﾞｮｲﾝﾄﾁｭ-ﾌﾞ3号　L=420</v>
          </cell>
        </row>
        <row r="100">
          <cell r="A100" t="str">
            <v>J1HFHBB01802500</v>
          </cell>
          <cell r="B100" t="str">
            <v>ｼﾞｮｲﾝﾄﾁｭ-ﾌﾞ1号　L=250</v>
          </cell>
        </row>
        <row r="101">
          <cell r="A101" t="str">
            <v>J1AKACB01901980</v>
          </cell>
          <cell r="B101" t="str">
            <v>991HDP　198</v>
          </cell>
        </row>
        <row r="102">
          <cell r="A102" t="str">
            <v>J1AKACB02002640</v>
          </cell>
          <cell r="B102" t="str">
            <v>991GPK　264</v>
          </cell>
        </row>
        <row r="103">
          <cell r="A103" t="str">
            <v>J1AKACB02002680</v>
          </cell>
          <cell r="B103" t="str">
            <v>991GPK　268</v>
          </cell>
        </row>
        <row r="104">
          <cell r="A104" t="str">
            <v>J1AKACB02004140</v>
          </cell>
          <cell r="B104" t="str">
            <v>991GPK　414</v>
          </cell>
        </row>
        <row r="105">
          <cell r="A105" t="str">
            <v>J1AKACB02004180</v>
          </cell>
          <cell r="B105" t="str">
            <v>991GPK　418</v>
          </cell>
        </row>
        <row r="106">
          <cell r="A106" t="str">
            <v>J1AKACB02005650</v>
          </cell>
          <cell r="B106" t="str">
            <v>991GPK　565</v>
          </cell>
        </row>
        <row r="107">
          <cell r="A107" t="str">
            <v>J1AKACB02005680</v>
          </cell>
          <cell r="B107" t="str">
            <v>991GPK　568</v>
          </cell>
        </row>
        <row r="108">
          <cell r="A108" t="str">
            <v>J1AKACB02007150</v>
          </cell>
          <cell r="B108" t="str">
            <v>991GPK　715</v>
          </cell>
        </row>
        <row r="109">
          <cell r="A109" t="str">
            <v>J1AKACB02007180</v>
          </cell>
          <cell r="B109" t="str">
            <v>991GPK　718</v>
          </cell>
        </row>
        <row r="110">
          <cell r="A110" t="str">
            <v>J1AKACB02008650</v>
          </cell>
          <cell r="B110" t="str">
            <v>991GPK　865</v>
          </cell>
        </row>
        <row r="111">
          <cell r="A111" t="str">
            <v>J1AKACB02008680</v>
          </cell>
          <cell r="B111" t="str">
            <v>991GPK　868</v>
          </cell>
        </row>
        <row r="112">
          <cell r="A112" t="str">
            <v>J1AKACB02010150</v>
          </cell>
          <cell r="B112" t="str">
            <v>991GPK　1015</v>
          </cell>
        </row>
        <row r="113">
          <cell r="A113" t="str">
            <v>J1AKACB02010180</v>
          </cell>
          <cell r="B113" t="str">
            <v>991GPK　1018</v>
          </cell>
        </row>
        <row r="114">
          <cell r="A114" t="str">
            <v>J1AKACB03502640</v>
          </cell>
          <cell r="B114" t="str">
            <v>752GPSB　265</v>
          </cell>
        </row>
        <row r="115">
          <cell r="A115" t="str">
            <v>J1AKACB03504140</v>
          </cell>
          <cell r="B115" t="str">
            <v>752GPSB　415</v>
          </cell>
        </row>
        <row r="116">
          <cell r="A116" t="str">
            <v>J1AKACB03505640</v>
          </cell>
          <cell r="B116" t="str">
            <v>752GPSB　565</v>
          </cell>
        </row>
        <row r="117">
          <cell r="A117" t="str">
            <v>J1AKACB03506640</v>
          </cell>
          <cell r="B117" t="str">
            <v>752GPSB　665</v>
          </cell>
        </row>
        <row r="118">
          <cell r="A118" t="str">
            <v>J1AKACB03507140</v>
          </cell>
          <cell r="B118" t="str">
            <v>752GPSB　715</v>
          </cell>
        </row>
        <row r="119">
          <cell r="A119" t="str">
            <v>J1AKACB03508640</v>
          </cell>
          <cell r="B119" t="str">
            <v>752GPSB　865</v>
          </cell>
        </row>
        <row r="120">
          <cell r="A120" t="str">
            <v>J1EKACB10604140</v>
          </cell>
          <cell r="B120" t="str">
            <v>003GPDG　414</v>
          </cell>
        </row>
        <row r="121">
          <cell r="A121" t="str">
            <v>J1EKACB20305190</v>
          </cell>
          <cell r="B121" t="str">
            <v>002EGAW　519</v>
          </cell>
        </row>
        <row r="122">
          <cell r="A122" t="str">
            <v>J1EKACB20306310</v>
          </cell>
          <cell r="B122" t="str">
            <v>002EGAW　631</v>
          </cell>
        </row>
        <row r="123">
          <cell r="A123" t="str">
            <v>J1EKACB01302040</v>
          </cell>
          <cell r="B123" t="str">
            <v>002EGDG　204</v>
          </cell>
        </row>
        <row r="124">
          <cell r="A124" t="str">
            <v>J1EKACB20802690</v>
          </cell>
          <cell r="B124" t="str">
            <v>051GPW　269(ｽﾀ)　</v>
          </cell>
        </row>
        <row r="125">
          <cell r="A125" t="str">
            <v>J1EKACB20804190</v>
          </cell>
          <cell r="B125" t="str">
            <v>051GPW　419(ｽﾀ)</v>
          </cell>
        </row>
        <row r="126">
          <cell r="A126" t="str">
            <v>J1EKACB20805670</v>
          </cell>
          <cell r="B126" t="str">
            <v>051GPW　567(ｽﾀ)</v>
          </cell>
        </row>
        <row r="127">
          <cell r="A127" t="str">
            <v>J1EKACB20805690</v>
          </cell>
          <cell r="B127" t="str">
            <v>051GPW　569</v>
          </cell>
        </row>
        <row r="128">
          <cell r="A128" t="str">
            <v>J1EKACB20807150</v>
          </cell>
          <cell r="B128" t="str">
            <v>051GPW　715</v>
          </cell>
        </row>
        <row r="129">
          <cell r="A129" t="str">
            <v>J1EKACB20807190</v>
          </cell>
          <cell r="B129" t="str">
            <v>051GPW　719</v>
          </cell>
        </row>
        <row r="130">
          <cell r="A130" t="str">
            <v>J1EKACB20808680</v>
          </cell>
          <cell r="B130" t="str">
            <v>051GPW　868</v>
          </cell>
        </row>
        <row r="131">
          <cell r="A131" t="str">
            <v>J1EKACB20810140</v>
          </cell>
          <cell r="B131" t="str">
            <v>051GPW　1014</v>
          </cell>
        </row>
        <row r="132">
          <cell r="A132" t="str">
            <v>J1EKACB20810180</v>
          </cell>
          <cell r="B132" t="str">
            <v>051GPW　1018</v>
          </cell>
        </row>
        <row r="133">
          <cell r="A133" t="str">
            <v>J1EKACB20811640</v>
          </cell>
          <cell r="B133" t="str">
            <v>051GPW　1164</v>
          </cell>
        </row>
        <row r="134">
          <cell r="A134" t="str">
            <v>J1EKACB22204150</v>
          </cell>
          <cell r="B134" t="str">
            <v>001EGAW　415</v>
          </cell>
        </row>
        <row r="135">
          <cell r="A135" t="str">
            <v>J1EKACB22205080</v>
          </cell>
          <cell r="B135" t="str">
            <v>001EGAW　508</v>
          </cell>
        </row>
        <row r="136">
          <cell r="A136" t="str">
            <v>J1EKACB22205650</v>
          </cell>
          <cell r="B136" t="str">
            <v>001EGAW　565</v>
          </cell>
        </row>
        <row r="137">
          <cell r="A137" t="str">
            <v>J1EKACB22206330</v>
          </cell>
          <cell r="B137" t="str">
            <v>001EGAW　633</v>
          </cell>
        </row>
        <row r="138">
          <cell r="A138" t="str">
            <v>J1EKACB22206520</v>
          </cell>
          <cell r="B138" t="str">
            <v>001EGAW　652</v>
          </cell>
        </row>
        <row r="139">
          <cell r="A139" t="str">
            <v>J1EKACB22206650</v>
          </cell>
          <cell r="B139" t="str">
            <v>001EGAW　665</v>
          </cell>
        </row>
        <row r="140">
          <cell r="A140" t="str">
            <v>J1EKACB22207150</v>
          </cell>
          <cell r="B140" t="str">
            <v>001EGAW　715</v>
          </cell>
        </row>
        <row r="141">
          <cell r="A141" t="str">
            <v>J1AAFAB01299999</v>
          </cell>
          <cell r="B141" t="str">
            <v>GA-770 (特注)BR</v>
          </cell>
        </row>
        <row r="142">
          <cell r="A142" t="str">
            <v>J1AAFAB01199999</v>
          </cell>
          <cell r="B142" t="str">
            <v>GA-770 (特注)BK</v>
          </cell>
        </row>
        <row r="143">
          <cell r="A143" t="str">
            <v>J1AAZDB00301000</v>
          </cell>
          <cell r="B143" t="str">
            <v>BMPU-245　L=100</v>
          </cell>
        </row>
        <row r="144">
          <cell r="A144" t="str">
            <v>J1AAZDB00501000</v>
          </cell>
          <cell r="B144" t="str">
            <v>PRPU-418　L=100</v>
          </cell>
        </row>
        <row r="145">
          <cell r="A145" t="str">
            <v>J1AZLDB00122810</v>
          </cell>
          <cell r="B145" t="str">
            <v>QDNT-284A L2　L=2281</v>
          </cell>
        </row>
        <row r="146">
          <cell r="A146" t="str">
            <v>J1AZLDB00123150</v>
          </cell>
          <cell r="B146" t="str">
            <v>QDNT-284A L1　L=2315</v>
          </cell>
        </row>
        <row r="147">
          <cell r="A147" t="str">
            <v>J1AZLDB00123980</v>
          </cell>
          <cell r="B147" t="str">
            <v>QDNT-284A LT　L=2398</v>
          </cell>
        </row>
        <row r="148">
          <cell r="A148" t="str">
            <v>J1AZLDB00127400</v>
          </cell>
          <cell r="B148" t="str">
            <v>QDNT-284A LT2　L=2740</v>
          </cell>
        </row>
        <row r="149">
          <cell r="A149" t="str">
            <v>J1AZLDB00422660</v>
          </cell>
          <cell r="B149" t="str">
            <v>DHCT-147 L1　L=2266</v>
          </cell>
        </row>
        <row r="150">
          <cell r="A150" t="str">
            <v>J1AZLDB00422975</v>
          </cell>
          <cell r="B150" t="str">
            <v>DHCT-147 L3　L=2297.5</v>
          </cell>
        </row>
        <row r="151">
          <cell r="A151" t="str">
            <v>J1AZLDB00522670</v>
          </cell>
          <cell r="B151" t="str">
            <v>DHCT-136　L=2267</v>
          </cell>
        </row>
        <row r="152">
          <cell r="A152" t="str">
            <v>J1AZLDB00522985</v>
          </cell>
          <cell r="B152" t="str">
            <v>DHCT-136 L1　L=2298.5</v>
          </cell>
        </row>
        <row r="153">
          <cell r="A153" t="str">
            <v>J1AZLDB00719940</v>
          </cell>
          <cell r="B153" t="str">
            <v>DHCT-328RL1　L=1994</v>
          </cell>
        </row>
        <row r="154">
          <cell r="A154" t="str">
            <v>J1AZLDB00800790</v>
          </cell>
          <cell r="B154" t="str">
            <v>DHCT-329L1　L=79</v>
          </cell>
        </row>
        <row r="155">
          <cell r="A155" t="str">
            <v>J1AZLDB00901030</v>
          </cell>
          <cell r="B155" t="str">
            <v>DHCT-329L2　L=103</v>
          </cell>
        </row>
        <row r="156">
          <cell r="A156" t="str">
            <v>J1AZLDB01719950</v>
          </cell>
          <cell r="B156" t="str">
            <v>DHCT-397 L1　L=1995</v>
          </cell>
        </row>
        <row r="157">
          <cell r="A157" t="str">
            <v>J1AZLDB01818880</v>
          </cell>
          <cell r="B157" t="str">
            <v>DHCT-397 LL2　L=1888</v>
          </cell>
        </row>
        <row r="158">
          <cell r="A158" t="str">
            <v>J1AZLDB01900860</v>
          </cell>
          <cell r="B158" t="str">
            <v>DHCT-398　L=86</v>
          </cell>
        </row>
        <row r="159">
          <cell r="A159" t="str">
            <v>J1AZLDB02023080</v>
          </cell>
          <cell r="B159" t="str">
            <v>DHCT-409 L1　L=2308</v>
          </cell>
        </row>
        <row r="160">
          <cell r="A160" t="str">
            <v>J1AZLDB02118880</v>
          </cell>
          <cell r="B160" t="str">
            <v>DHCT-397 RL2　L=1888</v>
          </cell>
        </row>
        <row r="161">
          <cell r="A161" t="str">
            <v>J1AZLDB02600990</v>
          </cell>
          <cell r="B161" t="str">
            <v>DHCT-548L3　L=99</v>
          </cell>
        </row>
        <row r="162">
          <cell r="A162" t="str">
            <v>J1AZLDB02601075</v>
          </cell>
          <cell r="B162" t="str">
            <v>DHCT-548L1　L=107.5</v>
          </cell>
        </row>
        <row r="163">
          <cell r="A163" t="str">
            <v>J1AZLDB02601235</v>
          </cell>
          <cell r="B163" t="str">
            <v>DHCT-548L4　L=123.5</v>
          </cell>
        </row>
        <row r="164">
          <cell r="A164" t="str">
            <v>J1AZLDB02601320</v>
          </cell>
          <cell r="B164" t="str">
            <v>DHCT-548L2　L=132</v>
          </cell>
        </row>
        <row r="165">
          <cell r="A165" t="str">
            <v>J1AZLDB02603340</v>
          </cell>
          <cell r="B165" t="str">
            <v>DHCT-547L1　L=334</v>
          </cell>
        </row>
        <row r="166">
          <cell r="A166" t="str">
            <v>J1AZLDB02603460</v>
          </cell>
          <cell r="B166" t="str">
            <v>DHCT-547L2　L=346</v>
          </cell>
        </row>
        <row r="167">
          <cell r="A167" t="str">
            <v>J1AZLDB02702240</v>
          </cell>
          <cell r="B167" t="str">
            <v>DHCT-691 L1　L=224</v>
          </cell>
        </row>
        <row r="168">
          <cell r="A168" t="str">
            <v>J1AZLDB00523605</v>
          </cell>
          <cell r="B168" t="str">
            <v>DHDT-186　L=2360.5</v>
          </cell>
        </row>
        <row r="169">
          <cell r="A169" t="str">
            <v>J1AZLDB03201160</v>
          </cell>
          <cell r="B169" t="str">
            <v>QDQT-509 L1　L=116</v>
          </cell>
        </row>
        <row r="170">
          <cell r="A170" t="str">
            <v>J1AZLDB03202380</v>
          </cell>
          <cell r="B170" t="str">
            <v>QDQT-509 L2　L=238</v>
          </cell>
        </row>
        <row r="171">
          <cell r="A171" t="str">
            <v>J1AZLDB03300780</v>
          </cell>
          <cell r="B171" t="str">
            <v>QDQT-515 L3   L=78  　　</v>
          </cell>
        </row>
        <row r="172">
          <cell r="A172" t="str">
            <v>J1AZLDB03301280</v>
          </cell>
          <cell r="B172" t="str">
            <v>QDQT-515 L2   L=128     　　</v>
          </cell>
        </row>
        <row r="173">
          <cell r="A173" t="str">
            <v>J1AZLDB03305440</v>
          </cell>
          <cell r="B173" t="str">
            <v>QDQT-515 L1　L=544　</v>
          </cell>
        </row>
        <row r="174">
          <cell r="A174" t="str">
            <v>J1EAZDB00102000</v>
          </cell>
          <cell r="B174" t="str">
            <v>QDN-487　L=200</v>
          </cell>
        </row>
        <row r="175">
          <cell r="A175" t="str">
            <v>J4AAMWB01504140</v>
          </cell>
          <cell r="B175" t="str">
            <v>AM-O-0744-KC1　L=414</v>
          </cell>
        </row>
        <row r="176">
          <cell r="A176" t="str">
            <v>J4AAMWB02707690</v>
          </cell>
          <cell r="B176" t="str">
            <v>AM-O-0807-KC1　L=769</v>
          </cell>
        </row>
        <row r="177">
          <cell r="A177" t="str">
            <v>J1AEFZB00205250</v>
          </cell>
          <cell r="B177" t="str">
            <v>脚ﾊﾟｲﾌﾟPVC　L=525</v>
          </cell>
        </row>
        <row r="178">
          <cell r="A178" t="str">
            <v>J1AEFZB00205750</v>
          </cell>
          <cell r="B178" t="str">
            <v>脚ﾊﾟｲﾌﾟPVC　L=575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28" workbookViewId="0">
      <selection activeCell="R52" sqref="R52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11" t="s">
        <v>0</v>
      </c>
      <c r="C1" s="82"/>
      <c r="D1" s="82"/>
      <c r="E1" s="12"/>
      <c r="F1" s="12"/>
      <c r="G1" s="12"/>
      <c r="H1" s="12"/>
      <c r="I1" s="12"/>
      <c r="J1" s="12"/>
    </row>
    <row r="2" spans="1:10" ht="14.25" customHeight="1" thickTop="1">
      <c r="A2" s="13"/>
      <c r="B2" s="82"/>
      <c r="C2" s="82"/>
      <c r="D2" s="82"/>
      <c r="E2" s="13"/>
      <c r="F2" s="13"/>
      <c r="G2" s="13"/>
      <c r="H2" s="13"/>
      <c r="I2" s="13"/>
      <c r="J2" s="13"/>
    </row>
    <row r="3" spans="1:10" ht="14.25" customHeight="1">
      <c r="A3" s="90" t="s">
        <v>1</v>
      </c>
      <c r="B3" s="90" t="s">
        <v>2</v>
      </c>
      <c r="C3" s="90" t="s">
        <v>3</v>
      </c>
      <c r="D3" s="100">
        <v>500</v>
      </c>
      <c r="E3" s="90" t="s">
        <v>4</v>
      </c>
      <c r="F3" s="109" t="s">
        <v>5</v>
      </c>
      <c r="G3" s="82"/>
      <c r="H3" s="85"/>
      <c r="I3" s="14" t="s">
        <v>6</v>
      </c>
      <c r="J3" s="14" t="s">
        <v>7</v>
      </c>
    </row>
    <row r="4" spans="1:10" ht="14.25" customHeight="1">
      <c r="A4" s="82"/>
      <c r="B4" s="82"/>
      <c r="C4" s="82"/>
      <c r="D4" s="82"/>
      <c r="E4" s="82"/>
      <c r="F4" s="82"/>
      <c r="G4" s="82"/>
      <c r="H4" s="85"/>
      <c r="I4" s="97"/>
      <c r="J4" s="97"/>
    </row>
    <row r="5" spans="1:10" ht="17.45" customHeight="1">
      <c r="A5" s="81" t="s">
        <v>8</v>
      </c>
      <c r="B5" s="81" t="s">
        <v>9</v>
      </c>
      <c r="E5" s="81" t="s">
        <v>10</v>
      </c>
      <c r="F5" s="105" t="s">
        <v>11</v>
      </c>
      <c r="G5" s="82"/>
      <c r="H5" s="85"/>
      <c r="I5" s="98"/>
      <c r="J5" s="98"/>
    </row>
    <row r="6" spans="1:10" ht="17.45" customHeight="1">
      <c r="A6" s="82"/>
      <c r="B6" s="82"/>
      <c r="E6" s="82"/>
      <c r="F6" s="82"/>
      <c r="G6" s="82"/>
      <c r="H6" s="85"/>
      <c r="I6" s="15"/>
      <c r="J6" s="15"/>
    </row>
    <row r="7" spans="1:10" ht="17.45" customHeight="1">
      <c r="A7" s="81" t="s">
        <v>12</v>
      </c>
      <c r="B7" s="81" t="s">
        <v>13</v>
      </c>
      <c r="E7" s="2" t="s">
        <v>14</v>
      </c>
      <c r="F7" s="110" t="s">
        <v>15</v>
      </c>
      <c r="G7" s="82"/>
      <c r="H7" s="22"/>
    </row>
    <row r="8" spans="1:10" ht="17.45" customHeight="1">
      <c r="A8" s="82"/>
      <c r="B8" s="82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45827</v>
      </c>
      <c r="E9" s="2" t="s">
        <v>19</v>
      </c>
      <c r="F9" s="134">
        <v>34</v>
      </c>
      <c r="G9" s="82"/>
      <c r="H9" s="22"/>
    </row>
    <row r="10" spans="1:10" ht="17.45" customHeight="1">
      <c r="A10" s="2" t="s">
        <v>20</v>
      </c>
      <c r="B10" s="4">
        <v>45827</v>
      </c>
      <c r="E10" s="2" t="s">
        <v>21</v>
      </c>
      <c r="F10" s="22">
        <v>21.058823529411761</v>
      </c>
      <c r="G10" s="103" t="s">
        <v>22</v>
      </c>
      <c r="H10" s="115">
        <v>716</v>
      </c>
      <c r="I10" s="116"/>
      <c r="J10" s="117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04"/>
      <c r="H11" s="104"/>
      <c r="I11" s="86"/>
      <c r="J11" s="87"/>
    </row>
    <row r="12" spans="1:10" ht="13.5" customHeight="1">
      <c r="A12" s="99" t="s">
        <v>25</v>
      </c>
      <c r="B12" s="82"/>
      <c r="C12" s="82"/>
      <c r="D12" s="21"/>
      <c r="F12" s="3"/>
      <c r="G12" s="112" t="s">
        <v>26</v>
      </c>
      <c r="H12" s="133" t="s">
        <v>27</v>
      </c>
      <c r="I12" s="84" t="s">
        <v>28</v>
      </c>
      <c r="J12" s="85"/>
    </row>
    <row r="13" spans="1:10" ht="13.5" customHeight="1">
      <c r="A13" s="82"/>
      <c r="B13" s="82"/>
      <c r="C13" s="82"/>
      <c r="D13" s="21"/>
      <c r="F13" s="3"/>
      <c r="G13" s="113"/>
      <c r="H13" s="113"/>
      <c r="I13" s="86"/>
      <c r="J13" s="87"/>
    </row>
    <row r="14" spans="1:10" ht="13.5" customHeight="1">
      <c r="A14" s="1" t="s">
        <v>29</v>
      </c>
    </row>
    <row r="15" spans="1:10" ht="63" customHeight="1" thickBot="1">
      <c r="A15" s="101"/>
      <c r="B15" s="102"/>
      <c r="C15" s="102"/>
      <c r="D15" s="102"/>
      <c r="E15" s="102"/>
      <c r="F15" s="102"/>
      <c r="G15" s="102"/>
      <c r="H15" s="102"/>
      <c r="I15" s="102"/>
      <c r="J15" s="102"/>
    </row>
    <row r="16" spans="1:10" ht="18.75">
      <c r="A16" s="24" t="s">
        <v>30</v>
      </c>
      <c r="B16" s="17" t="s">
        <v>31</v>
      </c>
      <c r="C16" s="106" t="s">
        <v>32</v>
      </c>
      <c r="D16" s="107"/>
      <c r="E16" s="17" t="s">
        <v>33</v>
      </c>
      <c r="F16" s="106" t="s">
        <v>34</v>
      </c>
      <c r="G16" s="107"/>
      <c r="H16" s="107"/>
      <c r="I16" s="108" t="s">
        <v>35</v>
      </c>
      <c r="J16" s="107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83" t="s">
        <v>37</v>
      </c>
      <c r="D18" s="80"/>
      <c r="E18" s="25" t="s">
        <v>38</v>
      </c>
      <c r="F18" s="83" t="s">
        <v>39</v>
      </c>
      <c r="G18" s="80"/>
      <c r="H18" s="80"/>
      <c r="I18" s="96"/>
      <c r="J18" s="80"/>
    </row>
    <row r="19" spans="1:10" s="7" customFormat="1" ht="16.5" customHeight="1">
      <c r="A19" s="23">
        <v>1</v>
      </c>
      <c r="B19" s="26" t="s">
        <v>36</v>
      </c>
      <c r="C19" s="83" t="s">
        <v>37</v>
      </c>
      <c r="D19" s="80"/>
      <c r="E19" s="25" t="s">
        <v>40</v>
      </c>
      <c r="F19" s="83" t="s">
        <v>41</v>
      </c>
      <c r="G19" s="80"/>
      <c r="H19" s="80"/>
      <c r="I19" s="96"/>
      <c r="J19" s="80"/>
    </row>
    <row r="20" spans="1:10" s="7" customFormat="1" ht="16.5" customHeight="1">
      <c r="A20" s="23"/>
      <c r="B20" s="26"/>
      <c r="C20" s="83"/>
      <c r="D20" s="80"/>
      <c r="E20" s="25"/>
      <c r="F20" s="83"/>
      <c r="G20" s="80"/>
      <c r="H20" s="80"/>
      <c r="I20" s="96"/>
      <c r="J20" s="80"/>
    </row>
    <row r="21" spans="1:10" s="7" customFormat="1" ht="16.5" customHeight="1">
      <c r="A21" s="23"/>
      <c r="B21" s="26"/>
      <c r="C21" s="83"/>
      <c r="D21" s="80"/>
      <c r="E21" s="25"/>
      <c r="F21" s="83"/>
      <c r="G21" s="80"/>
      <c r="H21" s="80"/>
      <c r="I21" s="96"/>
      <c r="J21" s="80"/>
    </row>
    <row r="22" spans="1:10" s="7" customFormat="1" ht="16.5" customHeight="1">
      <c r="A22" s="23"/>
      <c r="B22" s="26"/>
      <c r="C22" s="83"/>
      <c r="D22" s="80"/>
      <c r="E22" s="25"/>
      <c r="F22" s="83"/>
      <c r="G22" s="80"/>
      <c r="H22" s="80"/>
      <c r="I22" s="96"/>
      <c r="J22" s="80"/>
    </row>
    <row r="23" spans="1:10" s="7" customFormat="1" ht="16.5" customHeight="1">
      <c r="A23" s="23"/>
      <c r="B23" s="26"/>
      <c r="C23" s="83"/>
      <c r="D23" s="80"/>
      <c r="E23" s="25"/>
      <c r="F23" s="83"/>
      <c r="G23" s="80"/>
      <c r="H23" s="80"/>
      <c r="I23" s="96"/>
      <c r="J23" s="80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91" t="s">
        <v>42</v>
      </c>
      <c r="B25" s="92"/>
      <c r="C25" s="91" t="s">
        <v>43</v>
      </c>
      <c r="D25" s="92"/>
      <c r="E25" s="92"/>
      <c r="F25" s="18" t="s">
        <v>44</v>
      </c>
      <c r="G25" s="91" t="s">
        <v>45</v>
      </c>
      <c r="H25" s="92"/>
      <c r="I25" s="91" t="s">
        <v>46</v>
      </c>
      <c r="J25" s="92"/>
    </row>
    <row r="26" spans="1:10" ht="14.25" customHeight="1">
      <c r="A26" s="8"/>
      <c r="B26" s="19"/>
      <c r="C26" s="95" t="s">
        <v>47</v>
      </c>
      <c r="D26" s="86"/>
      <c r="E26" s="19"/>
      <c r="F26" s="95" t="s">
        <v>29</v>
      </c>
      <c r="G26" s="86"/>
      <c r="H26" s="86"/>
      <c r="I26" s="86"/>
      <c r="J26" s="86"/>
    </row>
    <row r="27" spans="1:10">
      <c r="A27" s="9"/>
      <c r="C27" s="7"/>
      <c r="D27" s="7"/>
      <c r="E27" s="7"/>
    </row>
    <row r="28" spans="1:10" s="5" customFormat="1" ht="14.25" customHeight="1">
      <c r="A28" s="83" t="s">
        <v>48</v>
      </c>
      <c r="B28" s="89"/>
      <c r="C28" s="83" t="s">
        <v>49</v>
      </c>
      <c r="D28" s="89"/>
      <c r="E28" s="89"/>
      <c r="F28" s="27" t="s">
        <v>27</v>
      </c>
      <c r="G28" s="88">
        <v>238.428</v>
      </c>
      <c r="H28" s="89"/>
      <c r="I28" s="88">
        <v>7.0125882352941176</v>
      </c>
      <c r="J28" s="89"/>
    </row>
    <row r="29" spans="1:10" s="7" customFormat="1" ht="24.95" customHeight="1">
      <c r="A29" s="79" t="s">
        <v>50</v>
      </c>
      <c r="B29" s="80"/>
      <c r="C29" s="83" t="s">
        <v>11</v>
      </c>
      <c r="D29" s="80"/>
      <c r="E29" s="80"/>
      <c r="F29" s="83"/>
      <c r="G29" s="80"/>
      <c r="H29" s="80"/>
      <c r="I29" s="80"/>
      <c r="J29" s="80"/>
    </row>
    <row r="30" spans="1:10" s="5" customFormat="1" ht="14.25" customHeight="1">
      <c r="A30" s="114" t="s">
        <v>57</v>
      </c>
      <c r="B30" s="89"/>
      <c r="C30" s="83" t="s">
        <v>51</v>
      </c>
      <c r="D30" s="89"/>
      <c r="E30" s="89"/>
      <c r="F30" s="27" t="s">
        <v>27</v>
      </c>
      <c r="G30" s="88">
        <v>20.763999999999999</v>
      </c>
      <c r="H30" s="89"/>
      <c r="I30" s="88">
        <v>0.61070588235294121</v>
      </c>
      <c r="J30" s="89"/>
    </row>
    <row r="31" spans="1:10" s="7" customFormat="1" ht="24.95" customHeight="1">
      <c r="A31" s="79" t="s">
        <v>52</v>
      </c>
      <c r="B31" s="80"/>
      <c r="C31" s="83"/>
      <c r="D31" s="80"/>
      <c r="E31" s="80"/>
      <c r="F31" s="83"/>
      <c r="G31" s="80"/>
      <c r="H31" s="80"/>
      <c r="I31" s="80"/>
      <c r="J31" s="80"/>
    </row>
    <row r="32" spans="1:10" s="5" customFormat="1" ht="14.25" customHeight="1">
      <c r="A32" s="83" t="s">
        <v>53</v>
      </c>
      <c r="B32" s="89"/>
      <c r="C32" s="83" t="s">
        <v>54</v>
      </c>
      <c r="D32" s="89"/>
      <c r="E32" s="89"/>
      <c r="F32" s="27"/>
      <c r="G32" s="88">
        <v>0.71599999999999997</v>
      </c>
      <c r="H32" s="89"/>
      <c r="I32" s="88">
        <v>2.1058823529411769E-2</v>
      </c>
      <c r="J32" s="89"/>
    </row>
    <row r="33" spans="1:14" s="7" customFormat="1" ht="24.95" customHeight="1">
      <c r="A33" s="79" t="s">
        <v>55</v>
      </c>
      <c r="B33" s="80"/>
      <c r="C33" s="83" t="s">
        <v>56</v>
      </c>
      <c r="D33" s="80"/>
      <c r="E33" s="80"/>
      <c r="F33" s="83"/>
      <c r="G33" s="80"/>
      <c r="H33" s="80"/>
      <c r="I33" s="80"/>
      <c r="J33" s="80"/>
    </row>
    <row r="34" spans="1:14" s="5" customFormat="1" ht="14.25" customHeight="1">
      <c r="A34" s="83"/>
      <c r="B34" s="89"/>
      <c r="C34" s="83"/>
      <c r="D34" s="89"/>
      <c r="E34" s="89"/>
      <c r="F34" s="27"/>
      <c r="G34" s="88"/>
      <c r="H34" s="89"/>
      <c r="I34" s="88"/>
      <c r="J34" s="89"/>
    </row>
    <row r="35" spans="1:14" s="7" customFormat="1" ht="24.95" customHeight="1">
      <c r="A35" s="79"/>
      <c r="B35" s="80"/>
      <c r="C35" s="83"/>
      <c r="D35" s="80"/>
      <c r="E35" s="80"/>
      <c r="F35" s="83"/>
      <c r="G35" s="80"/>
      <c r="H35" s="80"/>
      <c r="I35" s="80"/>
      <c r="J35" s="80"/>
    </row>
    <row r="36" spans="1:14" s="5" customFormat="1" ht="14.25" customHeight="1">
      <c r="A36" s="83"/>
      <c r="B36" s="89"/>
      <c r="C36" s="83"/>
      <c r="D36" s="89"/>
      <c r="E36" s="89"/>
      <c r="F36" s="27"/>
      <c r="G36" s="88"/>
      <c r="H36" s="89"/>
      <c r="I36" s="88"/>
      <c r="J36" s="89"/>
    </row>
    <row r="37" spans="1:14" s="7" customFormat="1" ht="24.95" customHeight="1" thickBot="1">
      <c r="A37" s="79"/>
      <c r="B37" s="80"/>
      <c r="C37" s="83"/>
      <c r="D37" s="80"/>
      <c r="E37" s="80"/>
      <c r="F37" s="83"/>
      <c r="G37" s="80"/>
      <c r="H37" s="80"/>
      <c r="I37" s="80"/>
      <c r="J37" s="80"/>
    </row>
    <row r="38" spans="1:14" s="5" customFormat="1" ht="18" customHeight="1">
      <c r="A38" s="118" t="s">
        <v>58</v>
      </c>
      <c r="B38" s="119"/>
      <c r="C38" s="119"/>
      <c r="D38" s="120"/>
      <c r="E38" s="93" t="s">
        <v>59</v>
      </c>
      <c r="F38" s="94"/>
      <c r="G38" s="78"/>
      <c r="H38" s="121" t="s">
        <v>60</v>
      </c>
      <c r="I38" s="122"/>
      <c r="J38" s="28" t="s">
        <v>61</v>
      </c>
    </row>
    <row r="39" spans="1:14" s="7" customFormat="1" ht="18" customHeight="1">
      <c r="A39" s="123" t="str">
        <f>_xlfn.XLOOKUP(B3,[1]VFDB2!A:A,[1]VFDB2!B:B)</f>
        <v>PK-59827 L=500</v>
      </c>
      <c r="B39" s="124"/>
      <c r="C39" s="124"/>
      <c r="D39" s="125"/>
      <c r="E39" s="129" t="str" cm="1">
        <f t="array" ref="E39">IFERROR(IF(ISBLANK(INDEX(_xlfn._xlws.FILTER([1]加工記録２!$C$3:$C$445, [1]加工記録２!$T$3:$T$445=B5), 6)), "", INDEX(_xlfn._xlws.FILTER([1]加工記録２!$C$3:$C$445, [1]加工記録２!$T$3:$T$445=B5), 6)),"")</f>
        <v>PK-59827 L=500用</v>
      </c>
      <c r="F39" s="130"/>
      <c r="G39" s="135" cm="1">
        <f t="array" ref="G39">IFERROR(IF(ISBLANK(INDEX(_xlfn._xlws.FILTER([1]加工記録２!$B$3:$B$445, [1]加工記録２!$T$3:$T$445=B5), 7)), "", INDEX(_xlfn._xlws.FILTER([1]加工記録２!$B$3:$B$445, [1]加工記録２!$T$3:$T$445=B5), 7)),"")</f>
        <v>21</v>
      </c>
      <c r="H39" s="29" t="s">
        <v>62</v>
      </c>
      <c r="I39" s="30" cm="1">
        <f t="array" ref="I39:J39">IFERROR(IF(ISBLANK(INDEX(_xlfn._xlws.FILTER([1]加工記録２!$O$3:$P$445, [1]加工記録２!$T$3:$T$445=B5), 1)), "", INDEX(_xlfn._xlws.FILTER([1]加工記録２!$O$3:$P$445, [1]加工記録２!$T$3:$T$445=B5), 1)),"")</f>
        <v>45832</v>
      </c>
      <c r="J39" s="31">
        <v>39</v>
      </c>
    </row>
    <row r="40" spans="1:14" s="5" customFormat="1" ht="18" customHeight="1">
      <c r="A40" s="126"/>
      <c r="B40" s="127"/>
      <c r="C40" s="127"/>
      <c r="D40" s="128"/>
      <c r="E40" s="131"/>
      <c r="F40" s="132"/>
      <c r="G40" s="136"/>
      <c r="H40" s="29" t="s">
        <v>63</v>
      </c>
      <c r="I40" s="32" cm="1">
        <f t="array" ref="I40:J40">IFERROR(IF(ISBLANK(INDEX(_xlfn._xlws.FILTER([1]加工記録２!$O$3:$P$445, [1]加工記録２!$T$3:$T$445=B5), 2)), "", INDEX(_xlfn._xlws.FILTER([1]加工記録２!$O$3:$P$445, [1]加工記録２!$T$3:$T$445=B5), 2)),"")</f>
        <v>716</v>
      </c>
      <c r="J40" s="33">
        <v>7</v>
      </c>
      <c r="K40" s="34"/>
    </row>
    <row r="41" spans="1:14" s="7" customFormat="1" ht="18" customHeight="1">
      <c r="A41" s="137" t="s">
        <v>64</v>
      </c>
      <c r="B41" s="151" t="str">
        <f>_xlfn.XLOOKUP(B3,[1]!テーブル5[品目コード],[1]!テーブル5[温度換算],,)</f>
        <v>〇</v>
      </c>
      <c r="C41" s="153" t="s">
        <v>65</v>
      </c>
      <c r="D41" s="155">
        <f>_xlfn.XLOOKUP(B3,[1]!テーブル5[品目コード],[1]!テーブル5[取数],,)</f>
        <v>3</v>
      </c>
      <c r="E41" s="129" t="str">
        <f>_xlfn.XLOOKUP(B3,[1]!テーブル5[品目コード],[1]!テーブル5[備考１],,)</f>
        <v>11×２束+12✕1束＝34本</v>
      </c>
      <c r="F41" s="145"/>
      <c r="G41" s="146"/>
      <c r="H41" s="35" t="s">
        <v>66</v>
      </c>
      <c r="I41" s="32" cm="1">
        <f t="array" ref="I41:J41">IFERROR(IF(ISBLANK(INDEX(_xlfn._xlws.FILTER([1]加工記録２!$O$3:$P$445, [1]加工記録２!$T$3:$T$445=B5), 3)), "", INDEX(_xlfn._xlws.FILTER([1]加工記録２!$O$3:$P$445, [1]加工記録２!$T$3:$T$445=B5), 3)),"")</f>
        <v>259</v>
      </c>
      <c r="J41" s="36" t="str">
        <v/>
      </c>
      <c r="K41" s="37"/>
    </row>
    <row r="42" spans="1:14" s="5" customFormat="1" ht="18" customHeight="1">
      <c r="A42" s="150"/>
      <c r="B42" s="152"/>
      <c r="C42" s="154"/>
      <c r="D42" s="156"/>
      <c r="E42" s="131"/>
      <c r="F42" s="157"/>
      <c r="G42" s="158"/>
      <c r="H42" s="35" t="s">
        <v>67</v>
      </c>
      <c r="I42" s="32" cm="1">
        <f t="array" ref="I42:J42">IFERROR(IF(ISBLANK(INDEX(_xlfn._xlws.FILTER([1]加工記録２!$O$3:$P$445, [1]加工記録２!$T$3:$T$445=B5), 4)), "", INDEX(_xlfn._xlws.FILTER([1]加工記録２!$O$3:$P$445, [1]加工記録２!$T$3:$T$445=B5), 4)),"")</f>
        <v>21</v>
      </c>
      <c r="J42" s="38" t="str">
        <v/>
      </c>
      <c r="K42" s="34"/>
    </row>
    <row r="43" spans="1:14" s="7" customFormat="1" ht="18" customHeight="1">
      <c r="A43" s="159" t="s">
        <v>68</v>
      </c>
      <c r="B43" s="161">
        <f>D3</f>
        <v>500</v>
      </c>
      <c r="C43" s="163" t="s">
        <v>69</v>
      </c>
      <c r="D43" s="143" t="str">
        <f>_xlfn.XLOOKUP(B3,[1]!テーブル5[品目コード],[1]!テーブル5[上限公差],,)</f>
        <v>+1</v>
      </c>
      <c r="E43" s="129" t="str">
        <f>_xlfn.XLOOKUP(B3,[1]!テーブル5[品目コード],[1]!テーブル5[備考２],,)</f>
        <v>両端5cm以上ラップ</v>
      </c>
      <c r="F43" s="145"/>
      <c r="G43" s="146"/>
      <c r="H43" s="35" t="s">
        <v>70</v>
      </c>
      <c r="I43" s="32" cm="1">
        <f t="array" ref="I43:J43">IFERROR(IF(ISBLANK(INDEX(_xlfn._xlws.FILTER([1]加工記録２!$O$3:$P$445, [1]加工記録２!$T$3:$T$445=B5), 5)), "", INDEX(_xlfn._xlws.FILTER([1]加工記録２!$O$3:$P$445, [1]加工記録２!$T$3:$T$445=B5), 5)),"")</f>
        <v>62</v>
      </c>
      <c r="J43" s="39" t="str">
        <v/>
      </c>
      <c r="K43" s="37"/>
    </row>
    <row r="44" spans="1:14" s="5" customFormat="1" ht="18" customHeight="1">
      <c r="A44" s="160"/>
      <c r="B44" s="162"/>
      <c r="C44" s="164"/>
      <c r="D44" s="165"/>
      <c r="E44" s="131"/>
      <c r="F44" s="157"/>
      <c r="G44" s="158"/>
      <c r="H44" s="35" t="s">
        <v>71</v>
      </c>
      <c r="I44" s="32" cm="1">
        <f t="array" ref="I44:J44">IFERROR(IF(ISBLANK(INDEX(_xlfn._xlws.FILTER([1]加工記録２!$O$3:$P$445, [1]加工記録２!$T$3:$T$445=B5), 6)), "", INDEX(_xlfn._xlws.FILTER([1]加工記録２!$O$3:$P$445, [1]加工記録２!$T$3:$T$445=B5), 6)),"")</f>
        <v>1</v>
      </c>
      <c r="J44" s="40" t="str">
        <v/>
      </c>
      <c r="K44" s="34"/>
    </row>
    <row r="45" spans="1:14" s="7" customFormat="1" ht="18" customHeight="1">
      <c r="A45" s="137" t="s">
        <v>72</v>
      </c>
      <c r="B45" s="139" t="str">
        <f>_xlfn.XLOOKUP(B3,[1]!テーブル5[品目コード],[1]!テーブル5[切断寸法],,)</f>
        <v>換算表確認</v>
      </c>
      <c r="C45" s="141" t="s">
        <v>73</v>
      </c>
      <c r="D45" s="143">
        <f>_xlfn.XLOOKUP(B3,[1]!テーブル5[品目コード],[1]!テーブル5[下限公差],,)</f>
        <v>-1</v>
      </c>
      <c r="E45" s="129" t="str">
        <f>_xlfn.XLOOKUP(B3,[1]!テーブル5[品目コード],[1]!テーブル5[梱包方法],,)</f>
        <v>ラベル2枚　長手 中央部分のみ貼付</v>
      </c>
      <c r="F45" s="145"/>
      <c r="G45" s="146"/>
      <c r="H45" s="35" t="s">
        <v>74</v>
      </c>
      <c r="I45" s="32" t="str" cm="1">
        <f t="array" ref="I45:J45">IFERROR(IF(ISBLANK(INDEX(_xlfn._xlws.FILTER([1]加工記録２!$O$3:$P$445, [1]加工記録２!$T$3:$T$445=B5), 7)), "", INDEX(_xlfn._xlws.FILTER([1]加工記録２!$O$3:$P$445, [1]加工記録２!$T$3:$T$445=B5), 7)),"")</f>
        <v>水野</v>
      </c>
      <c r="J45" s="41">
        <v>16</v>
      </c>
      <c r="K45" s="37"/>
    </row>
    <row r="46" spans="1:14" s="5" customFormat="1" ht="18" customHeight="1" thickBot="1">
      <c r="A46" s="138"/>
      <c r="B46" s="140"/>
      <c r="C46" s="142"/>
      <c r="D46" s="144"/>
      <c r="E46" s="147"/>
      <c r="F46" s="148"/>
      <c r="G46" s="149"/>
      <c r="H46" s="42" t="s">
        <v>75</v>
      </c>
      <c r="I46" s="43" t="str" cm="1">
        <f t="array" ref="I46:J46">IFERROR(IF(ISBLANK(INDEX(_xlfn._xlws.FILTER([1]加工記録２!$O$3:$P$445, [1]加工記録２!$T$3:$T$445=B5), 8)), "", INDEX(_xlfn._xlws.FILTER([1]加工記録２!$O$3:$P$445, [1]加工記録２!$T$3:$T$445=B5), 8)),"")</f>
        <v>高森・上野</v>
      </c>
      <c r="J46" s="44">
        <v>62</v>
      </c>
    </row>
    <row r="47" spans="1:14" s="55" customFormat="1" ht="18.95" customHeight="1">
      <c r="A47" s="45" t="s">
        <v>76</v>
      </c>
      <c r="B47" s="46" t="s">
        <v>77</v>
      </c>
      <c r="C47" s="47" t="s">
        <v>78</v>
      </c>
      <c r="D47" s="47" t="s">
        <v>79</v>
      </c>
      <c r="E47" s="48" t="s">
        <v>80</v>
      </c>
      <c r="F47" s="49" t="s">
        <v>81</v>
      </c>
      <c r="G47" s="50" t="s">
        <v>82</v>
      </c>
      <c r="H47" s="51" t="s">
        <v>83</v>
      </c>
      <c r="I47" s="52" t="s">
        <v>84</v>
      </c>
      <c r="J47" s="53" t="s">
        <v>85</v>
      </c>
      <c r="K47" s="54"/>
      <c r="L47" s="54"/>
      <c r="M47" s="54"/>
      <c r="N47" s="54"/>
    </row>
    <row r="48" spans="1:14" s="66" customFormat="1" ht="18.95" customHeight="1">
      <c r="A48" s="56" cm="1">
        <f t="array" ref="A48:J48">IFERROR(IF(ISBLANK(INDEX(_xlfn._xlws.FILTER([1]加工記録２!$D$3:$M$445, [1]加工記録２!$T$3:$T$445=B5), 1)), "", INDEX(_xlfn._xlws.FILTER([1]加工記録２!$D$3:$M$445, [1]加工記録２!$T$3:$T$445=B5), 1)),"")</f>
        <v>45664</v>
      </c>
      <c r="B48" s="57" t="str">
        <v>24L20-01</v>
      </c>
      <c r="C48" s="58" t="str">
        <v/>
      </c>
      <c r="D48" s="58" t="str">
        <v/>
      </c>
      <c r="E48" s="59" t="str">
        <v/>
      </c>
      <c r="F48" s="60" t="str">
        <v>24L20-01</v>
      </c>
      <c r="G48" s="61">
        <v>1</v>
      </c>
      <c r="H48" s="62">
        <v>0</v>
      </c>
      <c r="I48" s="63">
        <v>45832</v>
      </c>
      <c r="J48" s="64">
        <v>22</v>
      </c>
      <c r="K48" s="65"/>
      <c r="L48" s="65"/>
      <c r="M48" s="65"/>
      <c r="N48" s="65"/>
    </row>
    <row r="49" spans="1:14" s="66" customFormat="1" ht="18.95" customHeight="1">
      <c r="A49" s="56" cm="1">
        <f t="array" ref="A49:J49">IFERROR(IF(ISBLANK(INDEX(_xlfn._xlws.FILTER([1]加工記録２!$D$3:$M$445, [1]加工記録２!$T$3:$T$445=B5), 2)), "", INDEX(_xlfn._xlws.FILTER([1]加工記録２!$D$3:$M$445, [1]加工記録２!$T$3:$T$445=B5), 2)),"")</f>
        <v>45831</v>
      </c>
      <c r="B49" s="61" t="str">
        <v>25F11-01</v>
      </c>
      <c r="C49" s="61">
        <v>25</v>
      </c>
      <c r="D49" s="61">
        <v>500.07</v>
      </c>
      <c r="E49" s="67">
        <v>499.94</v>
      </c>
      <c r="F49" s="60" t="str">
        <v>25F11-01</v>
      </c>
      <c r="G49" s="61">
        <v>777</v>
      </c>
      <c r="H49" s="62">
        <v>259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56" cm="1">
        <f t="array" ref="A50:J50">IFERROR(IF(ISBLANK(INDEX(_xlfn._xlws.FILTER([1]加工記録２!$D$3:$M$445, [1]加工記録２!$T$3:$T$445=B5), 3)), "", INDEX(_xlfn._xlws.FILTER([1]加工記録２!$D$3:$M$445, [1]加工記録２!$T$3:$T$445=B5), 3)),"")</f>
        <v>45831</v>
      </c>
      <c r="B50" s="61" t="str">
        <v>25F11-01</v>
      </c>
      <c r="C50" s="61">
        <v>25</v>
      </c>
      <c r="D50" s="61">
        <v>500.07</v>
      </c>
      <c r="E50" s="67">
        <v>499.95</v>
      </c>
      <c r="F50" s="60" t="str">
        <v/>
      </c>
      <c r="G50" s="61" t="str">
        <v/>
      </c>
      <c r="H50" s="62" t="str">
        <v/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56" cm="1">
        <f t="array" ref="A51:J51">IFERROR(IF(ISBLANK(INDEX(_xlfn._xlws.FILTER([1]加工記録２!$D$3:$M$445, [1]加工記録２!$T$3:$T$445=B5), 4)), "", INDEX(_xlfn._xlws.FILTER([1]加工記録２!$D$3:$M$445, [1]加工記録２!$T$3:$T$445=B5), 4)),"")</f>
        <v>45832</v>
      </c>
      <c r="B51" s="61" t="str">
        <v>25F11-01</v>
      </c>
      <c r="C51" s="61">
        <v>23</v>
      </c>
      <c r="D51" s="61">
        <v>500</v>
      </c>
      <c r="E51" s="67">
        <v>500.05</v>
      </c>
      <c r="F51" s="60" t="str">
        <v/>
      </c>
      <c r="G51" s="61" t="str">
        <v/>
      </c>
      <c r="H51" s="62" t="str">
        <v/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56" cm="1">
        <f t="array" ref="A52:J52">IFERROR(IF(ISBLANK(INDEX(_xlfn._xlws.FILTER([1]加工記録２!$D$3:$M$445, [1]加工記録２!$T$3:$T$445=B5), 5)), "", INDEX(_xlfn._xlws.FILTER([1]加工記録２!$D$3:$M$445, [1]加工記録２!$T$3:$T$445=B5), 5)),"")</f>
        <v>45832</v>
      </c>
      <c r="B52" s="61" t="str">
        <v>25F11-01</v>
      </c>
      <c r="C52" s="61">
        <v>25</v>
      </c>
      <c r="D52" s="61">
        <v>500.07</v>
      </c>
      <c r="E52" s="67">
        <v>500.01</v>
      </c>
      <c r="F52" s="60" t="str">
        <v/>
      </c>
      <c r="G52" s="61" t="str">
        <v/>
      </c>
      <c r="H52" s="62" t="str">
        <v/>
      </c>
      <c r="I52" s="68" t="str">
        <v/>
      </c>
      <c r="J52" s="69" t="str">
        <v/>
      </c>
      <c r="K52" s="65"/>
      <c r="L52" s="65"/>
      <c r="M52" s="65"/>
      <c r="N52" s="65"/>
    </row>
    <row r="53" spans="1:14" s="66" customFormat="1" ht="18.95" customHeight="1">
      <c r="A53" s="56" cm="1">
        <f t="array" ref="A53:J53">IFERROR(IF(ISBLANK(INDEX(_xlfn._xlws.FILTER([1]加工記録２!$D$3:$M$445, [1]加工記録２!$T$3:$T$445=B5), 6)), "", INDEX(_xlfn._xlws.FILTER([1]加工記録２!$D$3:$M$445, [1]加工記録２!$T$3:$T$445=B5), 6)),"")</f>
        <v>45832</v>
      </c>
      <c r="B53" s="61" t="str">
        <v>25F11-01</v>
      </c>
      <c r="C53" s="61">
        <v>25</v>
      </c>
      <c r="D53" s="61">
        <v>500.07</v>
      </c>
      <c r="E53" s="67">
        <v>499.96</v>
      </c>
      <c r="F53" s="60" t="str">
        <v/>
      </c>
      <c r="G53" s="61" t="str">
        <v/>
      </c>
      <c r="H53" s="70" t="str">
        <v/>
      </c>
      <c r="I53" s="68" t="str">
        <v/>
      </c>
      <c r="J53" s="69" t="str">
        <v/>
      </c>
      <c r="K53" s="65"/>
      <c r="L53" s="65"/>
      <c r="M53" s="65"/>
      <c r="N53" s="65"/>
    </row>
    <row r="54" spans="1:14" s="66" customFormat="1" ht="18.95" customHeight="1">
      <c r="A54" s="56" t="str" cm="1">
        <f t="array" ref="A54:J54">IFERROR(IF(ISBLANK(INDEX(_xlfn._xlws.FILTER([1]加工記録２!$D$3:$M$445, [1]加工記録２!$T$3:$T$445=B5), 7)), "", INDEX(_xlfn._xlws.FILTER([1]加工記録２!$D$3:$M$445, [1]加工記録２!$T$3:$T$445=B5), 7)),"")</f>
        <v/>
      </c>
      <c r="B54" s="61" t="str">
        <v/>
      </c>
      <c r="C54" s="61" t="str">
        <v/>
      </c>
      <c r="D54" s="61" t="str">
        <v/>
      </c>
      <c r="E54" s="67" t="str">
        <v/>
      </c>
      <c r="F54" s="60" t="str">
        <v/>
      </c>
      <c r="G54" s="61" t="str">
        <v/>
      </c>
      <c r="H54" s="70" t="str">
        <v/>
      </c>
      <c r="I54" s="68" t="str">
        <v/>
      </c>
      <c r="J54" s="69" t="str">
        <v/>
      </c>
      <c r="K54" s="65"/>
      <c r="L54" s="65"/>
      <c r="M54" s="65"/>
      <c r="N54" s="65"/>
    </row>
    <row r="55" spans="1:14" s="66" customFormat="1" ht="18.95" customHeight="1" thickBot="1">
      <c r="A55" s="71" t="str" cm="1">
        <f t="array" aca="1" ref="A55" ca="1">IFERROR(F(ISBLANK(INDEX(_xlfn._xlws.FILTER([1]加工記録２!$D$3:$M$445, [1]加工記録２!$T$3:$T$445=B5), 8)), "", INDEX(_xlfn._xlws.FILTER([1]加工記録２!$D$3:$M$445, [1]加工記録２!$T$3:$T$445=B5), 8)),"")</f>
        <v/>
      </c>
      <c r="B55" s="72"/>
      <c r="C55" s="72"/>
      <c r="D55" s="72"/>
      <c r="E55" s="73"/>
      <c r="F55" s="74"/>
      <c r="G55" s="72"/>
      <c r="H55" s="75"/>
      <c r="I55" s="76"/>
      <c r="J55" s="77"/>
      <c r="K55" s="65"/>
      <c r="L55" s="65"/>
      <c r="M55" s="65"/>
      <c r="N55" s="65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38:D38"/>
    <mergeCell ref="H38:I38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F18:H18"/>
    <mergeCell ref="C31:E31"/>
    <mergeCell ref="G39:G40"/>
    <mergeCell ref="I32:J32"/>
    <mergeCell ref="I30:J30"/>
    <mergeCell ref="A30:B30"/>
    <mergeCell ref="B3:B4"/>
    <mergeCell ref="H10:J11"/>
    <mergeCell ref="C21:D21"/>
    <mergeCell ref="I23:J23"/>
    <mergeCell ref="C30:E30"/>
    <mergeCell ref="C23:D23"/>
    <mergeCell ref="F16:H16"/>
    <mergeCell ref="C22:D22"/>
    <mergeCell ref="F26:J26"/>
    <mergeCell ref="I21:J21"/>
    <mergeCell ref="C28:E28"/>
    <mergeCell ref="B1:D2"/>
    <mergeCell ref="I20:J20"/>
    <mergeCell ref="G12:G13"/>
    <mergeCell ref="C19:D19"/>
    <mergeCell ref="A28:B28"/>
    <mergeCell ref="F21:H21"/>
    <mergeCell ref="C25:E25"/>
    <mergeCell ref="B5:B6"/>
    <mergeCell ref="F19:H19"/>
    <mergeCell ref="A29:B29"/>
    <mergeCell ref="C29:E29"/>
    <mergeCell ref="A37:B37"/>
    <mergeCell ref="D3:D4"/>
    <mergeCell ref="A15:J15"/>
    <mergeCell ref="F35:J35"/>
    <mergeCell ref="C32:E32"/>
    <mergeCell ref="I19:J19"/>
    <mergeCell ref="A7:A8"/>
    <mergeCell ref="G10:G11"/>
    <mergeCell ref="F22:H22"/>
    <mergeCell ref="F5:H6"/>
    <mergeCell ref="C16:D16"/>
    <mergeCell ref="I16:J16"/>
    <mergeCell ref="I25:J25"/>
    <mergeCell ref="J4:J5"/>
    <mergeCell ref="F33:J33"/>
    <mergeCell ref="F3:H4"/>
    <mergeCell ref="I18:J18"/>
    <mergeCell ref="F7:G7"/>
    <mergeCell ref="F23:H23"/>
    <mergeCell ref="C20:D20"/>
    <mergeCell ref="A31:B31"/>
    <mergeCell ref="E5:E6"/>
    <mergeCell ref="F29:J29"/>
    <mergeCell ref="I12:J13"/>
    <mergeCell ref="G32:H32"/>
    <mergeCell ref="C3:C4"/>
    <mergeCell ref="G25:H25"/>
    <mergeCell ref="E3:E4"/>
    <mergeCell ref="E38:F38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</mergeCells>
  <phoneticPr fontId="2"/>
  <conditionalFormatting sqref="D50:D55">
    <cfRule type="cellIs" dxfId="0" priority="1" operator="equal">
      <formula>$D$49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2024-07-22T04:35:10Z</cp:lastPrinted>
  <dcterms:created xsi:type="dcterms:W3CDTF">2024-07-11T02:08:33Z</dcterms:created>
  <dcterms:modified xsi:type="dcterms:W3CDTF">2025-06-25T23:13:19Z</dcterms:modified>
</cp:coreProperties>
</file>