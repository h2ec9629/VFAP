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930E7624-9959-404B-AB20-47D4B11F5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G39" i="1" s="1"/>
  <c r="E45" i="1"/>
  <c r="D45" i="1"/>
  <c r="B45" i="1"/>
  <c r="E43" i="1"/>
  <c r="D43" i="1"/>
  <c r="B43" i="1"/>
  <c r="E41" i="1"/>
  <c r="D41" i="1"/>
  <c r="B41" i="1"/>
  <c r="E39" i="1"/>
  <c r="A39" i="1"/>
  <c r="A48" i="1" l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E102" i="1"/>
  <c r="D102" i="1"/>
  <c r="B102" i="1"/>
  <c r="E100" i="1"/>
  <c r="D100" i="1"/>
  <c r="B100" i="1"/>
  <c r="E98" i="1"/>
  <c r="D98" i="1"/>
  <c r="B98" i="1"/>
  <c r="E96" i="1"/>
  <c r="A96" i="1"/>
  <c r="G96" i="1" l="1"/>
  <c r="A105" i="1"/>
  <c r="I98" i="1" l="1" a="1"/>
  <c r="I98" i="1" s="1"/>
  <c r="I97" i="1" a="1"/>
  <c r="I97" i="1" s="1"/>
  <c r="I103" i="1" a="1"/>
  <c r="I103" i="1" s="1"/>
  <c r="I96" i="1" a="1"/>
  <c r="I96" i="1" s="1"/>
  <c r="I102" i="1" a="1"/>
  <c r="I102" i="1" s="1"/>
  <c r="I101" i="1" a="1"/>
  <c r="I101" i="1" s="1"/>
  <c r="I100" i="1" a="1"/>
  <c r="I100" i="1" s="1"/>
  <c r="I99" i="1" a="1"/>
  <c r="I99" i="1" s="1"/>
  <c r="I46" i="1" a="1"/>
  <c r="I46" i="1" s="1"/>
  <c r="I43" i="1" a="1"/>
  <c r="I43" i="1" s="1"/>
  <c r="I42" i="1" a="1"/>
  <c r="I42" i="1" s="1"/>
  <c r="I39" i="1" a="1"/>
  <c r="I39" i="1" s="1"/>
  <c r="I45" i="1" a="1"/>
  <c r="I45" i="1" s="1"/>
  <c r="I41" i="1" a="1"/>
  <c r="I41" i="1" s="1"/>
  <c r="I44" i="1" a="1"/>
  <c r="I44" i="1" s="1"/>
  <c r="I40" i="1" a="1"/>
  <c r="I4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<sst xmlns="http://schemas.openxmlformats.org/spreadsheetml/2006/main" count="192" uniqueCount="102">
  <si>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</si>
  <si>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</si>
  <si>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</si>
  <si>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</si>
  <si>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</si>
  <si>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</si>
  <si>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</si>
  <si>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</si>
  <si>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</si>
  <si>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000000000003690</t>
  </si>
  <si>
    <t>原料名</t>
  </si>
  <si>
    <t>(CASE 297MILK-W4)</t>
  </si>
  <si>
    <t>発注明細№</t>
  </si>
  <si>
    <t>000000000758108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</si>
  <si>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</si>
  <si>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</si>
  <si>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</si>
  <si>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</si>
  <si>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</si>
  <si>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</si>
  <si>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</si>
  <si>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</si>
  <si>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</si>
  <si>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</si>
  <si>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</si>
  <si>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</si>
  <si>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</si>
  <si>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</si>
  <si>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</si>
  <si>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</si>
  <si>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</si>
  <si>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</si>
  <si>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</si>
  <si>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</si>
  <si>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</si>
  <si>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</si>
  <si>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</si>
  <si>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</si>
  <si>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</si>
  <si>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</si>
  <si>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</si>
  <si>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</si>
  <si>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</si>
  <si>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</si>
  <si>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</si>
  <si>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</si>
  <si>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</si>
  <si>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</si>
  <si>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</si>
  <si>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</si>
  <si>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</si>
  <si>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</si>
  <si>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</si>
  <si>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</si>
  <si>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</si>
  <si>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</si>
  <si>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</si>
  <si>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</si>
  <si>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</si>
  <si>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</si>
  <si>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</t>
  </si>
  <si>
    <t>*J6XX0051*</t>
  </si>
  <si>
    <t>0.02×950×100m</t>
  </si>
  <si>
    <t>J1JAZZB10814780</t>
  </si>
  <si>
    <t>8FL2813046110</t>
  </si>
  <si>
    <t>000000000003691</t>
  </si>
  <si>
    <t>(CASE 1478MILK-W4)</t>
  </si>
  <si>
    <t>000000000758109</t>
  </si>
  <si>
    <t>*J1JAZZB10814780*</t>
  </si>
  <si>
    <t>J6DW0092</t>
  </si>
  <si>
    <t>LED-A1478</t>
  </si>
  <si>
    <t>*J6DW0092*</t>
  </si>
  <si>
    <t>L1478×W275×H166</t>
  </si>
  <si>
    <t>J6DW0086</t>
    <phoneticPr fontId="2"/>
  </si>
  <si>
    <t>製品名</t>
    <phoneticPr fontId="2"/>
  </si>
  <si>
    <t>加工内容</t>
    <rPh sb="0" eb="2">
      <t>カコウ</t>
    </rPh>
    <rPh sb="2" eb="4">
      <t>ナイヨウ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</si>
  <si>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</si>
  <si>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</si>
  <si>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</si>
  <si>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</si>
  <si>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</si>
  <si>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</si>
  <si>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</si>
  <si>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</si>
  <si>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</si>
  <si>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</si>
  <si>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</si>
  <si>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</si>
  <si>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</si>
  <si>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</si>
  <si>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</si>
  <si>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</si>
  <si>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</si>
  <si>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</si>
  <si>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</si>
  <si>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</si>
  <si>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B.加工数</t>
    <phoneticPr fontId="2"/>
  </si>
  <si>
    <t>C.基材換算</t>
    <phoneticPr fontId="2"/>
  </si>
  <si>
    <t>加工Lot</t>
    <phoneticPr fontId="2"/>
  </si>
  <si>
    <t>箱数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</si>
  <si>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</si>
  <si>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不良内訳</t>
    <rPh sb="0" eb="2">
      <t>フリョウ</t>
    </rPh>
    <rPh sb="2" eb="4">
      <t>ウチワケ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</si>
</sst>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#,##0_ "/>
    <numFmt numFmtId="179" formatCode="#"/>
    <numFmt numFmtId="180" formatCode="m&quot;月&quot;d&quot;日&quot;;@"/>
    <numFmt numFmtId="181" formatCode="&quot;L=&quot;0.0_ "/>
    <numFmt numFmtId="182" formatCode="0.00_ "/>
    <numFmt numFmtId="183" formatCode="m/d"/>
    <numFmt numFmtId="184" formatCode="yy\,mm\,dd"/>
    <numFmt numFmtId="185" formatCode="#&quot;箱&quot;"/>
    <numFmt numFmtId="186" formatCode="&quot;キズ &quot;#"/>
    <numFmt numFmtId="187" formatCode="&quot;凹み &quot;#"/>
    <numFmt numFmtId="188" formatCode="&quot;異物 &quot;#"/>
    <numFmt numFmtId="189" formatCode="&quot;欠け &quot;#"/>
    <numFmt numFmtId="190" formatCode="&quot;ﾒﾔﾆ &quot;#"/>
    <numFmt numFmtId="191" formatCode="&quot;ﾍﾞｺﾂｷ &quot;#"/>
    <numFmt numFmtId="192" formatCode="&quot;その他 &quot;#"/>
    <numFmt numFmtId="193" formatCode="#&quot;枚使用&quot;"/>
    <numFmt numFmtId="194" formatCode="&quot;合計 &quot;0"/>
  </numFmts>
  <fonts count="2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5" fillId="0" borderId="2" xfId="1" applyFont="1" applyBorder="1" applyAlignment="1">
      <alignment horizontal="center" vertical="center" shrinkToFit="1"/>
    </xf>
    <xf numFmtId="49" fontId="19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2" fillId="0" borderId="34" xfId="1" applyNumberFormat="1" applyFont="1" applyBorder="1" applyAlignment="1">
      <alignment horizontal="center" vertical="center" shrinkToFit="1"/>
    </xf>
    <xf numFmtId="0" fontId="25" fillId="5" borderId="19" xfId="0" applyFont="1" applyFill="1" applyBorder="1" applyAlignment="1">
      <alignment horizontal="center" vertical="center"/>
    </xf>
    <xf numFmtId="49" fontId="25" fillId="5" borderId="20" xfId="1" applyNumberFormat="1" applyFont="1" applyFill="1" applyBorder="1" applyAlignment="1">
      <alignment vertical="center" shrinkToFit="1"/>
    </xf>
    <xf numFmtId="49" fontId="25" fillId="5" borderId="20" xfId="1" applyNumberFormat="1" applyFont="1" applyFill="1" applyBorder="1" applyAlignment="1">
      <alignment horizontal="center" vertical="center" shrinkToFit="1"/>
    </xf>
    <xf numFmtId="49" fontId="25" fillId="5" borderId="21" xfId="0" applyNumberFormat="1" applyFont="1" applyFill="1" applyBorder="1" applyAlignment="1">
      <alignment horizontal="center" vertical="center" shrinkToFit="1"/>
    </xf>
    <xf numFmtId="49" fontId="25" fillId="2" borderId="6" xfId="0" applyNumberFormat="1" applyFont="1" applyFill="1" applyBorder="1" applyAlignment="1">
      <alignment horizontal="center" vertical="center" shrinkToFit="1"/>
    </xf>
    <xf numFmtId="49" fontId="25" fillId="2" borderId="36" xfId="0" applyNumberFormat="1" applyFont="1" applyFill="1" applyBorder="1" applyAlignment="1">
      <alignment horizontal="center" vertical="center" shrinkToFit="1"/>
    </xf>
    <xf numFmtId="0" fontId="26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183" fontId="22" fillId="0" borderId="24" xfId="0" applyNumberFormat="1" applyFont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horizontal="center" vertical="center"/>
    </xf>
    <xf numFmtId="182" fontId="22" fillId="4" borderId="38" xfId="0" applyNumberFormat="1" applyFont="1" applyFill="1" applyBorder="1" applyAlignment="1">
      <alignment horizontal="center" vertical="center"/>
    </xf>
    <xf numFmtId="184" fontId="22" fillId="0" borderId="24" xfId="0" applyNumberFormat="1" applyFont="1" applyBorder="1" applyAlignment="1">
      <alignment horizontal="center" vertical="center"/>
    </xf>
    <xf numFmtId="185" fontId="22" fillId="0" borderId="25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0" fontId="22" fillId="0" borderId="2" xfId="0" applyFont="1" applyBorder="1" applyAlignment="1">
      <alignment horizontal="center" vertical="center"/>
    </xf>
    <xf numFmtId="182" fontId="22" fillId="0" borderId="25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3" fontId="22" fillId="0" borderId="29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182" fontId="22" fillId="0" borderId="35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84" fontId="22" fillId="0" borderId="29" xfId="0" applyNumberFormat="1" applyFont="1" applyBorder="1" applyAlignment="1">
      <alignment horizontal="center" vertical="center"/>
    </xf>
    <xf numFmtId="185" fontId="22" fillId="0" borderId="35" xfId="0" applyNumberFormat="1" applyFont="1" applyBorder="1" applyAlignment="1">
      <alignment horizontal="center" vertical="center"/>
    </xf>
    <xf numFmtId="180" fontId="5" fillId="0" borderId="2" xfId="1" applyNumberFormat="1" applyFont="1" applyBorder="1" applyAlignment="1">
      <alignment horizontal="center" vertical="center" shrinkToFit="1"/>
    </xf>
    <xf numFmtId="0" fontId="25" fillId="2" borderId="39" xfId="0" applyFont="1" applyFill="1" applyBorder="1">
      <alignment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184" fontId="22" fillId="0" borderId="42" xfId="0" applyNumberFormat="1" applyFont="1" applyBorder="1" applyAlignment="1">
      <alignment horizontal="center" vertical="center"/>
    </xf>
    <xf numFmtId="185" fontId="22" fillId="0" borderId="43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87" fontId="17" fillId="0" borderId="25" xfId="0" applyNumberFormat="1" applyFont="1" applyBorder="1" applyAlignment="1">
      <alignment horizontal="left" vertical="center" shrinkToFit="1"/>
    </xf>
    <xf numFmtId="188" fontId="17" fillId="0" borderId="25" xfId="0" applyNumberFormat="1" applyFont="1" applyBorder="1" applyAlignment="1">
      <alignment horizontal="left" vertical="center" shrinkToFit="1"/>
    </xf>
    <xf numFmtId="189" fontId="17" fillId="0" borderId="25" xfId="0" applyNumberFormat="1" applyFont="1" applyBorder="1" applyAlignment="1">
      <alignment horizontal="left" vertical="center" shrinkToFit="1"/>
    </xf>
    <xf numFmtId="190" fontId="17" fillId="0" borderId="25" xfId="0" applyNumberFormat="1" applyFont="1" applyBorder="1" applyAlignment="1">
      <alignment horizontal="left" vertical="center" shrinkToFit="1"/>
    </xf>
    <xf numFmtId="191" fontId="17" fillId="0" borderId="25" xfId="0" applyNumberFormat="1" applyFont="1" applyBorder="1" applyAlignment="1">
      <alignment horizontal="left" vertical="center" shrinkToFit="1"/>
    </xf>
    <xf numFmtId="192" fontId="17" fillId="0" borderId="25" xfId="0" applyNumberFormat="1" applyFont="1" applyBorder="1" applyAlignment="1">
      <alignment horizontal="left" vertical="center" shrinkToFit="1"/>
    </xf>
    <xf numFmtId="186" fontId="17" fillId="0" borderId="36" xfId="0" applyNumberFormat="1" applyFont="1" applyBorder="1" applyAlignment="1">
      <alignment horizontal="left" vertical="center" shrinkToFit="1"/>
    </xf>
    <xf numFmtId="194" fontId="17" fillId="0" borderId="35" xfId="0" applyNumberFormat="1" applyFont="1" applyBorder="1" applyAlignment="1">
      <alignment horizontal="left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182" fontId="20" fillId="0" borderId="3" xfId="0" applyNumberFormat="1" applyFont="1" applyBorder="1" applyAlignment="1">
      <alignment horizontal="center" vertical="center"/>
    </xf>
    <xf numFmtId="182" fontId="20" fillId="0" borderId="30" xfId="0" applyNumberFormat="1" applyFont="1" applyBorder="1" applyAlignment="1">
      <alignment horizontal="center" vertical="center"/>
    </xf>
    <xf numFmtId="49" fontId="24" fillId="2" borderId="28" xfId="1" applyNumberFormat="1" applyFont="1" applyFill="1" applyBorder="1" applyAlignment="1">
      <alignment horizontal="center" vertical="center" shrinkToFit="1"/>
    </xf>
    <xf numFmtId="49" fontId="24" fillId="2" borderId="31" xfId="1" applyNumberFormat="1" applyFont="1" applyFill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79" fontId="20" fillId="6" borderId="22" xfId="0" applyNumberFormat="1" applyFont="1" applyFill="1" applyBorder="1" applyAlignment="1">
      <alignment horizontal="left" vertical="center" shrinkToFit="1"/>
    </xf>
    <xf numFmtId="179" fontId="20" fillId="6" borderId="14" xfId="0" applyNumberFormat="1" applyFont="1" applyFill="1" applyBorder="1" applyAlignment="1">
      <alignment horizontal="left" vertical="center" shrinkToFit="1"/>
    </xf>
    <xf numFmtId="179" fontId="20" fillId="6" borderId="23" xfId="0" applyNumberFormat="1" applyFont="1" applyFill="1" applyBorder="1" applyAlignment="1">
      <alignment horizontal="left" vertical="center" shrinkToFit="1"/>
    </xf>
    <xf numFmtId="179" fontId="20" fillId="6" borderId="26" xfId="0" applyNumberFormat="1" applyFont="1" applyFill="1" applyBorder="1" applyAlignment="1">
      <alignment horizontal="left" vertical="center" shrinkToFit="1"/>
    </xf>
    <xf numFmtId="179" fontId="20" fillId="6" borderId="10" xfId="0" applyNumberFormat="1" applyFont="1" applyFill="1" applyBorder="1" applyAlignment="1">
      <alignment horizontal="left" vertical="center" shrinkToFit="1"/>
    </xf>
    <xf numFmtId="179" fontId="20" fillId="6" borderId="27" xfId="0" applyNumberFormat="1" applyFont="1" applyFill="1" applyBorder="1" applyAlignment="1">
      <alignment horizontal="left" vertical="center" shrinkToFit="1"/>
    </xf>
    <xf numFmtId="179" fontId="20" fillId="6" borderId="45" xfId="0" applyNumberFormat="1" applyFont="1" applyFill="1" applyBorder="1" applyAlignment="1">
      <alignment horizontal="left" vertical="center" shrinkToFit="1"/>
    </xf>
    <xf numFmtId="179" fontId="20" fillId="6" borderId="7" xfId="0" applyNumberFormat="1" applyFont="1" applyFill="1" applyBorder="1" applyAlignment="1">
      <alignment horizontal="left" vertical="center" shrinkToFit="1"/>
    </xf>
    <xf numFmtId="179" fontId="20" fillId="6" borderId="32" xfId="0" applyNumberFormat="1" applyFont="1" applyFill="1" applyBorder="1" applyAlignment="1">
      <alignment horizontal="left"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5" fillId="0" borderId="22" xfId="1" applyFont="1" applyBorder="1" applyAlignment="1">
      <alignment horizontal="left" vertical="center" shrinkToFit="1"/>
    </xf>
    <xf numFmtId="0" fontId="15" fillId="0" borderId="14" xfId="1" applyFont="1" applyBorder="1" applyAlignment="1">
      <alignment horizontal="left" vertical="center" shrinkToFit="1"/>
    </xf>
    <xf numFmtId="0" fontId="15" fillId="0" borderId="23" xfId="1" applyFont="1" applyBorder="1" applyAlignment="1">
      <alignment horizontal="left" vertical="center" shrinkToFit="1"/>
    </xf>
    <xf numFmtId="0" fontId="15" fillId="0" borderId="26" xfId="1" applyFont="1" applyBorder="1" applyAlignment="1">
      <alignment horizontal="left" vertical="center" shrinkToFit="1"/>
    </xf>
    <xf numFmtId="0" fontId="15" fillId="0" borderId="10" xfId="1" applyFont="1" applyBorder="1" applyAlignment="1">
      <alignment horizontal="left" vertical="center" shrinkToFit="1"/>
    </xf>
    <xf numFmtId="0" fontId="15" fillId="0" borderId="27" xfId="1" applyFont="1" applyBorder="1" applyAlignment="1">
      <alignment horizontal="left" vertical="center" shrinkToFit="1"/>
    </xf>
    <xf numFmtId="0" fontId="14" fillId="2" borderId="39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1" fillId="0" borderId="23" xfId="1" applyFont="1" applyBorder="1" applyAlignment="1">
      <alignment horizontal="center" vertical="center" shrinkToFit="1"/>
    </xf>
    <xf numFmtId="0" fontId="21" fillId="0" borderId="27" xfId="1" applyFont="1" applyBorder="1" applyAlignment="1">
      <alignment horizontal="center" vertical="center" shrinkToFit="1"/>
    </xf>
    <xf numFmtId="49" fontId="14" fillId="2" borderId="42" xfId="1" applyNumberFormat="1" applyFont="1" applyFill="1" applyBorder="1" applyAlignment="1">
      <alignment horizontal="center" vertical="center" shrinkToFit="1"/>
    </xf>
    <xf numFmtId="49" fontId="14" fillId="2" borderId="39" xfId="1" applyNumberFormat="1" applyFont="1" applyFill="1" applyBorder="1" applyAlignment="1">
      <alignment horizontal="center" vertical="center" shrinkToFit="1"/>
    </xf>
    <xf numFmtId="181" fontId="20" fillId="0" borderId="3" xfId="0" applyNumberFormat="1" applyFont="1" applyBorder="1" applyAlignment="1">
      <alignment horizontal="center" vertical="center"/>
    </xf>
    <xf numFmtId="181" fontId="20" fillId="0" borderId="6" xfId="0" applyNumberFormat="1" applyFont="1" applyBorder="1" applyAlignment="1">
      <alignment horizontal="center" vertical="center"/>
    </xf>
    <xf numFmtId="49" fontId="24" fillId="2" borderId="28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1" fillId="0" borderId="0" xfId="0" applyFont="1">
      <alignment vertical="center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0" fontId="22" fillId="3" borderId="1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179" fontId="20" fillId="6" borderId="15" xfId="0" applyNumberFormat="1" applyFont="1" applyFill="1" applyBorder="1" applyAlignment="1">
      <alignment horizontal="left" vertical="center" shrinkToFit="1"/>
    </xf>
    <xf numFmtId="179" fontId="20" fillId="6" borderId="12" xfId="0" applyNumberFormat="1" applyFont="1" applyFill="1" applyBorder="1" applyAlignment="1">
      <alignment horizontal="left" vertical="center" shrinkToFit="1"/>
    </xf>
    <xf numFmtId="193" fontId="5" fillId="0" borderId="43" xfId="1" applyNumberFormat="1" applyFont="1" applyBorder="1" applyAlignment="1">
      <alignment horizontal="center" vertical="center" shrinkToFit="1"/>
    </xf>
    <xf numFmtId="193" fontId="5" fillId="0" borderId="36" xfId="1" applyNumberFormat="1" applyFont="1" applyBorder="1" applyAlignment="1">
      <alignment horizontal="center" vertical="center" shrinkToFit="1"/>
    </xf>
    <xf numFmtId="49" fontId="6" fillId="4" borderId="21" xfId="1" applyNumberFormat="1" applyFont="1" applyFill="1" applyBorder="1" applyAlignment="1">
      <alignment horizontal="center" vertical="center" shrinkToFit="1"/>
    </xf>
    <xf numFmtId="179" fontId="17" fillId="0" borderId="24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190501</xdr:colOff>
      <xdr:row>3</xdr:row>
      <xdr:rowOff>57151</xdr:rowOff>
    </xdr:from>
    <xdr:to>
      <xdr:col>9</xdr:col>
      <xdr:colOff>666751</xdr:colOff>
      <xdr:row>5</xdr:row>
      <xdr:rowOff>133351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B5F54B-30C6-914B-067A-E7054617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6" y="600076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60</xdr:row>
      <xdr:rowOff>66675</xdr:rowOff>
    </xdr:from>
    <xdr:to>
      <xdr:col>9</xdr:col>
      <xdr:colOff>685800</xdr:colOff>
      <xdr:row>62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09D52C9-840D-4F89-8A07-5D4F4015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138398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60</xdr:row>
      <xdr:rowOff>104776</xdr:rowOff>
    </xdr:from>
    <xdr:to>
      <xdr:col>8</xdr:col>
      <xdr:colOff>638176</xdr:colOff>
      <xdr:row>62</xdr:row>
      <xdr:rowOff>161926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BBCF719-C5D1-0229-ECC7-637CCD6F6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6" y="138779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76200</xdr:rowOff>
    </xdr:from>
    <xdr:to>
      <xdr:col>8</xdr:col>
      <xdr:colOff>628650</xdr:colOff>
      <xdr:row>5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2711732-E362-E99A-77DA-C877730C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19125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393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105</v>
          </cell>
          <cell r="T6" t="str">
            <v>000000000003340</v>
          </cell>
        </row>
        <row r="7">
          <cell r="G7" t="str">
            <v/>
          </cell>
          <cell r="J7" t="str">
            <v/>
          </cell>
          <cell r="O7">
            <v>105</v>
          </cell>
          <cell r="P7">
            <v>1</v>
          </cell>
          <cell r="T7" t="str">
            <v>000000000003340</v>
          </cell>
        </row>
        <row r="8"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O10" t="str">
            <v>-</v>
          </cell>
          <cell r="P10">
            <v>105</v>
          </cell>
          <cell r="T10" t="str">
            <v>000000000003340</v>
          </cell>
        </row>
        <row r="11"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G16" t="str">
            <v/>
          </cell>
          <cell r="J16" t="str">
            <v/>
          </cell>
          <cell r="T16" t="str">
            <v>000000000003339</v>
          </cell>
        </row>
        <row r="17"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O18" t="str">
            <v>-</v>
          </cell>
          <cell r="P18">
            <v>27</v>
          </cell>
          <cell r="T18" t="str">
            <v>000000000003339</v>
          </cell>
        </row>
        <row r="19">
          <cell r="I19" t="str">
            <v>25D10-01</v>
          </cell>
          <cell r="J19" t="str">
            <v/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K20">
            <v>0</v>
          </cell>
          <cell r="O20">
            <v>10</v>
          </cell>
          <cell r="T20" t="str">
            <v>Z002</v>
          </cell>
        </row>
        <row r="21"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G24" t="str">
            <v/>
          </cell>
          <cell r="J24" t="str">
            <v/>
          </cell>
          <cell r="T24" t="str">
            <v>Z002</v>
          </cell>
        </row>
        <row r="25"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O26" t="str">
            <v>-</v>
          </cell>
          <cell r="P26">
            <v>0</v>
          </cell>
          <cell r="T26" t="str">
            <v>Z002</v>
          </cell>
        </row>
        <row r="27">
          <cell r="I27" t="str">
            <v>25D11-01</v>
          </cell>
          <cell r="J27" t="str">
            <v/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K28">
            <v>0</v>
          </cell>
          <cell r="O28">
            <v>10</v>
          </cell>
          <cell r="T28" t="str">
            <v>Z001</v>
          </cell>
        </row>
        <row r="29"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G32" t="str">
            <v/>
          </cell>
          <cell r="J32" t="str">
            <v/>
          </cell>
          <cell r="T32" t="str">
            <v>Z001</v>
          </cell>
        </row>
        <row r="33"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O34" t="str">
            <v>-</v>
          </cell>
          <cell r="P34">
            <v>0</v>
          </cell>
          <cell r="T34" t="str">
            <v>Z001</v>
          </cell>
        </row>
        <row r="35"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714.5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D37">
            <v>45810</v>
          </cell>
          <cell r="E37" t="str">
            <v>25E26C</v>
          </cell>
          <cell r="G37">
            <v>714.5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714.5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G39">
            <v>714.5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G40">
            <v>714.5</v>
          </cell>
          <cell r="J40" t="str">
            <v/>
          </cell>
          <cell r="T40" t="str">
            <v>000000000003627</v>
          </cell>
        </row>
        <row r="41">
          <cell r="G41">
            <v>714.5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714.5</v>
          </cell>
          <cell r="J42" t="str">
            <v/>
          </cell>
          <cell r="O42" t="str">
            <v>-</v>
          </cell>
          <cell r="P42">
            <v>0</v>
          </cell>
          <cell r="T42" t="str">
            <v>000000000003627</v>
          </cell>
        </row>
        <row r="43"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664.5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D45">
            <v>45811</v>
          </cell>
          <cell r="E45" t="str">
            <v>25E26C</v>
          </cell>
          <cell r="G45">
            <v>664.5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664.5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G47">
            <v>664.5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G48">
            <v>664.5</v>
          </cell>
          <cell r="J48" t="str">
            <v/>
          </cell>
          <cell r="T48" t="str">
            <v>000000000003626</v>
          </cell>
        </row>
        <row r="49">
          <cell r="G49">
            <v>664.5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664.5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651.5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D53">
            <v>45811</v>
          </cell>
          <cell r="E53" t="str">
            <v>25E24A</v>
          </cell>
          <cell r="G53">
            <v>651.5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651.5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D55">
            <v>45811</v>
          </cell>
          <cell r="E55" t="str">
            <v>25E26B</v>
          </cell>
          <cell r="G55">
            <v>651.5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G56">
            <v>651.5</v>
          </cell>
          <cell r="J56" t="str">
            <v/>
          </cell>
          <cell r="T56" t="str">
            <v>000000000003625</v>
          </cell>
        </row>
        <row r="57">
          <cell r="G57">
            <v>651.5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651.5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632.5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D61">
            <v>45812</v>
          </cell>
          <cell r="E61" t="str">
            <v>25E23C</v>
          </cell>
          <cell r="G61">
            <v>632.5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632.5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G63">
            <v>632.5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G64">
            <v>632.5</v>
          </cell>
          <cell r="J64" t="str">
            <v/>
          </cell>
          <cell r="T64" t="str">
            <v>000000000003624</v>
          </cell>
        </row>
        <row r="65">
          <cell r="G65">
            <v>632.5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632.5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564.5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D69">
            <v>45812</v>
          </cell>
          <cell r="E69" t="str">
            <v>25E23C</v>
          </cell>
          <cell r="G69">
            <v>564.5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564.5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G71">
            <v>564.5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G72">
            <v>564.5</v>
          </cell>
          <cell r="J72" t="str">
            <v/>
          </cell>
          <cell r="T72" t="str">
            <v>000000000003623</v>
          </cell>
        </row>
        <row r="73">
          <cell r="G73">
            <v>564.5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564.5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507.5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D77">
            <v>45812</v>
          </cell>
          <cell r="E77" t="str">
            <v>25E23C</v>
          </cell>
          <cell r="G77">
            <v>507.5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507.5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D79">
            <v>45812</v>
          </cell>
          <cell r="E79" t="str">
            <v>25E22B</v>
          </cell>
          <cell r="G79">
            <v>507.5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D80">
            <v>45812</v>
          </cell>
          <cell r="E80" t="str">
            <v>25E22B</v>
          </cell>
          <cell r="G80">
            <v>507.5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D81">
            <v>45813</v>
          </cell>
          <cell r="E81" t="str">
            <v>25E22B</v>
          </cell>
          <cell r="G81">
            <v>507.5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507.5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414.5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D85">
            <v>45813</v>
          </cell>
          <cell r="E85" t="str">
            <v>25E23C</v>
          </cell>
          <cell r="G85">
            <v>414.5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414.5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D87">
            <v>45813</v>
          </cell>
          <cell r="E87" t="str">
            <v>25E23B</v>
          </cell>
          <cell r="G87">
            <v>414.5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D88">
            <v>45813</v>
          </cell>
          <cell r="E88" t="str">
            <v>25A15B</v>
          </cell>
          <cell r="G88">
            <v>414.5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G89">
            <v>414.5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414.5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G96" t="str">
            <v/>
          </cell>
          <cell r="J96" t="str">
            <v/>
          </cell>
          <cell r="T96" t="str">
            <v>000000000003691</v>
          </cell>
        </row>
        <row r="97"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D109">
            <v>45817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D117">
            <v>45817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D119">
            <v>45818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I123" t="str">
            <v/>
          </cell>
          <cell r="J123" t="str">
            <v/>
          </cell>
          <cell r="O123">
            <v>0</v>
          </cell>
          <cell r="T123" t="str">
            <v>000000000004072</v>
          </cell>
        </row>
        <row r="124">
          <cell r="G124" t="str">
            <v/>
          </cell>
          <cell r="J124" t="str">
            <v/>
          </cell>
          <cell r="O124">
            <v>2000</v>
          </cell>
          <cell r="T124" t="str">
            <v>000000000004072</v>
          </cell>
        </row>
        <row r="125">
          <cell r="G125" t="str">
            <v/>
          </cell>
          <cell r="J125" t="str">
            <v/>
          </cell>
          <cell r="O125">
            <v>1000</v>
          </cell>
          <cell r="T125" t="str">
            <v>000000000004072</v>
          </cell>
        </row>
        <row r="126">
          <cell r="G126" t="str">
            <v/>
          </cell>
          <cell r="J126" t="str">
            <v/>
          </cell>
          <cell r="O126">
            <v>0</v>
          </cell>
          <cell r="T126" t="str">
            <v>000000000004072</v>
          </cell>
        </row>
        <row r="127">
          <cell r="G127" t="str">
            <v/>
          </cell>
          <cell r="J127" t="str">
            <v/>
          </cell>
          <cell r="O127">
            <v>0</v>
          </cell>
          <cell r="T127" t="str">
            <v>000000000004072</v>
          </cell>
        </row>
        <row r="128">
          <cell r="G128" t="str">
            <v/>
          </cell>
          <cell r="J128" t="str">
            <v/>
          </cell>
          <cell r="T128" t="str">
            <v>000000000004072</v>
          </cell>
        </row>
        <row r="129">
          <cell r="G129" t="str">
            <v/>
          </cell>
          <cell r="J129" t="str">
            <v/>
          </cell>
          <cell r="O129" t="str">
            <v>水野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0</v>
          </cell>
          <cell r="T130" t="str">
            <v>000000000004072</v>
          </cell>
        </row>
        <row r="131">
          <cell r="I131" t="str">
            <v/>
          </cell>
          <cell r="J131" t="str">
            <v/>
          </cell>
          <cell r="O131">
            <v>0</v>
          </cell>
          <cell r="T131" t="str">
            <v>000000000004071</v>
          </cell>
        </row>
        <row r="132">
          <cell r="G132" t="str">
            <v/>
          </cell>
          <cell r="J132" t="str">
            <v/>
          </cell>
          <cell r="O132">
            <v>2000</v>
          </cell>
          <cell r="T132" t="str">
            <v>000000000004071</v>
          </cell>
        </row>
        <row r="133">
          <cell r="G133" t="str">
            <v/>
          </cell>
          <cell r="J133" t="str">
            <v/>
          </cell>
          <cell r="O133">
            <v>1000</v>
          </cell>
          <cell r="T133" t="str">
            <v>000000000004071</v>
          </cell>
        </row>
        <row r="134">
          <cell r="G134" t="str">
            <v/>
          </cell>
          <cell r="J134" t="str">
            <v/>
          </cell>
          <cell r="O134">
            <v>0</v>
          </cell>
          <cell r="T134" t="str">
            <v>000000000004071</v>
          </cell>
        </row>
        <row r="135">
          <cell r="G135" t="str">
            <v/>
          </cell>
          <cell r="J135" t="str">
            <v/>
          </cell>
          <cell r="O135">
            <v>0</v>
          </cell>
          <cell r="T135" t="str">
            <v>000000000004071</v>
          </cell>
        </row>
        <row r="136">
          <cell r="G136" t="str">
            <v/>
          </cell>
          <cell r="J136" t="str">
            <v/>
          </cell>
          <cell r="T136" t="str">
            <v>000000000004071</v>
          </cell>
        </row>
        <row r="137">
          <cell r="G137" t="str">
            <v/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G138" t="str">
            <v/>
          </cell>
          <cell r="J138" t="str">
            <v/>
          </cell>
          <cell r="O138" t="str">
            <v>高森</v>
          </cell>
          <cell r="P138">
            <v>0</v>
          </cell>
          <cell r="T138" t="str">
            <v>000000000004071</v>
          </cell>
        </row>
        <row r="139">
          <cell r="I139" t="str">
            <v/>
          </cell>
          <cell r="J139" t="str">
            <v/>
          </cell>
          <cell r="O139">
            <v>0</v>
          </cell>
          <cell r="T139" t="str">
            <v>000000000002882</v>
          </cell>
        </row>
        <row r="140">
          <cell r="G140" t="str">
            <v/>
          </cell>
          <cell r="J140" t="str">
            <v/>
          </cell>
          <cell r="O140">
            <v>1020</v>
          </cell>
          <cell r="T140" t="str">
            <v>000000000002882</v>
          </cell>
        </row>
        <row r="141">
          <cell r="G141" t="str">
            <v/>
          </cell>
          <cell r="J141" t="str">
            <v/>
          </cell>
          <cell r="O141">
            <v>510</v>
          </cell>
          <cell r="T141" t="str">
            <v>000000000002882</v>
          </cell>
        </row>
        <row r="142">
          <cell r="G142" t="str">
            <v/>
          </cell>
          <cell r="J142" t="str">
            <v/>
          </cell>
          <cell r="O142">
            <v>0</v>
          </cell>
          <cell r="T142" t="str">
            <v>000000000002882</v>
          </cell>
        </row>
        <row r="143">
          <cell r="G143" t="str">
            <v/>
          </cell>
          <cell r="J143" t="str">
            <v/>
          </cell>
          <cell r="O143">
            <v>0</v>
          </cell>
          <cell r="T143" t="str">
            <v>000000000002882</v>
          </cell>
        </row>
        <row r="144">
          <cell r="G144" t="str">
            <v/>
          </cell>
          <cell r="J144" t="str">
            <v/>
          </cell>
          <cell r="T144" t="str">
            <v>000000000002882</v>
          </cell>
        </row>
        <row r="145">
          <cell r="G145" t="str">
            <v/>
          </cell>
          <cell r="J145" t="str">
            <v/>
          </cell>
          <cell r="O145" t="str">
            <v>水野</v>
          </cell>
          <cell r="T145" t="str">
            <v>000000000002882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0</v>
          </cell>
          <cell r="T146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J1JAZZB11411920</v>
          </cell>
          <cell r="B16" t="str">
            <v>NNN33000W</v>
          </cell>
        </row>
        <row r="17">
          <cell r="A17" t="str">
            <v>J1JAZZB11311920</v>
          </cell>
          <cell r="B17" t="str">
            <v>NNN35000W</v>
          </cell>
        </row>
        <row r="18">
          <cell r="A18" t="str">
            <v>J1JAZZB12514780</v>
          </cell>
          <cell r="B18" t="str">
            <v>NNN36500-3</v>
          </cell>
        </row>
        <row r="19">
          <cell r="A19" t="str">
            <v>J1JAZZB12511870</v>
          </cell>
          <cell r="B19" t="str">
            <v>NNN36500-3-2</v>
          </cell>
        </row>
        <row r="20">
          <cell r="A20" t="str">
            <v>J1JAZZB12508870</v>
          </cell>
          <cell r="B20" t="str">
            <v>NNN36500-3-3</v>
          </cell>
        </row>
        <row r="21">
          <cell r="A21" t="str">
            <v>J1JAZZB12505960</v>
          </cell>
          <cell r="B21" t="str">
            <v>NNN36500-3-4</v>
          </cell>
        </row>
        <row r="22">
          <cell r="A22" t="str">
            <v>J1ZAFJB00219660</v>
          </cell>
          <cell r="B22" t="str">
            <v>灯具カバーPC IN 2070　L=1966</v>
          </cell>
        </row>
        <row r="23">
          <cell r="A23" t="str">
            <v>J1ZAFJB00219230</v>
          </cell>
          <cell r="B23" t="str">
            <v>灯具カバーPC IN 2100　L=1923</v>
          </cell>
        </row>
        <row r="24">
          <cell r="A24" t="str">
            <v>J1ZAFJB00218150</v>
          </cell>
          <cell r="B24" t="str">
            <v>灯具カバーPC IN 2110　L=1815</v>
          </cell>
        </row>
        <row r="25">
          <cell r="A25" t="str">
            <v>J1ZAFJB00215400</v>
          </cell>
          <cell r="B25" t="str">
            <v>灯具カバーPC IN 2080　L=1540</v>
          </cell>
        </row>
        <row r="26">
          <cell r="A26" t="str">
            <v>J1ZAFJB00212585</v>
          </cell>
          <cell r="B26" t="str">
            <v>灯具カバーPC IN 2060　L=1258.5</v>
          </cell>
        </row>
        <row r="27">
          <cell r="A27" t="str">
            <v>J1ZAFJB00211835</v>
          </cell>
          <cell r="B27" t="str">
            <v>灯具カバーPC IN 2050　L=1183.5</v>
          </cell>
        </row>
        <row r="28">
          <cell r="A28" t="str">
            <v>J1ZAFJB00209080</v>
          </cell>
          <cell r="B28" t="str">
            <v>灯具カバーPC IN 2130　L=908</v>
          </cell>
        </row>
        <row r="29">
          <cell r="A29" t="str">
            <v>J1ZAFJB00208400</v>
          </cell>
          <cell r="B29" t="str">
            <v>灯具カバーPC IN 2090　L=840</v>
          </cell>
        </row>
        <row r="30">
          <cell r="A30" t="str">
            <v>J1ZAFJB00205470</v>
          </cell>
          <cell r="B30" t="str">
            <v>灯具カバーPC IN 2140　L=547</v>
          </cell>
        </row>
        <row r="31">
          <cell r="A31" t="str">
            <v>J1ZAFJB00212640</v>
          </cell>
          <cell r="B31" t="str">
            <v>灯具カバーPC IN 2490　L=1264</v>
          </cell>
        </row>
        <row r="32">
          <cell r="A32" t="str">
            <v>J1ZAFJB00212380</v>
          </cell>
          <cell r="B32" t="str">
            <v>灯具カバーPC IN 2500　L=1238</v>
          </cell>
        </row>
        <row r="33">
          <cell r="A33" t="str">
            <v>J1ZAFJB00212910</v>
          </cell>
          <cell r="B33" t="str">
            <v>灯具カバーPC IN 2460　L=1291</v>
          </cell>
        </row>
        <row r="34">
          <cell r="A34" t="str">
            <v>J1ZAFJB00216480</v>
          </cell>
          <cell r="B34" t="str">
            <v>灯具カバーPC IN 2470　L=1648</v>
          </cell>
        </row>
        <row r="35">
          <cell r="A35" t="str">
            <v>J1ZAFJB00209540</v>
          </cell>
          <cell r="B35" t="str">
            <v>灯具カバーPC IN 2480　L=954</v>
          </cell>
        </row>
        <row r="36">
          <cell r="A36" t="str">
            <v>J1ZAFJB00113340</v>
          </cell>
          <cell r="B36" t="str">
            <v>灯具カバーPC 7520  L=1334</v>
          </cell>
        </row>
        <row r="37">
          <cell r="A37" t="str">
            <v>J1ZAFJB00113095</v>
          </cell>
          <cell r="B37" t="str">
            <v>灯具カバーPC 2180  L=1309.5</v>
          </cell>
        </row>
        <row r="38">
          <cell r="A38" t="str">
            <v>J1ZAFJB00112790</v>
          </cell>
          <cell r="B38" t="str">
            <v>灯具カバーPC 2170  L=1279</v>
          </cell>
        </row>
        <row r="39">
          <cell r="A39" t="str">
            <v>J1ZAFJB00112400</v>
          </cell>
          <cell r="B39" t="str">
            <v>灯具カバーPC 2190  L=1240</v>
          </cell>
        </row>
        <row r="40">
          <cell r="A40" t="str">
            <v>J1ZAFJB00106133</v>
          </cell>
          <cell r="B40" t="str">
            <v>灯具カバーPC 2160  L=613.3</v>
          </cell>
        </row>
        <row r="41">
          <cell r="A41" t="str">
            <v>J1ZAFJB00105650</v>
          </cell>
          <cell r="B41" t="str">
            <v>灯具カバーPC 7530  L=565</v>
          </cell>
        </row>
        <row r="42">
          <cell r="A42" t="str">
            <v>J1ZAFJB00102218</v>
          </cell>
          <cell r="B42" t="str">
            <v>灯具カバーPC 2200  L=221.8</v>
          </cell>
        </row>
        <row r="43">
          <cell r="A43" t="str">
            <v>J1JAPAB00319960</v>
          </cell>
          <cell r="B43" t="str">
            <v>採光ルーバーパネルA　L=1996</v>
          </cell>
        </row>
        <row r="44">
          <cell r="A44" t="str">
            <v>J1JAPAB00419960</v>
          </cell>
          <cell r="B44" t="str">
            <v>採光ルーバーパネルB　L=1996</v>
          </cell>
        </row>
        <row r="45">
          <cell r="A45" t="str">
            <v>J1AKZYB00205000</v>
          </cell>
          <cell r="B45" t="str">
            <v>PK-59827 L=500</v>
          </cell>
        </row>
        <row r="46">
          <cell r="A46" t="str">
            <v>J1AKZYB00207000</v>
          </cell>
          <cell r="B46" t="str">
            <v>PK-59827 L=700</v>
          </cell>
        </row>
        <row r="47">
          <cell r="A47" t="str">
            <v>J1EAZZB03102750</v>
          </cell>
          <cell r="B47" t="str">
            <v>ハーネスガイド部材　L=275</v>
          </cell>
        </row>
        <row r="48">
          <cell r="A48" t="str">
            <v>J1AAEDB00825740</v>
          </cell>
          <cell r="B48" t="str">
            <v>MDP-689B L4　L=2574</v>
          </cell>
        </row>
        <row r="49">
          <cell r="A49" t="str">
            <v>J1AAEDB02825740</v>
          </cell>
          <cell r="B49" t="str">
            <v>MDPQ-689B L4 　L=2574　　</v>
          </cell>
        </row>
        <row r="50">
          <cell r="A50" t="str">
            <v>J1AAEZB00705860</v>
          </cell>
          <cell r="B50" t="str">
            <v>SRG-60D　L=586</v>
          </cell>
        </row>
        <row r="51">
          <cell r="A51" t="str">
            <v>J1AAEZB00708860</v>
          </cell>
          <cell r="B51" t="str">
            <v>SRG-90D　L=860</v>
          </cell>
        </row>
        <row r="52">
          <cell r="A52" t="str">
            <v>J1AAEZB00805860</v>
          </cell>
          <cell r="B52" t="str">
            <v>SRG-60U　L=586</v>
          </cell>
        </row>
        <row r="53">
          <cell r="A53" t="str">
            <v>J1AAEZB00808860</v>
          </cell>
          <cell r="B53" t="str">
            <v>SRG-90U　L=860</v>
          </cell>
        </row>
        <row r="54">
          <cell r="A54" t="str">
            <v>J1DAEZB00203000</v>
          </cell>
          <cell r="B54" t="str">
            <v>ﾃﾝｹﾝｺｳ(上)　L=300</v>
          </cell>
        </row>
        <row r="55">
          <cell r="A55" t="str">
            <v>J1DAEZB00204980</v>
          </cell>
          <cell r="B55" t="str">
            <v>ﾃﾝｹﾝｺｳ(上)　L=498</v>
          </cell>
        </row>
        <row r="56">
          <cell r="A56" t="str">
            <v>J1DAEZB00211680</v>
          </cell>
          <cell r="B56" t="str">
            <v>ﾃﾝｹﾝｺｳ(上)　L=1168</v>
          </cell>
        </row>
        <row r="57">
          <cell r="A57" t="str">
            <v>J1EAFZB02008740</v>
          </cell>
          <cell r="B57" t="str">
            <v>ﾏｴｶﾊﾞｰ(17F09810A)　L=874</v>
          </cell>
        </row>
        <row r="58">
          <cell r="A58" t="str">
            <v>J1EAFZB02011840</v>
          </cell>
          <cell r="B58" t="str">
            <v>ﾏｴｶﾊﾞｰ(17F09810B)　L=1184</v>
          </cell>
        </row>
        <row r="59">
          <cell r="A59" t="str">
            <v>J1EAFZB02014940</v>
          </cell>
          <cell r="B59" t="str">
            <v>ﾏｴｶﾊﾞｰ(17F09810C)　L=1494</v>
          </cell>
        </row>
        <row r="60">
          <cell r="A60" t="str">
            <v>J1AAEDB01725700</v>
          </cell>
          <cell r="B60" t="str">
            <v>MDP-688A L4　L=2570</v>
          </cell>
        </row>
        <row r="61">
          <cell r="A61" t="str">
            <v>J1AAEDB02525700</v>
          </cell>
          <cell r="B61" t="str">
            <v>MDPQ-688A L4　L=2570</v>
          </cell>
        </row>
        <row r="62">
          <cell r="A62" t="str">
            <v>J1DAFZB00105500</v>
          </cell>
          <cell r="B62" t="str">
            <v>照明ｶﾊﾞｰS15　L=550</v>
          </cell>
        </row>
        <row r="63">
          <cell r="A63" t="str">
            <v>J1DAFZB00105604</v>
          </cell>
          <cell r="B63" t="str">
            <v>照明ｶﾊﾞｰS　L=560.4</v>
          </cell>
        </row>
        <row r="64">
          <cell r="A64" t="str">
            <v>J1DAFZB00108200</v>
          </cell>
          <cell r="B64" t="str">
            <v>照明ｶﾊﾞｰL15　L=820</v>
          </cell>
        </row>
        <row r="65">
          <cell r="A65" t="str">
            <v>J1DAFZB00108304</v>
          </cell>
          <cell r="B65" t="str">
            <v>照明ｶﾊﾞｰL　L=830.4</v>
          </cell>
        </row>
        <row r="66">
          <cell r="A66" t="str">
            <v>J1ECZZB00104200</v>
          </cell>
          <cell r="B66" t="str">
            <v>L型ｱﾝｸﾞﾙ　WT-28B　L=420</v>
          </cell>
        </row>
        <row r="67">
          <cell r="A67" t="str">
            <v>J1ECZZB00105200</v>
          </cell>
          <cell r="B67" t="str">
            <v>L型ｱﾝｸﾞﾙ　P-VH-42D　L=520</v>
          </cell>
        </row>
        <row r="68">
          <cell r="A68" t="str">
            <v>J1AAFAB01107305</v>
          </cell>
          <cell r="B68" t="str">
            <v>GA-770 BK(BD)　L=730.5</v>
          </cell>
        </row>
        <row r="69">
          <cell r="A69" t="str">
            <v>J1AAFAB01107455</v>
          </cell>
          <cell r="B69" t="str">
            <v>GA-770 BK(BD)　L=745.5</v>
          </cell>
        </row>
        <row r="70">
          <cell r="A70" t="str">
            <v>J1AAFAB01207305</v>
          </cell>
          <cell r="B70" t="str">
            <v>GA-770 BR　L=730.5</v>
          </cell>
        </row>
        <row r="71">
          <cell r="A71" t="str">
            <v>J1AAFAB01207455</v>
          </cell>
          <cell r="B71" t="str">
            <v>GA-770 BR　L=745.5</v>
          </cell>
        </row>
        <row r="72">
          <cell r="A72" t="str">
            <v>J1AAFAB02204090</v>
          </cell>
          <cell r="B72" t="str">
            <v>WD3104A KC L=409</v>
          </cell>
        </row>
        <row r="73">
          <cell r="A73" t="str">
            <v>J1AAFAB02205005</v>
          </cell>
          <cell r="B73" t="str">
            <v>WD3104A KC　L=500.5</v>
          </cell>
        </row>
        <row r="74">
          <cell r="A74" t="str">
            <v>J1AAFAB02304090</v>
          </cell>
          <cell r="B74" t="str">
            <v>WD3104A BK　L=409</v>
          </cell>
        </row>
        <row r="75">
          <cell r="A75" t="str">
            <v>J1AAFAB02305005</v>
          </cell>
          <cell r="B75" t="str">
            <v>WD3104A BR(BK)　L=500.5</v>
          </cell>
        </row>
        <row r="76">
          <cell r="A76" t="str">
            <v>J1AAFAB02309000</v>
          </cell>
          <cell r="B76" t="str">
            <v>WD3104A BR(BK)　L=900</v>
          </cell>
        </row>
        <row r="77">
          <cell r="A77" t="str">
            <v>J1AAFAB02306890</v>
          </cell>
          <cell r="B77" t="str">
            <v>WD3104A BR(BK)　L=689</v>
          </cell>
        </row>
        <row r="78">
          <cell r="A78" t="str">
            <v>J1ZFAAB00203360</v>
          </cell>
          <cell r="B78" t="str">
            <v>GA9344/PYTB554K　L=336</v>
          </cell>
        </row>
        <row r="79">
          <cell r="A79" t="str">
            <v>J1ZFAAB00203860</v>
          </cell>
          <cell r="B79" t="str">
            <v>GA9344/PYTB554K　L=386</v>
          </cell>
        </row>
        <row r="80">
          <cell r="A80" t="str">
            <v>J1HFHBB01407100</v>
          </cell>
          <cell r="B80" t="str">
            <v>ｼﾞｮｲﾝﾄﾁｭ-ﾌﾞ5号　L=710</v>
          </cell>
        </row>
        <row r="81">
          <cell r="A81" t="str">
            <v>J1HFHBB01603400</v>
          </cell>
          <cell r="B81" t="str">
            <v>ｼﾞｮｲﾝﾄﾁｭ-ﾌﾞ2号　L=340</v>
          </cell>
        </row>
        <row r="82">
          <cell r="A82" t="str">
            <v>J1HFHBB01704200</v>
          </cell>
          <cell r="B82" t="str">
            <v>ｼﾞｮｲﾝﾄﾁｭ-ﾌﾞ3号　L=420</v>
          </cell>
        </row>
        <row r="83">
          <cell r="A83" t="str">
            <v>J1HFHBB01802500</v>
          </cell>
          <cell r="B83" t="str">
            <v>ｼﾞｮｲﾝﾄﾁｭ-ﾌﾞ1号　L=250</v>
          </cell>
        </row>
        <row r="84">
          <cell r="A84" t="str">
            <v>J1ECZZB00105300</v>
          </cell>
          <cell r="B84" t="str">
            <v>L型ｱﾝｸﾞﾙ　P-VH-C　L=530</v>
          </cell>
        </row>
        <row r="85">
          <cell r="A85" t="str">
            <v>J1ECZZB00105900</v>
          </cell>
          <cell r="B85" t="str">
            <v>L型ｱﾝｸﾞﾙ　WT-42B　L=590</v>
          </cell>
        </row>
        <row r="86">
          <cell r="A86" t="str">
            <v>J1ECZZB00106000</v>
          </cell>
          <cell r="B86" t="str">
            <v>L型ｱﾝｸﾞﾙ　P-VH-E　L=600</v>
          </cell>
        </row>
        <row r="87">
          <cell r="A87" t="str">
            <v>J1ECZZB00106900</v>
          </cell>
          <cell r="B87" t="str">
            <v>L型ｱﾝｸﾞﾙ　P-VH-56D　L=690</v>
          </cell>
        </row>
        <row r="88">
          <cell r="A88" t="str">
            <v>J1ECZZB00107600</v>
          </cell>
          <cell r="B88" t="str">
            <v>L型ｱﾝｸﾞﾙ　WT-56B　L=760　　</v>
          </cell>
        </row>
        <row r="89">
          <cell r="A89" t="str">
            <v>J1ECZZB00110180</v>
          </cell>
          <cell r="B89" t="str">
            <v>L型ｱﾝｸﾞﾙ　P-VH-A　L=1018</v>
          </cell>
        </row>
        <row r="90">
          <cell r="A90" t="str">
            <v>J1AKACB01901980</v>
          </cell>
          <cell r="B90" t="str">
            <v>991HDP　198</v>
          </cell>
        </row>
        <row r="91">
          <cell r="A91" t="str">
            <v>J1AKACB02002640</v>
          </cell>
          <cell r="B91" t="str">
            <v>991GPK　264</v>
          </cell>
        </row>
        <row r="92">
          <cell r="A92" t="str">
            <v>J1AKACB02002680</v>
          </cell>
          <cell r="B92" t="str">
            <v>991GPK　268</v>
          </cell>
        </row>
        <row r="93">
          <cell r="A93" t="str">
            <v>J1AKACB02004140</v>
          </cell>
          <cell r="B93" t="str">
            <v>991GPK　414</v>
          </cell>
        </row>
        <row r="94">
          <cell r="A94" t="str">
            <v>J1AKACB02004180</v>
          </cell>
          <cell r="B94" t="str">
            <v>991GPK　418</v>
          </cell>
        </row>
        <row r="95">
          <cell r="A95" t="str">
            <v>J1AKACB02005650</v>
          </cell>
          <cell r="B95" t="str">
            <v>991GPK　565</v>
          </cell>
        </row>
        <row r="96">
          <cell r="A96" t="str">
            <v>J1AKACB02005680</v>
          </cell>
          <cell r="B96" t="str">
            <v>991GPK　568</v>
          </cell>
        </row>
        <row r="97">
          <cell r="A97" t="str">
            <v>J1AKACB02007150</v>
          </cell>
          <cell r="B97" t="str">
            <v>991GPK　715</v>
          </cell>
        </row>
        <row r="98">
          <cell r="A98" t="str">
            <v>J1AKACB02007180</v>
          </cell>
          <cell r="B98" t="str">
            <v>991GPK　718</v>
          </cell>
        </row>
        <row r="99">
          <cell r="A99" t="str">
            <v>J1AKACB02008650</v>
          </cell>
          <cell r="B99" t="str">
            <v>991GPK　865</v>
          </cell>
        </row>
        <row r="100">
          <cell r="A100" t="str">
            <v>J1AKACB02008680</v>
          </cell>
          <cell r="B100" t="str">
            <v>991GPK　868</v>
          </cell>
        </row>
        <row r="101">
          <cell r="A101" t="str">
            <v>J1AKACB02010150</v>
          </cell>
          <cell r="B101" t="str">
            <v>991GPK　1015</v>
          </cell>
        </row>
        <row r="102">
          <cell r="A102" t="str">
            <v>J1AKACB02010180</v>
          </cell>
          <cell r="B102" t="str">
            <v>991GPK　1018</v>
          </cell>
        </row>
        <row r="103">
          <cell r="A103" t="str">
            <v>J1AKACB03502640</v>
          </cell>
          <cell r="B103" t="str">
            <v>752GPSB　265</v>
          </cell>
        </row>
        <row r="104">
          <cell r="A104" t="str">
            <v>J1AKACB03504140</v>
          </cell>
          <cell r="B104" t="str">
            <v>752GPSB　415</v>
          </cell>
        </row>
        <row r="105">
          <cell r="A105" t="str">
            <v>J1AKACB03505640</v>
          </cell>
          <cell r="B105" t="str">
            <v>752GPSB　565</v>
          </cell>
        </row>
        <row r="106">
          <cell r="A106" t="str">
            <v>J1AKACB03506640</v>
          </cell>
          <cell r="B106" t="str">
            <v>752GPSB　665</v>
          </cell>
        </row>
        <row r="107">
          <cell r="A107" t="str">
            <v>J1AKACB03507140</v>
          </cell>
          <cell r="B107" t="str">
            <v>752GPSB　715</v>
          </cell>
        </row>
        <row r="108">
          <cell r="A108" t="str">
            <v>J1AKACB03508640</v>
          </cell>
          <cell r="B108" t="str">
            <v>752GPSB　865</v>
          </cell>
        </row>
        <row r="109">
          <cell r="A109" t="str">
            <v>J1EKACB10604140</v>
          </cell>
          <cell r="B109" t="str">
            <v>003GPDG　414</v>
          </cell>
        </row>
        <row r="110">
          <cell r="A110" t="str">
            <v>J1EKACB20305190</v>
          </cell>
          <cell r="B110" t="str">
            <v>002EGAW　519</v>
          </cell>
        </row>
        <row r="111">
          <cell r="A111" t="str">
            <v>J1EKACB20306310</v>
          </cell>
          <cell r="B111" t="str">
            <v>002EGAW　631</v>
          </cell>
        </row>
        <row r="112">
          <cell r="A112" t="str">
            <v>J1EKACB01302040</v>
          </cell>
          <cell r="B112" t="str">
            <v>002EGDG　204</v>
          </cell>
        </row>
        <row r="113">
          <cell r="A113" t="str">
            <v>J1EKACB20802690</v>
          </cell>
          <cell r="B113" t="str">
            <v>051GPW　269(ｽﾀ)　</v>
          </cell>
        </row>
        <row r="114">
          <cell r="A114" t="str">
            <v>J1EKACB20804190</v>
          </cell>
          <cell r="B114" t="str">
            <v>051GPW　419(ｽﾀ)</v>
          </cell>
        </row>
        <row r="115">
          <cell r="A115" t="str">
            <v>J1EKACB20805670</v>
          </cell>
          <cell r="B115" t="str">
            <v>051GPW　567(ｽﾀ)</v>
          </cell>
        </row>
        <row r="116">
          <cell r="A116" t="str">
            <v>J1EKACB20805690</v>
          </cell>
          <cell r="B116" t="str">
            <v>051GPW　569</v>
          </cell>
        </row>
        <row r="117">
          <cell r="A117" t="str">
            <v>J1EKACB20807150</v>
          </cell>
          <cell r="B117" t="str">
            <v>051GPW　715</v>
          </cell>
        </row>
        <row r="118">
          <cell r="A118" t="str">
            <v>J1EKACB20807190</v>
          </cell>
          <cell r="B118" t="str">
            <v>051GPW　719</v>
          </cell>
        </row>
        <row r="119">
          <cell r="A119" t="str">
            <v>J1EKACB20808680</v>
          </cell>
          <cell r="B119" t="str">
            <v>051GPW　868</v>
          </cell>
        </row>
        <row r="120">
          <cell r="A120" t="str">
            <v>J1EKACB20810140</v>
          </cell>
          <cell r="B120" t="str">
            <v>051GPW　1014</v>
          </cell>
        </row>
        <row r="121">
          <cell r="A121" t="str">
            <v>J1EKACB20810180</v>
          </cell>
          <cell r="B121" t="str">
            <v>051GPW　1018</v>
          </cell>
        </row>
        <row r="122">
          <cell r="A122" t="str">
            <v>J1EKACB20811640</v>
          </cell>
          <cell r="B122" t="str">
            <v>051GPW　1164</v>
          </cell>
        </row>
        <row r="123">
          <cell r="A123" t="str">
            <v>J1EKACB22204150</v>
          </cell>
          <cell r="B123" t="str">
            <v>001EGAW　415</v>
          </cell>
        </row>
        <row r="124">
          <cell r="A124" t="str">
            <v>J1EKACB22205080</v>
          </cell>
          <cell r="B124" t="str">
            <v>001EGAW　508</v>
          </cell>
        </row>
        <row r="125">
          <cell r="A125" t="str">
            <v>J1EKACB22205650</v>
          </cell>
          <cell r="B125" t="str">
            <v>001EGAW　565</v>
          </cell>
        </row>
        <row r="126">
          <cell r="A126" t="str">
            <v>J1EKACB22206330</v>
          </cell>
          <cell r="B126" t="str">
            <v>001EGAW　633</v>
          </cell>
        </row>
        <row r="127">
          <cell r="A127" t="str">
            <v>J1EKACB22206520</v>
          </cell>
          <cell r="B127" t="str">
            <v>001EGAW　652</v>
          </cell>
        </row>
        <row r="128">
          <cell r="A128" t="str">
            <v>J1EKACB22206650</v>
          </cell>
          <cell r="B128" t="str">
            <v>001EGAW　665</v>
          </cell>
        </row>
        <row r="129">
          <cell r="A129" t="str">
            <v>J1EKACB22207150</v>
          </cell>
          <cell r="B129" t="str">
            <v>001EGAW　715</v>
          </cell>
        </row>
        <row r="130">
          <cell r="A130" t="str">
            <v>J1AAEDB00816080</v>
          </cell>
          <cell r="B130" t="str">
            <v>MDP-689B L1　L=1608</v>
          </cell>
        </row>
        <row r="131">
          <cell r="A131" t="str">
            <v>J1AAEDB00816620</v>
          </cell>
          <cell r="B131" t="str">
            <v>MDP-689B L2　L=1662</v>
          </cell>
        </row>
        <row r="132">
          <cell r="A132" t="str">
            <v>J1AAEDB02816080</v>
          </cell>
          <cell r="B132" t="str">
            <v>MDPQ-689B L1　L=1608</v>
          </cell>
        </row>
        <row r="133">
          <cell r="A133" t="str">
            <v>J1AAEDB02816620</v>
          </cell>
          <cell r="B133" t="str">
            <v>MDPQ-689B L2　L=1662</v>
          </cell>
        </row>
        <row r="134">
          <cell r="A134" t="str">
            <v>J1AAEDB01716040</v>
          </cell>
          <cell r="B134" t="str">
            <v>MDP-688A L1　L=1604</v>
          </cell>
        </row>
        <row r="135">
          <cell r="A135" t="str">
            <v>J1AAEDB01716580</v>
          </cell>
          <cell r="B135" t="str">
            <v>MDP-688A L2　L=1658</v>
          </cell>
        </row>
        <row r="136">
          <cell r="A136" t="str">
            <v>J1AAEDB02516040</v>
          </cell>
          <cell r="B136" t="str">
            <v>MDPQ-688A L1　L=1604</v>
          </cell>
        </row>
        <row r="137">
          <cell r="A137" t="str">
            <v>J1AAEDB02516580</v>
          </cell>
          <cell r="B137" t="str">
            <v>MDPQ-688A L2　L=1658</v>
          </cell>
        </row>
        <row r="138">
          <cell r="A138" t="str">
            <v>J1AAZDB00301000</v>
          </cell>
          <cell r="B138" t="str">
            <v>BMPU-245　L=100</v>
          </cell>
        </row>
        <row r="139">
          <cell r="A139" t="str">
            <v>J1AAZDB00501000</v>
          </cell>
          <cell r="B139" t="str">
            <v>PRPU-418　L=100</v>
          </cell>
        </row>
        <row r="140">
          <cell r="A140" t="str">
            <v>J1AZLDB00122810</v>
          </cell>
          <cell r="B140" t="str">
            <v>QDNT-284A L2　L=2281</v>
          </cell>
        </row>
        <row r="141">
          <cell r="A141" t="str">
            <v>J1AZLDB00123150</v>
          </cell>
          <cell r="B141" t="str">
            <v>QDNT-284A L1　L=2315</v>
          </cell>
        </row>
        <row r="142">
          <cell r="A142" t="str">
            <v>J1AZLDB00123980</v>
          </cell>
          <cell r="B142" t="str">
            <v>QDNT-284A LT　L=2398</v>
          </cell>
        </row>
        <row r="143">
          <cell r="A143" t="str">
            <v>J1AZLDB00127400</v>
          </cell>
          <cell r="B143" t="str">
            <v>QDNT-284A LT2　L=2740</v>
          </cell>
        </row>
        <row r="144">
          <cell r="A144" t="str">
            <v>J1AZLDB00422660</v>
          </cell>
          <cell r="B144" t="str">
            <v>DHCT-147 L1　L=2266</v>
          </cell>
        </row>
        <row r="145">
          <cell r="A145" t="str">
            <v>J1AZLDB00422975</v>
          </cell>
          <cell r="B145" t="str">
            <v>DHCT-147 L3　L=2297.5</v>
          </cell>
        </row>
        <row r="146">
          <cell r="A146" t="str">
            <v>J1AZLDB00522670</v>
          </cell>
          <cell r="B146" t="str">
            <v>DHCT-136　L=2267</v>
          </cell>
        </row>
        <row r="147">
          <cell r="A147" t="str">
            <v>J1AZLDB00522985</v>
          </cell>
          <cell r="B147" t="str">
            <v>DHCT-136 L1　L=2298.5</v>
          </cell>
        </row>
        <row r="148">
          <cell r="A148" t="str">
            <v>J1AZLDB00719940</v>
          </cell>
          <cell r="B148" t="str">
            <v>DHCT-328RL1　L=1994</v>
          </cell>
        </row>
        <row r="149">
          <cell r="A149" t="str">
            <v>J1AZLDB00800790</v>
          </cell>
          <cell r="B149" t="str">
            <v>DHCT-329L1　L=79</v>
          </cell>
        </row>
        <row r="150">
          <cell r="A150" t="str">
            <v>J1AZLDB00901030</v>
          </cell>
          <cell r="B150" t="str">
            <v>DHCT-329L2　L=103</v>
          </cell>
        </row>
        <row r="151">
          <cell r="A151" t="str">
            <v>J1AZLDB01719950</v>
          </cell>
          <cell r="B151" t="str">
            <v>DHCT-397 L1　L=1995</v>
          </cell>
        </row>
        <row r="152">
          <cell r="A152" t="str">
            <v>J1AZLDB01818880</v>
          </cell>
          <cell r="B152" t="str">
            <v>DHCT-397 LL2　L=1888</v>
          </cell>
        </row>
        <row r="153">
          <cell r="A153" t="str">
            <v>J1AZLDB01900860</v>
          </cell>
          <cell r="B153" t="str">
            <v>DHCT-398　L=86</v>
          </cell>
        </row>
        <row r="154">
          <cell r="A154" t="str">
            <v>J1AZLDB02023080</v>
          </cell>
          <cell r="B154" t="str">
            <v>DHCT-409 L1　L=2308</v>
          </cell>
        </row>
        <row r="155">
          <cell r="A155" t="str">
            <v>J1AZLDB02118880</v>
          </cell>
          <cell r="B155" t="str">
            <v>DHCT-397 RL2　L=1888</v>
          </cell>
        </row>
        <row r="156">
          <cell r="A156" t="str">
            <v>J1AZLDB02600990</v>
          </cell>
          <cell r="B156" t="str">
            <v>DHCT-548L3　L=99</v>
          </cell>
        </row>
        <row r="157">
          <cell r="A157" t="str">
            <v>J1AZLDB02601075</v>
          </cell>
          <cell r="B157" t="str">
            <v>DHCT-548L1　L=107.5</v>
          </cell>
        </row>
        <row r="158">
          <cell r="A158" t="str">
            <v>J1AZLDB02601235</v>
          </cell>
          <cell r="B158" t="str">
            <v>DHCT-548L4　L=123.5</v>
          </cell>
        </row>
        <row r="159">
          <cell r="A159" t="str">
            <v>J1AZLDB02601320</v>
          </cell>
          <cell r="B159" t="str">
            <v>DHCT-548L2　L=132</v>
          </cell>
        </row>
        <row r="160">
          <cell r="A160" t="str">
            <v>J1AZLDB02603340</v>
          </cell>
          <cell r="B160" t="str">
            <v>DHCT-547L1　L=334</v>
          </cell>
        </row>
        <row r="161">
          <cell r="A161" t="str">
            <v>J1AZLDB02603460</v>
          </cell>
          <cell r="B161" t="str">
            <v>DHCT-547L2　L=346</v>
          </cell>
        </row>
        <row r="162">
          <cell r="A162" t="str">
            <v>J1AZLDB02702240</v>
          </cell>
          <cell r="B162" t="str">
            <v>DHCT-691 L1　L=224</v>
          </cell>
        </row>
        <row r="163">
          <cell r="A163" t="str">
            <v>J1AZLDB00523605</v>
          </cell>
          <cell r="B163" t="str">
            <v>DHDT-186　L=2360.5</v>
          </cell>
        </row>
        <row r="164">
          <cell r="A164" t="str">
            <v>J1AZLDB03201160</v>
          </cell>
          <cell r="B164" t="str">
            <v>QDQT-509 L1　L=116</v>
          </cell>
        </row>
        <row r="165">
          <cell r="A165" t="str">
            <v>J1AZLDB03202380</v>
          </cell>
          <cell r="B165" t="str">
            <v>QDQT-509 L2　L=238</v>
          </cell>
        </row>
        <row r="166">
          <cell r="A166" t="str">
            <v>J1AZLDB03300780</v>
          </cell>
          <cell r="B166" t="str">
            <v>QDQT-515 L3   L=78  　　</v>
          </cell>
        </row>
        <row r="167">
          <cell r="A167" t="str">
            <v>J1AZLDB03301280</v>
          </cell>
          <cell r="B167" t="str">
            <v>QDQT-515 L2   L=128     　　</v>
          </cell>
        </row>
        <row r="168">
          <cell r="A168" t="str">
            <v>J1AZLDB03305440</v>
          </cell>
          <cell r="B168" t="str">
            <v>QDQT-515 L1　L=544　</v>
          </cell>
        </row>
        <row r="169">
          <cell r="A169" t="str">
            <v>J1EAZDB00102000</v>
          </cell>
          <cell r="B169" t="str">
            <v>QDN-487　L=200</v>
          </cell>
        </row>
        <row r="170">
          <cell r="A170" t="str">
            <v>J4AAMWB01504140</v>
          </cell>
          <cell r="B170" t="str">
            <v>AM-O-0744-KC1　L=414</v>
          </cell>
        </row>
        <row r="171">
          <cell r="A171" t="str">
            <v>J4AAMWB02707690</v>
          </cell>
          <cell r="B171" t="str">
            <v>AM-O-0807-KC1　L=769</v>
          </cell>
        </row>
        <row r="172">
          <cell r="A172" t="str">
            <v>J1AEFZB00205250</v>
          </cell>
          <cell r="B172" t="str">
            <v>脚ﾊﾟｲﾌﾟPVC　L=525</v>
          </cell>
        </row>
        <row r="173">
          <cell r="A173" t="str">
            <v>J1AEFZB00205750</v>
          </cell>
          <cell r="B173" t="str">
            <v>脚ﾊﾟｲﾌﾟPVC　L=575</v>
          </cell>
        </row>
        <row r="174">
          <cell r="A174" t="str">
            <v>J1AAFAB01299999</v>
          </cell>
          <cell r="B174" t="str">
            <v>GA-770 (特注)BR</v>
          </cell>
        </row>
        <row r="175">
          <cell r="A175" t="str">
            <v>J1AAFAB01199999</v>
          </cell>
          <cell r="B175" t="str">
            <v>GA-770 (特注)BK</v>
          </cell>
        </row>
        <row r="176">
          <cell r="A176" t="str">
            <v>J1JAZZB05605540</v>
          </cell>
          <cell r="B176" t="str">
            <v>ランプシェード　SL-600</v>
          </cell>
        </row>
        <row r="177">
          <cell r="A177" t="str">
            <v>zz001</v>
          </cell>
          <cell r="B177" t="str">
            <v>灯具カバーPC L=503</v>
          </cell>
        </row>
        <row r="178">
          <cell r="A178" t="str">
            <v>zz002</v>
          </cell>
          <cell r="B178" t="str">
            <v>灯具カバーPC L=669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topLeftCell="A88" workbookViewId="0">
      <selection activeCell="AC102" sqref="AC10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42" t="s">
        <v>0</v>
      </c>
      <c r="C1" s="117"/>
      <c r="D1" s="117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17"/>
      <c r="C2" s="117"/>
      <c r="D2" s="117"/>
      <c r="E2" s="13"/>
      <c r="F2" s="13"/>
      <c r="G2" s="13"/>
      <c r="H2" s="13"/>
      <c r="I2" s="13"/>
      <c r="J2" s="13"/>
    </row>
    <row r="3" spans="1:10" ht="14.25" customHeight="1">
      <c r="A3" s="122" t="s">
        <v>1</v>
      </c>
      <c r="B3" s="122" t="s">
        <v>2</v>
      </c>
      <c r="C3" s="122" t="s">
        <v>3</v>
      </c>
      <c r="D3" s="129">
        <v>297</v>
      </c>
      <c r="E3" s="122" t="s">
        <v>4</v>
      </c>
      <c r="F3" s="150" t="s">
        <v>5</v>
      </c>
      <c r="G3" s="117"/>
      <c r="H3" s="145"/>
      <c r="I3" s="14" t="s">
        <v>6</v>
      </c>
      <c r="J3" s="14" t="s">
        <v>7</v>
      </c>
    </row>
    <row r="4" spans="1:10" ht="14.25" customHeight="1">
      <c r="A4" s="117"/>
      <c r="B4" s="117"/>
      <c r="C4" s="117"/>
      <c r="D4" s="117"/>
      <c r="E4" s="117"/>
      <c r="F4" s="117"/>
      <c r="G4" s="117"/>
      <c r="H4" s="145"/>
      <c r="I4" s="148"/>
      <c r="J4" s="148"/>
    </row>
    <row r="5" spans="1:10" ht="17.45" customHeight="1">
      <c r="A5" s="137" t="s">
        <v>8</v>
      </c>
      <c r="B5" s="137" t="s">
        <v>9</v>
      </c>
      <c r="E5" s="137" t="s">
        <v>10</v>
      </c>
      <c r="F5" s="151" t="s">
        <v>11</v>
      </c>
      <c r="G5" s="117"/>
      <c r="H5" s="145"/>
      <c r="I5" s="149"/>
      <c r="J5" s="149"/>
    </row>
    <row r="6" spans="1:10" ht="17.45" customHeight="1">
      <c r="A6" s="117"/>
      <c r="B6" s="117"/>
      <c r="E6" s="117"/>
      <c r="F6" s="117"/>
      <c r="G6" s="117"/>
      <c r="H6" s="145"/>
      <c r="I6" s="15"/>
      <c r="J6" s="15"/>
    </row>
    <row r="7" spans="1:10" ht="17.45" customHeight="1">
      <c r="A7" s="137" t="s">
        <v>12</v>
      </c>
      <c r="B7" s="137" t="s">
        <v>13</v>
      </c>
      <c r="E7" s="2" t="s">
        <v>14</v>
      </c>
      <c r="F7" s="153" t="s">
        <v>15</v>
      </c>
      <c r="G7" s="117"/>
      <c r="H7" s="22"/>
    </row>
    <row r="8" spans="1:10" ht="17.45" customHeight="1">
      <c r="A8" s="117"/>
      <c r="B8" s="117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45820</v>
      </c>
      <c r="E9" s="2" t="s">
        <v>19</v>
      </c>
      <c r="F9" s="134">
        <v>100</v>
      </c>
      <c r="G9" s="117"/>
      <c r="H9" s="22"/>
    </row>
    <row r="10" spans="1:10" ht="17.45" customHeight="1">
      <c r="A10" s="2" t="s">
        <v>20</v>
      </c>
      <c r="B10" s="4">
        <v>45820</v>
      </c>
      <c r="E10" s="2" t="s">
        <v>21</v>
      </c>
      <c r="F10" s="22">
        <v>2</v>
      </c>
      <c r="G10" s="138" t="s">
        <v>22</v>
      </c>
      <c r="H10" s="123">
        <v>200</v>
      </c>
      <c r="I10" s="124"/>
      <c r="J10" s="125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26"/>
      <c r="H11" s="126"/>
      <c r="I11" s="127"/>
      <c r="J11" s="128"/>
    </row>
    <row r="12" spans="1:10" ht="13.5" customHeight="1">
      <c r="A12" s="154" t="s">
        <v>25</v>
      </c>
      <c r="B12" s="117"/>
      <c r="C12" s="117"/>
      <c r="D12" s="21"/>
      <c r="F12" s="3"/>
      <c r="G12" s="143" t="s">
        <v>26</v>
      </c>
      <c r="H12" s="132" t="s">
        <v>27</v>
      </c>
      <c r="I12" s="144" t="s">
        <v>28</v>
      </c>
      <c r="J12" s="145"/>
    </row>
    <row r="13" spans="1:10" ht="13.5" customHeight="1">
      <c r="A13" s="117"/>
      <c r="B13" s="117"/>
      <c r="C13" s="117"/>
      <c r="D13" s="21"/>
      <c r="F13" s="3"/>
      <c r="G13" s="133"/>
      <c r="H13" s="133"/>
      <c r="I13" s="127"/>
      <c r="J13" s="128"/>
    </row>
    <row r="14" spans="1:10" ht="13.5" customHeight="1">
      <c r="A14" s="1" t="s">
        <v>29</v>
      </c>
    </row>
    <row r="15" spans="1:10" ht="63" customHeight="1" thickBot="1">
      <c r="A15" s="130"/>
      <c r="B15" s="131"/>
      <c r="C15" s="131"/>
      <c r="D15" s="131"/>
      <c r="E15" s="131"/>
      <c r="F15" s="131"/>
      <c r="G15" s="131"/>
      <c r="H15" s="131"/>
      <c r="I15" s="131"/>
      <c r="J15" s="131"/>
    </row>
    <row r="16" spans="1:10" ht="18.75">
      <c r="A16" s="24" t="s">
        <v>30</v>
      </c>
      <c r="B16" s="17" t="s">
        <v>31</v>
      </c>
      <c r="C16" s="141" t="s">
        <v>32</v>
      </c>
      <c r="D16" s="140"/>
      <c r="E16" s="17" t="s">
        <v>33</v>
      </c>
      <c r="F16" s="141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18" t="s">
        <v>37</v>
      </c>
      <c r="D18" s="120"/>
      <c r="E18" s="25" t="s">
        <v>38</v>
      </c>
      <c r="F18" s="118" t="s">
        <v>39</v>
      </c>
      <c r="G18" s="120"/>
      <c r="H18" s="120"/>
      <c r="I18" s="119"/>
      <c r="J18" s="120"/>
    </row>
    <row r="19" spans="1:10" s="7" customFormat="1" ht="16.5" customHeight="1">
      <c r="A19" s="23">
        <v>1</v>
      </c>
      <c r="B19" s="26" t="s">
        <v>36</v>
      </c>
      <c r="C19" s="118" t="s">
        <v>37</v>
      </c>
      <c r="D19" s="120"/>
      <c r="E19" s="25" t="s">
        <v>40</v>
      </c>
      <c r="F19" s="118" t="s">
        <v>41</v>
      </c>
      <c r="G19" s="120"/>
      <c r="H19" s="120"/>
      <c r="I19" s="119"/>
      <c r="J19" s="120"/>
    </row>
    <row r="20" spans="1:10" s="7" customFormat="1" ht="16.5" customHeight="1">
      <c r="A20" s="23"/>
      <c r="B20" s="26"/>
      <c r="C20" s="118"/>
      <c r="D20" s="120"/>
      <c r="E20" s="25"/>
      <c r="F20" s="118"/>
      <c r="G20" s="120"/>
      <c r="H20" s="120"/>
      <c r="I20" s="119"/>
      <c r="J20" s="120"/>
    </row>
    <row r="21" spans="1:10" s="7" customFormat="1" ht="16.5" customHeight="1">
      <c r="A21" s="23"/>
      <c r="B21" s="26"/>
      <c r="C21" s="118"/>
      <c r="D21" s="120"/>
      <c r="E21" s="25"/>
      <c r="F21" s="118"/>
      <c r="G21" s="120"/>
      <c r="H21" s="120"/>
      <c r="I21" s="119"/>
      <c r="J21" s="120"/>
    </row>
    <row r="22" spans="1:10" s="7" customFormat="1" ht="16.5" customHeight="1">
      <c r="A22" s="23"/>
      <c r="B22" s="26"/>
      <c r="C22" s="118"/>
      <c r="D22" s="120"/>
      <c r="E22" s="25"/>
      <c r="F22" s="118"/>
      <c r="G22" s="120"/>
      <c r="H22" s="120"/>
      <c r="I22" s="119"/>
      <c r="J22" s="120"/>
    </row>
    <row r="23" spans="1:10" s="7" customFormat="1" ht="16.5" customHeight="1">
      <c r="A23" s="23"/>
      <c r="B23" s="26"/>
      <c r="C23" s="118"/>
      <c r="D23" s="120"/>
      <c r="E23" s="25"/>
      <c r="F23" s="118"/>
      <c r="G23" s="120"/>
      <c r="H23" s="120"/>
      <c r="I23" s="119"/>
      <c r="J23" s="120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35" t="s">
        <v>42</v>
      </c>
      <c r="B25" s="136"/>
      <c r="C25" s="135" t="s">
        <v>43</v>
      </c>
      <c r="D25" s="136"/>
      <c r="E25" s="136"/>
      <c r="F25" s="18" t="s">
        <v>44</v>
      </c>
      <c r="G25" s="135" t="s">
        <v>45</v>
      </c>
      <c r="H25" s="136"/>
      <c r="I25" s="135" t="s">
        <v>46</v>
      </c>
      <c r="J25" s="136"/>
    </row>
    <row r="26" spans="1:10" ht="14.25" customHeight="1">
      <c r="A26" s="8"/>
      <c r="B26" s="19"/>
      <c r="C26" s="146" t="s">
        <v>47</v>
      </c>
      <c r="D26" s="127"/>
      <c r="E26" s="19"/>
      <c r="F26" s="146" t="s">
        <v>29</v>
      </c>
      <c r="G26" s="127"/>
      <c r="H26" s="127"/>
      <c r="I26" s="127"/>
      <c r="J26" s="127"/>
    </row>
    <row r="27" spans="1:10">
      <c r="A27" s="9"/>
      <c r="C27" s="7"/>
      <c r="D27" s="7"/>
      <c r="E27" s="7"/>
    </row>
    <row r="28" spans="1:10" s="5" customFormat="1" ht="14.25" customHeight="1">
      <c r="A28" s="118" t="s">
        <v>48</v>
      </c>
      <c r="B28" s="121"/>
      <c r="C28" s="118" t="s">
        <v>49</v>
      </c>
      <c r="D28" s="121"/>
      <c r="E28" s="121"/>
      <c r="F28" s="27" t="s">
        <v>27</v>
      </c>
      <c r="G28" s="116">
        <v>33.4</v>
      </c>
      <c r="H28" s="121"/>
      <c r="I28" s="116">
        <v>0.33400000000000002</v>
      </c>
      <c r="J28" s="121"/>
    </row>
    <row r="29" spans="1:10" s="7" customFormat="1" ht="24.95" customHeight="1">
      <c r="A29" s="152" t="s">
        <v>50</v>
      </c>
      <c r="B29" s="120"/>
      <c r="C29" s="118"/>
      <c r="D29" s="120"/>
      <c r="E29" s="120"/>
      <c r="F29" s="118"/>
      <c r="G29" s="120"/>
      <c r="H29" s="120"/>
      <c r="I29" s="120"/>
      <c r="J29" s="120"/>
    </row>
    <row r="30" spans="1:10" s="5" customFormat="1" ht="14.25" customHeight="1">
      <c r="A30" s="147" t="s">
        <v>73</v>
      </c>
      <c r="B30" s="121"/>
      <c r="C30" s="118" t="s">
        <v>51</v>
      </c>
      <c r="D30" s="121"/>
      <c r="E30" s="121"/>
      <c r="F30" s="27" t="s">
        <v>52</v>
      </c>
      <c r="G30" s="116">
        <v>2</v>
      </c>
      <c r="H30" s="121"/>
      <c r="I30" s="116">
        <v>0.02</v>
      </c>
      <c r="J30" s="121"/>
    </row>
    <row r="31" spans="1:10" s="7" customFormat="1" ht="24.95" customHeight="1">
      <c r="A31" s="152" t="s">
        <v>53</v>
      </c>
      <c r="B31" s="120"/>
      <c r="C31" s="118" t="s">
        <v>54</v>
      </c>
      <c r="D31" s="120"/>
      <c r="E31" s="120"/>
      <c r="F31" s="118"/>
      <c r="G31" s="120"/>
      <c r="H31" s="120"/>
      <c r="I31" s="120"/>
      <c r="J31" s="120"/>
    </row>
    <row r="32" spans="1:10" s="5" customFormat="1" ht="14.25" customHeight="1">
      <c r="A32" s="118" t="s">
        <v>55</v>
      </c>
      <c r="B32" s="121"/>
      <c r="C32" s="118" t="s">
        <v>56</v>
      </c>
      <c r="D32" s="121"/>
      <c r="E32" s="121"/>
      <c r="F32" s="27"/>
      <c r="G32" s="116">
        <v>0.2</v>
      </c>
      <c r="H32" s="121"/>
      <c r="I32" s="116">
        <v>2E-3</v>
      </c>
      <c r="J32" s="121"/>
    </row>
    <row r="33" spans="1:14" s="7" customFormat="1" ht="24.95" customHeight="1">
      <c r="A33" s="152" t="s">
        <v>57</v>
      </c>
      <c r="B33" s="120"/>
      <c r="C33" s="118" t="s">
        <v>58</v>
      </c>
      <c r="D33" s="120"/>
      <c r="E33" s="120"/>
      <c r="F33" s="118"/>
      <c r="G33" s="120"/>
      <c r="H33" s="120"/>
      <c r="I33" s="120"/>
      <c r="J33" s="120"/>
    </row>
    <row r="34" spans="1:14" s="5" customFormat="1" ht="14.25" customHeight="1">
      <c r="A34" s="118" t="s">
        <v>59</v>
      </c>
      <c r="B34" s="121"/>
      <c r="C34" s="118" t="s">
        <v>60</v>
      </c>
      <c r="D34" s="121"/>
      <c r="E34" s="121"/>
      <c r="F34" s="27"/>
      <c r="G34" s="116">
        <v>0.2</v>
      </c>
      <c r="H34" s="121"/>
      <c r="I34" s="116">
        <v>2E-3</v>
      </c>
      <c r="J34" s="121"/>
    </row>
    <row r="35" spans="1:14" s="7" customFormat="1" ht="24.95" customHeight="1">
      <c r="A35" s="152" t="s">
        <v>61</v>
      </c>
      <c r="B35" s="120"/>
      <c r="C35" s="118" t="s">
        <v>62</v>
      </c>
      <c r="D35" s="120"/>
      <c r="E35" s="120"/>
      <c r="F35" s="118"/>
      <c r="G35" s="120"/>
      <c r="H35" s="120"/>
      <c r="I35" s="120"/>
      <c r="J35" s="120"/>
    </row>
    <row r="36" spans="1:14" s="5" customFormat="1" ht="14.25" customHeight="1">
      <c r="A36" s="118"/>
      <c r="B36" s="121"/>
      <c r="C36" s="118"/>
      <c r="D36" s="121"/>
      <c r="E36" s="121"/>
      <c r="F36" s="27"/>
      <c r="G36" s="116"/>
      <c r="H36" s="121"/>
      <c r="I36" s="116"/>
      <c r="J36" s="121"/>
    </row>
    <row r="37" spans="1:14" s="7" customFormat="1" ht="24.95" customHeight="1" thickBot="1">
      <c r="A37" s="152"/>
      <c r="B37" s="120"/>
      <c r="C37" s="118"/>
      <c r="D37" s="120"/>
      <c r="E37" s="120"/>
      <c r="F37" s="118"/>
      <c r="G37" s="120"/>
      <c r="H37" s="120"/>
      <c r="I37" s="120"/>
      <c r="J37" s="120"/>
    </row>
    <row r="38" spans="1:14" s="5" customFormat="1" ht="18" customHeight="1">
      <c r="A38" s="93" t="s">
        <v>74</v>
      </c>
      <c r="B38" s="94"/>
      <c r="C38" s="94"/>
      <c r="D38" s="95"/>
      <c r="E38" s="155" t="s">
        <v>100</v>
      </c>
      <c r="F38" s="156"/>
      <c r="G38" s="157"/>
      <c r="H38" s="91" t="s">
        <v>75</v>
      </c>
      <c r="I38" s="92"/>
      <c r="J38" s="162" t="s">
        <v>101</v>
      </c>
    </row>
    <row r="39" spans="1:14" s="7" customFormat="1" ht="18" customHeight="1">
      <c r="A39" s="96" t="str">
        <f>_xlfn.XLOOKUP(B3,[1]VFDB2!A:A,[1]VFDB2!B:B)</f>
        <v>8FL281304 4810　L=297</v>
      </c>
      <c r="B39" s="97"/>
      <c r="C39" s="97"/>
      <c r="D39" s="98"/>
      <c r="E39" s="82" t="str">
        <f>_xlfn.XLOOKUP(B3,[1]!テーブル5[品目コード],[1]!テーブル5[箱名])</f>
        <v>LED-A300</v>
      </c>
      <c r="F39" s="158"/>
      <c r="G39" s="160">
        <f>SUM(J48:J55)</f>
        <v>2</v>
      </c>
      <c r="H39" s="163" t="s">
        <v>76</v>
      </c>
      <c r="I39" s="58" cm="1">
        <f t="array" ref="I39:J39">IF(ISBLANK(INDEX(_xlfn._xlws.FILTER([1]加工記録２!$O$3:$P$500, [1]加工記録２!$T$3:$T$500=B5), 1)), "", INDEX(_xlfn._xlws.FILTER([1]加工記録２!$O$3:$P$500, [1]加工記録２!$T$3:$T$500=B5), 1))</f>
        <v>45814</v>
      </c>
      <c r="J39" s="72">
        <v>1</v>
      </c>
    </row>
    <row r="40" spans="1:14" s="5" customFormat="1" ht="18" customHeight="1">
      <c r="A40" s="99"/>
      <c r="B40" s="100"/>
      <c r="C40" s="100"/>
      <c r="D40" s="101"/>
      <c r="E40" s="85"/>
      <c r="F40" s="159"/>
      <c r="G40" s="161"/>
      <c r="H40" s="163" t="s">
        <v>77</v>
      </c>
      <c r="I40" s="28" cm="1">
        <f t="array" ref="I40:J40">IF(ISBLANK(INDEX(_xlfn._xlws.FILTER([1]加工記録２!$O$3:$P$500, [1]加工記録２!$T$3:$T$500=B5), 2)), "", INDEX(_xlfn._xlws.FILTER([1]加工記録２!$O$3:$P$500, [1]加工記録２!$T$3:$T$500=B5), 2))</f>
        <v>200</v>
      </c>
      <c r="J40" s="66" t="str">
        <v/>
      </c>
      <c r="K40" s="29"/>
    </row>
    <row r="41" spans="1:14" s="7" customFormat="1" ht="18" customHeight="1">
      <c r="A41" s="74" t="s">
        <v>78</v>
      </c>
      <c r="B41" s="103" t="str">
        <f>_xlfn.XLOOKUP(B3,[1]!テーブル5[品目コード],[1]!テーブル5[温度換算],,)</f>
        <v>〇</v>
      </c>
      <c r="C41" s="105" t="s">
        <v>79</v>
      </c>
      <c r="D41" s="107">
        <f>_xlfn.XLOOKUP(B3,[1]!テーブル5[品目コード],[1]!テーブル5[取数],,)</f>
        <v>6</v>
      </c>
      <c r="E41" s="82" t="str">
        <f>_xlfn.XLOOKUP(B3,[1]!テーブル5[品目コード],[1]!テーブル5[備考１],,)</f>
        <v>1箱目の梱包数 目視確認　以降、重量測定</v>
      </c>
      <c r="F41" s="83"/>
      <c r="G41" s="84"/>
      <c r="H41" s="164" t="s">
        <v>80</v>
      </c>
      <c r="I41" s="28" cm="1">
        <f t="array" ref="I41:J41">IF(ISBLANK(INDEX(_xlfn._xlws.FILTER([1]加工記録２!$O$3:$P$500, [1]加工記録２!$T$3:$T$500=B5), 3)), "", INDEX(_xlfn._xlws.FILTER([1]加工記録２!$O$3:$P$500, [1]加工記録２!$T$3:$T$500=B5), 3))</f>
        <v>34</v>
      </c>
      <c r="J41" s="67" t="str">
        <v/>
      </c>
      <c r="K41" s="30"/>
    </row>
    <row r="42" spans="1:14" s="5" customFormat="1" ht="18" customHeight="1">
      <c r="A42" s="102"/>
      <c r="B42" s="104"/>
      <c r="C42" s="106"/>
      <c r="D42" s="108"/>
      <c r="E42" s="85"/>
      <c r="F42" s="86"/>
      <c r="G42" s="87"/>
      <c r="H42" s="164" t="s">
        <v>81</v>
      </c>
      <c r="I42" s="28" cm="1">
        <f t="array" ref="I42:J42">IF(ISBLANK(INDEX(_xlfn._xlws.FILTER([1]加工記録２!$O$3:$P$500, [1]加工記録２!$T$3:$T$500=B5), 4)), "", INDEX(_xlfn._xlws.FILTER([1]加工記録２!$O$3:$P$500, [1]加工記録２!$T$3:$T$500=B5), 4))</f>
        <v>1</v>
      </c>
      <c r="J42" s="68" t="str">
        <v/>
      </c>
      <c r="K42" s="29"/>
    </row>
    <row r="43" spans="1:14" s="7" customFormat="1" ht="18" customHeight="1">
      <c r="A43" s="109" t="s">
        <v>82</v>
      </c>
      <c r="B43" s="111">
        <f>D3</f>
        <v>297</v>
      </c>
      <c r="C43" s="113" t="s">
        <v>83</v>
      </c>
      <c r="D43" s="80" t="str">
        <f>_xlfn.XLOOKUP(B3,[1]!テーブル5[品目コード],[1]!テーブル5[上限公差],,)</f>
        <v>+0.5</v>
      </c>
      <c r="E43" s="82" t="str">
        <f>_xlfn.XLOOKUP(B3,[1]!テーブル5[品目コード],[1]!テーブル5[備考２],,)</f>
        <v>クラフト紙：592型　1/2</v>
      </c>
      <c r="F43" s="83"/>
      <c r="G43" s="84"/>
      <c r="H43" s="164" t="s">
        <v>84</v>
      </c>
      <c r="I43" s="28" cm="1">
        <f t="array" ref="I43:J43">IF(ISBLANK(INDEX(_xlfn._xlws.FILTER([1]加工記録２!$O$3:$P$500, [1]加工記録２!$T$3:$T$500=B5), 5)), "", INDEX(_xlfn._xlws.FILTER([1]加工記録２!$O$3:$P$500, [1]加工記録２!$T$3:$T$500=B5), 5))</f>
        <v>1</v>
      </c>
      <c r="J43" s="69" t="str">
        <v/>
      </c>
      <c r="K43" s="30"/>
    </row>
    <row r="44" spans="1:14" s="5" customFormat="1" ht="18" customHeight="1">
      <c r="A44" s="110"/>
      <c r="B44" s="112"/>
      <c r="C44" s="114"/>
      <c r="D44" s="115"/>
      <c r="E44" s="85"/>
      <c r="F44" s="86"/>
      <c r="G44" s="87"/>
      <c r="H44" s="164" t="s">
        <v>85</v>
      </c>
      <c r="I44" s="28" cm="1">
        <f t="array" ref="I44:J44">IF(ISBLANK(INDEX(_xlfn._xlws.FILTER([1]加工記録２!$O$3:$P$500, [1]加工記録２!$T$3:$T$500=B5), 6)), "", INDEX(_xlfn._xlws.FILTER([1]加工記録２!$O$3:$P$500, [1]加工記録２!$T$3:$T$500=B5), 6))</f>
        <v>1</v>
      </c>
      <c r="J44" s="70" t="str">
        <v/>
      </c>
      <c r="K44" s="29"/>
    </row>
    <row r="45" spans="1:14" s="7" customFormat="1" ht="18" customHeight="1">
      <c r="A45" s="74" t="s">
        <v>86</v>
      </c>
      <c r="B45" s="76" t="str">
        <f>_xlfn.XLOOKUP(B3,[1]!テーブル5[品目コード],[1]!テーブル5[切断寸法],,)</f>
        <v>換算表確認</v>
      </c>
      <c r="C45" s="78" t="s">
        <v>87</v>
      </c>
      <c r="D45" s="80" t="str">
        <f>_xlfn.XLOOKUP(B3,[1]!テーブル5[品目コード],[1]!テーブル5[下限公差],,)</f>
        <v>－0.5</v>
      </c>
      <c r="E45" s="82" t="str">
        <f>_xlfn.XLOOKUP(B3,[1]!テーブル5[品目コード],[1]!テーブル5[梱包方法],,)</f>
        <v>ラベル１枚　長手無　鉢巻１回</v>
      </c>
      <c r="F45" s="83"/>
      <c r="G45" s="84"/>
      <c r="H45" s="164" t="s">
        <v>88</v>
      </c>
      <c r="I45" s="28" t="str" cm="1">
        <f t="array" ref="I45:J45">IF(ISBLANK(INDEX(_xlfn._xlws.FILTER([1]加工記録２!$O$3:$P$500, [1]加工記録２!$T$3:$T$500=B5), 7)), "", INDEX(_xlfn._xlws.FILTER([1]加工記録２!$O$3:$P$500, [1]加工記録２!$T$3:$T$500=B5), 7))</f>
        <v>水野</v>
      </c>
      <c r="J45" s="71" t="str">
        <v/>
      </c>
      <c r="K45" s="30"/>
    </row>
    <row r="46" spans="1:14" s="5" customFormat="1" ht="18" customHeight="1" thickBot="1">
      <c r="A46" s="75"/>
      <c r="B46" s="77"/>
      <c r="C46" s="79"/>
      <c r="D46" s="81"/>
      <c r="E46" s="88"/>
      <c r="F46" s="89"/>
      <c r="G46" s="90"/>
      <c r="H46" s="165" t="s">
        <v>89</v>
      </c>
      <c r="I46" s="31" t="str" cm="1">
        <f t="array" ref="I46:J46">IF(ISBLANK(INDEX(_xlfn._xlws.FILTER([1]加工記録２!$O$3:$P$500, [1]加工記録２!$T$3:$T$500=B5), 8)), "", INDEX(_xlfn._xlws.FILTER([1]加工記録２!$O$3:$P$500, [1]加工記録２!$T$3:$T$500=B5), 8))</f>
        <v>高森</v>
      </c>
      <c r="J46" s="73">
        <v>1</v>
      </c>
    </row>
    <row r="47" spans="1:14" s="39" customFormat="1" ht="18.95" customHeight="1">
      <c r="A47" s="32" t="s">
        <v>90</v>
      </c>
      <c r="B47" s="33" t="s">
        <v>91</v>
      </c>
      <c r="C47" s="34" t="s">
        <v>92</v>
      </c>
      <c r="D47" s="34" t="s">
        <v>93</v>
      </c>
      <c r="E47" s="35" t="s">
        <v>94</v>
      </c>
      <c r="F47" s="59" t="s">
        <v>95</v>
      </c>
      <c r="G47" s="36" t="s">
        <v>96</v>
      </c>
      <c r="H47" s="37" t="s">
        <v>97</v>
      </c>
      <c r="I47" s="60" t="s">
        <v>98</v>
      </c>
      <c r="J47" s="61" t="s">
        <v>99</v>
      </c>
      <c r="K47" s="38"/>
      <c r="L47" s="38"/>
      <c r="M47" s="38"/>
      <c r="N47" s="38"/>
    </row>
    <row r="48" spans="1:14" s="47" customFormat="1" ht="18.95" customHeight="1">
      <c r="A48" s="40" cm="1">
        <f t="array" ref="A48:J48">IF(ISBLANK(INDEX(_xlfn._xlws.FILTER([1]加工記録２!$D$3:$M$500, [1]加工記録２!$T$3:$T$500=B5), 1)), "", INDEX(_xlfn._xlws.FILTER([1]加工記録２!$D$3:$M$500, [1]加工記録２!$T$3:$T$500=B5), 1))</f>
        <v>45792</v>
      </c>
      <c r="B48" s="41" t="str">
        <v>25E09-02</v>
      </c>
      <c r="C48" s="42" t="str">
        <v/>
      </c>
      <c r="D48" s="42" t="str">
        <v/>
      </c>
      <c r="E48" s="43" t="str">
        <v/>
      </c>
      <c r="F48" s="50" t="str">
        <v>25E09-02</v>
      </c>
      <c r="G48" s="48">
        <v>18</v>
      </c>
      <c r="H48" s="51">
        <v>3</v>
      </c>
      <c r="I48" s="44">
        <v>45814</v>
      </c>
      <c r="J48" s="45">
        <v>2</v>
      </c>
      <c r="K48" s="46"/>
      <c r="L48" s="46"/>
      <c r="M48" s="46"/>
      <c r="N48" s="46"/>
    </row>
    <row r="49" spans="1:14" s="47" customFormat="1" ht="18.95" customHeight="1">
      <c r="A49" s="40" cm="1">
        <f t="array" ref="A49:J49">IF(ISBLANK(INDEX(_xlfn._xlws.FILTER([1]加工記録２!$D$3:$M$500, [1]加工記録２!$T$3:$T$500=B5), 2)), "", INDEX(_xlfn._xlws.FILTER([1]加工記録２!$D$3:$M$500, [1]加工記録２!$T$3:$T$500=B5), 2))</f>
        <v>45814</v>
      </c>
      <c r="B49" s="48" t="str">
        <v>25E27-09</v>
      </c>
      <c r="C49" s="48">
        <v>26</v>
      </c>
      <c r="D49" s="48">
        <v>297.12</v>
      </c>
      <c r="E49" s="49">
        <v>297.22000000000003</v>
      </c>
      <c r="F49" s="50" t="str">
        <v>25E27-09</v>
      </c>
      <c r="G49" s="48">
        <v>186</v>
      </c>
      <c r="H49" s="51">
        <v>31</v>
      </c>
      <c r="I49" s="44" t="str">
        <v/>
      </c>
      <c r="J49" s="45" t="str">
        <v/>
      </c>
      <c r="K49" s="46"/>
      <c r="L49" s="46"/>
      <c r="M49" s="46"/>
      <c r="N49" s="46"/>
    </row>
    <row r="50" spans="1:14" s="47" customFormat="1" ht="18.95" customHeight="1">
      <c r="A50" s="40" cm="1">
        <f t="array" ref="A50:J50">IF(ISBLANK(INDEX(_xlfn._xlws.FILTER([1]加工記録２!$D$3:$M$500, [1]加工記録２!$T$3:$T$500=B5), 3)), "", INDEX(_xlfn._xlws.FILTER([1]加工記録２!$D$3:$M$500, [1]加工記録２!$T$3:$T$500=B5), 3))</f>
        <v>45814</v>
      </c>
      <c r="B50" s="48" t="str">
        <v>25E27-09</v>
      </c>
      <c r="C50" s="48">
        <v>26</v>
      </c>
      <c r="D50" s="48">
        <v>297.12</v>
      </c>
      <c r="E50" s="49">
        <v>297.31</v>
      </c>
      <c r="F50" s="50" t="str">
        <v/>
      </c>
      <c r="G50" s="48" t="str">
        <v/>
      </c>
      <c r="H50" s="51" t="str">
        <v/>
      </c>
      <c r="I50" s="44" t="str">
        <v/>
      </c>
      <c r="J50" s="45" t="str">
        <v/>
      </c>
      <c r="K50" s="46"/>
      <c r="L50" s="46"/>
      <c r="M50" s="46"/>
      <c r="N50" s="46"/>
    </row>
    <row r="51" spans="1:14" s="47" customFormat="1" ht="18.95" customHeight="1">
      <c r="A51" s="40" t="str" cm="1">
        <f t="array" ref="A51:J51">IF(ISBLANK(INDEX(_xlfn._xlws.FILTER([1]加工記録２!$D$3:$M$500, [1]加工記録２!$T$3:$T$500=B5), 4)), "", INDEX(_xlfn._xlws.FILTER([1]加工記録２!$D$3:$M$500, [1]加工記録２!$T$3:$T$500=B5), 4))</f>
        <v/>
      </c>
      <c r="B51" s="48" t="str">
        <v/>
      </c>
      <c r="C51" s="48" t="str">
        <v/>
      </c>
      <c r="D51" s="48" t="str">
        <v/>
      </c>
      <c r="E51" s="49" t="str">
        <v/>
      </c>
      <c r="F51" s="50" t="str">
        <v/>
      </c>
      <c r="G51" s="48" t="str">
        <v/>
      </c>
      <c r="H51" s="51" t="str">
        <v/>
      </c>
      <c r="I51" s="44" t="str">
        <v/>
      </c>
      <c r="J51" s="45" t="str">
        <v/>
      </c>
      <c r="K51" s="46"/>
      <c r="L51" s="46"/>
      <c r="M51" s="46"/>
      <c r="N51" s="46"/>
    </row>
    <row r="52" spans="1:14" s="47" customFormat="1" ht="18.95" customHeight="1">
      <c r="A52" s="40" t="str" cm="1">
        <f t="array" ref="A52:J52">IF(ISBLANK(INDEX(_xlfn._xlws.FILTER([1]加工記録２!$D$3:$M$500, [1]加工記録２!$T$3:$T$500=B5), 5)), "", INDEX(_xlfn._xlws.FILTER([1]加工記録２!$D$3:$M$500, [1]加工記録２!$T$3:$T$500=B5), 5))</f>
        <v/>
      </c>
      <c r="B52" s="48" t="str">
        <v/>
      </c>
      <c r="C52" s="48" t="str">
        <v/>
      </c>
      <c r="D52" s="48" t="str">
        <v/>
      </c>
      <c r="E52" s="49" t="str">
        <v/>
      </c>
      <c r="F52" s="50" t="str">
        <v/>
      </c>
      <c r="G52" s="48" t="str">
        <v/>
      </c>
      <c r="H52" s="51" t="str">
        <v/>
      </c>
      <c r="I52" s="62" t="str">
        <v/>
      </c>
      <c r="J52" s="63" t="str">
        <v/>
      </c>
      <c r="K52" s="46"/>
      <c r="L52" s="46"/>
      <c r="M52" s="46"/>
      <c r="N52" s="46"/>
    </row>
    <row r="53" spans="1:14" s="47" customFormat="1" ht="18.95" customHeight="1">
      <c r="A53" s="40" t="str" cm="1">
        <f t="array" ref="A53:J53">IF(ISBLANK(INDEX(_xlfn._xlws.FILTER([1]加工記録２!$D$3:$M$500, [1]加工記録２!$T$3:$T$500=B5), 6)), "", INDEX(_xlfn._xlws.FILTER([1]加工記録２!$D$3:$M$500, [1]加工記録２!$T$3:$T$500=B5), 6))</f>
        <v/>
      </c>
      <c r="B53" s="48" t="str">
        <v/>
      </c>
      <c r="C53" s="48" t="str">
        <v/>
      </c>
      <c r="D53" s="48" t="str">
        <v/>
      </c>
      <c r="E53" s="49" t="str">
        <v/>
      </c>
      <c r="F53" s="50" t="str">
        <v/>
      </c>
      <c r="G53" s="48" t="str">
        <v/>
      </c>
      <c r="H53" s="64" t="str">
        <v/>
      </c>
      <c r="I53" s="62" t="str">
        <v/>
      </c>
      <c r="J53" s="63" t="str">
        <v/>
      </c>
      <c r="K53" s="46"/>
      <c r="L53" s="46"/>
      <c r="M53" s="46"/>
      <c r="N53" s="46"/>
    </row>
    <row r="54" spans="1:14" s="47" customFormat="1" ht="18.95" customHeight="1">
      <c r="A54" s="40" t="str" cm="1">
        <f t="array" ref="A54:J54">IF(ISBLANK(INDEX(_xlfn._xlws.FILTER([1]加工記録２!$D$3:$M$500, [1]加工記録２!$T$3:$T$500=B5), 7)), "", INDEX(_xlfn._xlws.FILTER([1]加工記録２!$D$3:$M$500, [1]加工記録２!$T$3:$T$500=B5), 7))</f>
        <v/>
      </c>
      <c r="B54" s="48" t="str">
        <v/>
      </c>
      <c r="C54" s="48" t="str">
        <v/>
      </c>
      <c r="D54" s="48" t="str">
        <v/>
      </c>
      <c r="E54" s="49" t="str">
        <v/>
      </c>
      <c r="F54" s="50" t="str">
        <v/>
      </c>
      <c r="G54" s="48" t="str">
        <v/>
      </c>
      <c r="H54" s="64" t="str">
        <v/>
      </c>
      <c r="I54" s="62" t="str">
        <v/>
      </c>
      <c r="J54" s="63" t="str">
        <v/>
      </c>
      <c r="K54" s="46"/>
      <c r="L54" s="46"/>
      <c r="M54" s="46"/>
      <c r="N54" s="46"/>
    </row>
    <row r="55" spans="1:14" s="47" customFormat="1" ht="18.95" customHeight="1" thickBot="1">
      <c r="A55" s="52" t="str" cm="1">
        <f t="array" ref="A55:J55">IF(ISBLANK(INDEX(_xlfn._xlws.FILTER([1]加工記録２!$D$3:$M$500, [1]加工記録２!$T$3:$T$500=B5), 8)), "", INDEX(_xlfn._xlws.FILTER([1]加工記録２!$D$3:$M$500, [1]加工記録２!$T$3:$T$500=B5), 8))</f>
        <v/>
      </c>
      <c r="B55" s="53" t="str">
        <v/>
      </c>
      <c r="C55" s="53" t="str">
        <v/>
      </c>
      <c r="D55" s="53" t="str">
        <v/>
      </c>
      <c r="E55" s="54" t="str">
        <v/>
      </c>
      <c r="F55" s="55" t="str">
        <v/>
      </c>
      <c r="G55" s="53" t="str">
        <v/>
      </c>
      <c r="H55" s="65" t="str">
        <v/>
      </c>
      <c r="I55" s="56" t="str">
        <v/>
      </c>
      <c r="J55" s="57" t="str">
        <v/>
      </c>
      <c r="K55" s="46"/>
      <c r="L55" s="46"/>
      <c r="M55" s="46"/>
      <c r="N55" s="4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42" t="s">
        <v>0</v>
      </c>
      <c r="C58" s="117"/>
      <c r="D58" s="117"/>
      <c r="E58" s="12"/>
      <c r="F58" s="12"/>
      <c r="G58" s="12"/>
      <c r="H58" s="12"/>
      <c r="I58" s="12"/>
      <c r="J58" s="12"/>
    </row>
    <row r="59" spans="1:14" ht="14.25" customHeight="1">
      <c r="A59" s="13"/>
      <c r="B59" s="117"/>
      <c r="C59" s="117"/>
      <c r="D59" s="117"/>
      <c r="E59" s="13"/>
      <c r="F59" s="13"/>
      <c r="G59" s="13"/>
      <c r="H59" s="13"/>
      <c r="I59" s="13"/>
      <c r="J59" s="13"/>
    </row>
    <row r="60" spans="1:14" ht="14.25" customHeight="1">
      <c r="A60" s="122" t="s">
        <v>1</v>
      </c>
      <c r="B60" s="122" t="s">
        <v>63</v>
      </c>
      <c r="C60" s="122" t="s">
        <v>3</v>
      </c>
      <c r="D60" s="129">
        <v>1478</v>
      </c>
      <c r="E60" s="122" t="s">
        <v>4</v>
      </c>
      <c r="F60" s="150" t="s">
        <v>64</v>
      </c>
      <c r="G60" s="117"/>
      <c r="H60" s="145"/>
      <c r="I60" s="14" t="s">
        <v>6</v>
      </c>
      <c r="J60" s="14" t="s">
        <v>7</v>
      </c>
    </row>
    <row r="61" spans="1:14" ht="14.25" customHeight="1">
      <c r="A61" s="117"/>
      <c r="B61" s="117"/>
      <c r="C61" s="117"/>
      <c r="D61" s="117"/>
      <c r="E61" s="117"/>
      <c r="F61" s="117"/>
      <c r="G61" s="117"/>
      <c r="H61" s="145"/>
      <c r="I61" s="148"/>
      <c r="J61" s="148"/>
    </row>
    <row r="62" spans="1:14" ht="17.45" customHeight="1">
      <c r="A62" s="137" t="s">
        <v>8</v>
      </c>
      <c r="B62" s="137" t="s">
        <v>65</v>
      </c>
      <c r="E62" s="137" t="s">
        <v>10</v>
      </c>
      <c r="F62" s="151" t="s">
        <v>66</v>
      </c>
      <c r="G62" s="117"/>
      <c r="H62" s="145"/>
      <c r="I62" s="149"/>
      <c r="J62" s="149"/>
    </row>
    <row r="63" spans="1:14" ht="17.45" customHeight="1">
      <c r="A63" s="117"/>
      <c r="B63" s="117"/>
      <c r="E63" s="117"/>
      <c r="F63" s="117"/>
      <c r="G63" s="117"/>
      <c r="H63" s="145"/>
      <c r="I63" s="15"/>
      <c r="J63" s="15"/>
    </row>
    <row r="64" spans="1:14" ht="17.45" customHeight="1">
      <c r="A64" s="137" t="s">
        <v>12</v>
      </c>
      <c r="B64" s="137" t="s">
        <v>67</v>
      </c>
      <c r="E64" s="2" t="s">
        <v>14</v>
      </c>
      <c r="F64" s="153" t="s">
        <v>15</v>
      </c>
      <c r="G64" s="117"/>
      <c r="H64" s="22"/>
    </row>
    <row r="65" spans="1:10" ht="17.45" customHeight="1">
      <c r="A65" s="117"/>
      <c r="B65" s="117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45831</v>
      </c>
      <c r="E66" s="2" t="s">
        <v>19</v>
      </c>
      <c r="F66" s="134">
        <v>100</v>
      </c>
      <c r="G66" s="117"/>
      <c r="H66" s="22"/>
    </row>
    <row r="67" spans="1:10" ht="17.45" customHeight="1">
      <c r="A67" s="2" t="s">
        <v>20</v>
      </c>
      <c r="B67" s="4">
        <v>45831</v>
      </c>
      <c r="E67" s="2" t="s">
        <v>21</v>
      </c>
      <c r="F67" s="22">
        <v>4</v>
      </c>
      <c r="G67" s="138" t="s">
        <v>22</v>
      </c>
      <c r="H67" s="123">
        <v>400</v>
      </c>
      <c r="I67" s="124"/>
      <c r="J67" s="125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26"/>
      <c r="H68" s="126"/>
      <c r="I68" s="127"/>
      <c r="J68" s="128"/>
    </row>
    <row r="69" spans="1:10" ht="13.5" customHeight="1">
      <c r="A69" s="154" t="s">
        <v>68</v>
      </c>
      <c r="B69" s="117"/>
      <c r="C69" s="117"/>
      <c r="D69" s="21"/>
      <c r="F69" s="3"/>
      <c r="G69" s="143" t="s">
        <v>26</v>
      </c>
      <c r="H69" s="132" t="s">
        <v>27</v>
      </c>
      <c r="I69" s="144" t="s">
        <v>28</v>
      </c>
      <c r="J69" s="145"/>
    </row>
    <row r="70" spans="1:10" ht="13.5" customHeight="1">
      <c r="A70" s="117"/>
      <c r="B70" s="117"/>
      <c r="C70" s="117"/>
      <c r="D70" s="21"/>
      <c r="F70" s="3"/>
      <c r="G70" s="133"/>
      <c r="H70" s="133"/>
      <c r="I70" s="127"/>
      <c r="J70" s="128"/>
    </row>
    <row r="71" spans="1:10" ht="13.5" customHeight="1">
      <c r="A71" s="1" t="s">
        <v>29</v>
      </c>
    </row>
    <row r="72" spans="1:10" ht="63" customHeight="1">
      <c r="A72" s="130"/>
      <c r="B72" s="131"/>
      <c r="C72" s="131"/>
      <c r="D72" s="131"/>
      <c r="E72" s="131"/>
      <c r="F72" s="131"/>
      <c r="G72" s="131"/>
      <c r="H72" s="131"/>
      <c r="I72" s="131"/>
      <c r="J72" s="131"/>
    </row>
    <row r="73" spans="1:10" ht="18.75">
      <c r="A73" s="24" t="s">
        <v>30</v>
      </c>
      <c r="B73" s="17" t="s">
        <v>31</v>
      </c>
      <c r="C73" s="141" t="s">
        <v>32</v>
      </c>
      <c r="D73" s="140"/>
      <c r="E73" s="17" t="s">
        <v>33</v>
      </c>
      <c r="F73" s="141" t="s">
        <v>34</v>
      </c>
      <c r="G73" s="140"/>
      <c r="H73" s="140"/>
      <c r="I73" s="139" t="s">
        <v>35</v>
      </c>
      <c r="J73" s="14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18" t="s">
        <v>37</v>
      </c>
      <c r="D75" s="117"/>
      <c r="E75" s="25" t="s">
        <v>38</v>
      </c>
      <c r="F75" s="118" t="s">
        <v>39</v>
      </c>
      <c r="G75" s="117"/>
      <c r="H75" s="117"/>
      <c r="I75" s="119"/>
      <c r="J75" s="117"/>
    </row>
    <row r="76" spans="1:10" ht="16.5" customHeight="1">
      <c r="A76" s="23">
        <v>1</v>
      </c>
      <c r="B76" s="26" t="s">
        <v>36</v>
      </c>
      <c r="C76" s="118" t="s">
        <v>37</v>
      </c>
      <c r="D76" s="117"/>
      <c r="E76" s="25" t="s">
        <v>40</v>
      </c>
      <c r="F76" s="118" t="s">
        <v>41</v>
      </c>
      <c r="G76" s="117"/>
      <c r="H76" s="117"/>
      <c r="I76" s="119"/>
      <c r="J76" s="117"/>
    </row>
    <row r="77" spans="1:10" ht="16.5" customHeight="1">
      <c r="A77" s="23"/>
      <c r="B77" s="26"/>
      <c r="C77" s="118"/>
      <c r="D77" s="117"/>
      <c r="E77" s="25"/>
      <c r="F77" s="118"/>
      <c r="G77" s="117"/>
      <c r="H77" s="117"/>
      <c r="I77" s="119"/>
      <c r="J77" s="117"/>
    </row>
    <row r="78" spans="1:10" ht="16.5" customHeight="1">
      <c r="A78" s="23"/>
      <c r="B78" s="26"/>
      <c r="C78" s="118"/>
      <c r="D78" s="117"/>
      <c r="E78" s="25"/>
      <c r="F78" s="118"/>
      <c r="G78" s="117"/>
      <c r="H78" s="117"/>
      <c r="I78" s="119"/>
      <c r="J78" s="117"/>
    </row>
    <row r="79" spans="1:10" ht="16.5" customHeight="1">
      <c r="A79" s="23"/>
      <c r="B79" s="26"/>
      <c r="C79" s="118"/>
      <c r="D79" s="117"/>
      <c r="E79" s="25"/>
      <c r="F79" s="118"/>
      <c r="G79" s="117"/>
      <c r="H79" s="117"/>
      <c r="I79" s="119"/>
      <c r="J79" s="117"/>
    </row>
    <row r="80" spans="1:10" ht="16.5" customHeight="1">
      <c r="A80" s="23"/>
      <c r="B80" s="26"/>
      <c r="C80" s="118"/>
      <c r="D80" s="117"/>
      <c r="E80" s="25"/>
      <c r="F80" s="118"/>
      <c r="G80" s="117"/>
      <c r="H80" s="117"/>
      <c r="I80" s="119"/>
      <c r="J80" s="117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35" t="s">
        <v>42</v>
      </c>
      <c r="B82" s="136"/>
      <c r="C82" s="135" t="s">
        <v>43</v>
      </c>
      <c r="D82" s="136"/>
      <c r="E82" s="136"/>
      <c r="F82" s="18" t="s">
        <v>44</v>
      </c>
      <c r="G82" s="135" t="s">
        <v>45</v>
      </c>
      <c r="H82" s="136"/>
      <c r="I82" s="135" t="s">
        <v>46</v>
      </c>
      <c r="J82" s="136"/>
    </row>
    <row r="83" spans="1:10" ht="14.25" customHeight="1">
      <c r="A83" s="8"/>
      <c r="B83" s="19"/>
      <c r="C83" s="146" t="s">
        <v>47</v>
      </c>
      <c r="D83" s="127"/>
      <c r="E83" s="19"/>
      <c r="F83" s="146" t="s">
        <v>29</v>
      </c>
      <c r="G83" s="127"/>
      <c r="H83" s="127"/>
      <c r="I83" s="127"/>
      <c r="J83" s="127"/>
    </row>
    <row r="84" spans="1:10">
      <c r="A84" s="9"/>
      <c r="C84" s="7"/>
      <c r="D84" s="7"/>
      <c r="E84" s="7"/>
    </row>
    <row r="85" spans="1:10" ht="14.25" customHeight="1">
      <c r="A85" s="118" t="s">
        <v>48</v>
      </c>
      <c r="B85" s="117"/>
      <c r="C85" s="118" t="s">
        <v>49</v>
      </c>
      <c r="D85" s="117"/>
      <c r="E85" s="117"/>
      <c r="F85" s="27" t="s">
        <v>27</v>
      </c>
      <c r="G85" s="116">
        <v>400</v>
      </c>
      <c r="H85" s="117"/>
      <c r="I85" s="116">
        <v>4</v>
      </c>
      <c r="J85" s="117"/>
    </row>
    <row r="86" spans="1:10" ht="24.95" customHeight="1">
      <c r="A86" s="152" t="s">
        <v>50</v>
      </c>
      <c r="B86" s="117"/>
      <c r="C86" s="118"/>
      <c r="D86" s="117"/>
      <c r="E86" s="117"/>
      <c r="F86" s="118"/>
      <c r="G86" s="117"/>
      <c r="H86" s="117"/>
      <c r="I86" s="117"/>
      <c r="J86" s="117"/>
    </row>
    <row r="87" spans="1:10" ht="14.25" customHeight="1">
      <c r="A87" s="118" t="s">
        <v>69</v>
      </c>
      <c r="B87" s="117"/>
      <c r="C87" s="118" t="s">
        <v>70</v>
      </c>
      <c r="D87" s="117"/>
      <c r="E87" s="117"/>
      <c r="F87" s="27" t="s">
        <v>52</v>
      </c>
      <c r="G87" s="116">
        <v>4</v>
      </c>
      <c r="H87" s="117"/>
      <c r="I87" s="116">
        <v>0.04</v>
      </c>
      <c r="J87" s="117"/>
    </row>
    <row r="88" spans="1:10" ht="24.95" customHeight="1">
      <c r="A88" s="152" t="s">
        <v>71</v>
      </c>
      <c r="B88" s="117"/>
      <c r="C88" s="118" t="s">
        <v>72</v>
      </c>
      <c r="D88" s="117"/>
      <c r="E88" s="117"/>
      <c r="F88" s="118"/>
      <c r="G88" s="117"/>
      <c r="H88" s="117"/>
      <c r="I88" s="117"/>
      <c r="J88" s="117"/>
    </row>
    <row r="89" spans="1:10" ht="14.25" customHeight="1">
      <c r="A89" s="118" t="s">
        <v>55</v>
      </c>
      <c r="B89" s="117"/>
      <c r="C89" s="118" t="s">
        <v>56</v>
      </c>
      <c r="D89" s="117"/>
      <c r="E89" s="117"/>
      <c r="F89" s="27"/>
      <c r="G89" s="116">
        <v>0.8</v>
      </c>
      <c r="H89" s="117"/>
      <c r="I89" s="116">
        <v>8.0000000000000002E-3</v>
      </c>
      <c r="J89" s="117"/>
    </row>
    <row r="90" spans="1:10" ht="24.95" customHeight="1">
      <c r="A90" s="152" t="s">
        <v>57</v>
      </c>
      <c r="B90" s="117"/>
      <c r="C90" s="118" t="s">
        <v>58</v>
      </c>
      <c r="D90" s="117"/>
      <c r="E90" s="117"/>
      <c r="F90" s="118"/>
      <c r="G90" s="117"/>
      <c r="H90" s="117"/>
      <c r="I90" s="117"/>
      <c r="J90" s="117"/>
    </row>
    <row r="91" spans="1:10" ht="14.25" customHeight="1">
      <c r="A91" s="118" t="s">
        <v>59</v>
      </c>
      <c r="B91" s="117"/>
      <c r="C91" s="118" t="s">
        <v>60</v>
      </c>
      <c r="D91" s="117"/>
      <c r="E91" s="117"/>
      <c r="F91" s="27"/>
      <c r="G91" s="116">
        <v>0.4</v>
      </c>
      <c r="H91" s="117"/>
      <c r="I91" s="116">
        <v>4.0000000000000001E-3</v>
      </c>
      <c r="J91" s="117"/>
    </row>
    <row r="92" spans="1:10" ht="24.95" customHeight="1">
      <c r="A92" s="152" t="s">
        <v>61</v>
      </c>
      <c r="B92" s="117"/>
      <c r="C92" s="118" t="s">
        <v>62</v>
      </c>
      <c r="D92" s="117"/>
      <c r="E92" s="117"/>
      <c r="F92" s="118"/>
      <c r="G92" s="117"/>
      <c r="H92" s="117"/>
      <c r="I92" s="117"/>
      <c r="J92" s="117"/>
    </row>
    <row r="93" spans="1:10" ht="14.25" customHeight="1">
      <c r="A93" s="118"/>
      <c r="B93" s="117"/>
      <c r="C93" s="118"/>
      <c r="D93" s="117"/>
      <c r="E93" s="117"/>
      <c r="F93" s="27"/>
      <c r="G93" s="116"/>
      <c r="H93" s="117"/>
      <c r="I93" s="116"/>
      <c r="J93" s="117"/>
    </row>
    <row r="94" spans="1:10" ht="24.95" customHeight="1" thickBot="1">
      <c r="A94" s="152"/>
      <c r="B94" s="117"/>
      <c r="C94" s="118"/>
      <c r="D94" s="117"/>
      <c r="E94" s="117"/>
      <c r="F94" s="118"/>
      <c r="G94" s="117"/>
      <c r="H94" s="117"/>
      <c r="I94" s="117"/>
      <c r="J94" s="117"/>
    </row>
    <row r="95" spans="1:10" s="5" customFormat="1" ht="18" customHeight="1">
      <c r="A95" s="93" t="s">
        <v>74</v>
      </c>
      <c r="B95" s="94"/>
      <c r="C95" s="94"/>
      <c r="D95" s="95"/>
      <c r="E95" s="155" t="s">
        <v>100</v>
      </c>
      <c r="F95" s="156"/>
      <c r="G95" s="157"/>
      <c r="H95" s="91" t="s">
        <v>75</v>
      </c>
      <c r="I95" s="92"/>
      <c r="J95" s="162" t="s">
        <v>101</v>
      </c>
    </row>
    <row r="96" spans="1:10" s="7" customFormat="1" ht="18" customHeight="1">
      <c r="A96" s="96" t="str">
        <f>_xlfn.XLOOKUP(B60,[1]VFDB2!A:A,[1]VFDB2!B:B)</f>
        <v>8FL281304 6110　L=1478</v>
      </c>
      <c r="B96" s="97"/>
      <c r="C96" s="97"/>
      <c r="D96" s="98"/>
      <c r="E96" s="82" t="str">
        <f>_xlfn.XLOOKUP(B60,[1]!テーブル5[品目コード],[1]!テーブル5[箱名])</f>
        <v>LED-A1478</v>
      </c>
      <c r="F96" s="158"/>
      <c r="G96" s="160">
        <f>SUM(J105:J112)</f>
        <v>4</v>
      </c>
      <c r="H96" s="163" t="s">
        <v>76</v>
      </c>
      <c r="I96" s="58" cm="1">
        <f t="array" ref="I96:J96">IF(ISBLANK(INDEX(_xlfn._xlws.FILTER([1]加工記録２!$O$3:$P$500, [1]加工記録２!$T$3:$T$500=B62), 1)), "", INDEX(_xlfn._xlws.FILTER([1]加工記録２!$O$3:$P$500, [1]加工記録２!$T$3:$T$500=B62), 1))</f>
        <v>45814</v>
      </c>
      <c r="J96" s="72">
        <v>3</v>
      </c>
    </row>
    <row r="97" spans="1:14" s="5" customFormat="1" ht="18" customHeight="1">
      <c r="A97" s="99"/>
      <c r="B97" s="100"/>
      <c r="C97" s="100"/>
      <c r="D97" s="101"/>
      <c r="E97" s="85"/>
      <c r="F97" s="159"/>
      <c r="G97" s="161"/>
      <c r="H97" s="163" t="s">
        <v>77</v>
      </c>
      <c r="I97" s="28" cm="1">
        <f t="array" ref="I97:J97">IF(ISBLANK(INDEX(_xlfn._xlws.FILTER([1]加工記録２!$O$3:$P$500, [1]加工記録２!$T$3:$T$500=B62), 2)), "", INDEX(_xlfn._xlws.FILTER([1]加工記録２!$O$3:$P$500, [1]加工記録２!$T$3:$T$500=B62), 2))</f>
        <v>400</v>
      </c>
      <c r="J97" s="66" t="str">
        <v/>
      </c>
      <c r="K97" s="29"/>
    </row>
    <row r="98" spans="1:14" s="7" customFormat="1" ht="18" customHeight="1">
      <c r="A98" s="74" t="s">
        <v>78</v>
      </c>
      <c r="B98" s="103" t="str">
        <f>_xlfn.XLOOKUP(B60,[1]!テーブル5[品目コード],[1]!テーブル5[温度換算],,)</f>
        <v>〇</v>
      </c>
      <c r="C98" s="105" t="s">
        <v>79</v>
      </c>
      <c r="D98" s="107">
        <f>_xlfn.XLOOKUP(B60,[1]!テーブル5[品目コード],[1]!テーブル5[取数],,)</f>
        <v>1</v>
      </c>
      <c r="E98" s="82" t="str">
        <f>_xlfn.XLOOKUP(B60,[1]!テーブル5[品目コード],[1]!テーブル5[備考１],,)</f>
        <v>1箱目の梱包数 目視確認　以降、重量測定</v>
      </c>
      <c r="F98" s="83"/>
      <c r="G98" s="84"/>
      <c r="H98" s="164" t="s">
        <v>80</v>
      </c>
      <c r="I98" s="28" cm="1">
        <f t="array" ref="I98:J98">IF(ISBLANK(INDEX(_xlfn._xlws.FILTER([1]加工記録２!$O$3:$P$500, [1]加工記録２!$T$3:$T$500=B62), 3)), "", INDEX(_xlfn._xlws.FILTER([1]加工記録２!$O$3:$P$500, [1]加工記録２!$T$3:$T$500=B62), 3))</f>
        <v>403</v>
      </c>
      <c r="J98" s="67" t="str">
        <v/>
      </c>
      <c r="K98" s="30"/>
    </row>
    <row r="99" spans="1:14" s="5" customFormat="1" ht="18" customHeight="1">
      <c r="A99" s="102"/>
      <c r="B99" s="104"/>
      <c r="C99" s="106"/>
      <c r="D99" s="108"/>
      <c r="E99" s="85"/>
      <c r="F99" s="86"/>
      <c r="G99" s="87"/>
      <c r="H99" s="164" t="s">
        <v>81</v>
      </c>
      <c r="I99" s="28" cm="1">
        <f t="array" ref="I99:J99">IF(ISBLANK(INDEX(_xlfn._xlws.FILTER([1]加工記録２!$O$3:$P$500, [1]加工記録２!$T$3:$T$500=B62), 4)), "", INDEX(_xlfn._xlws.FILTER([1]加工記録２!$O$3:$P$500, [1]加工記録２!$T$3:$T$500=B62), 4))</f>
        <v>3</v>
      </c>
      <c r="J99" s="68" t="str">
        <v/>
      </c>
      <c r="K99" s="29"/>
    </row>
    <row r="100" spans="1:14" s="7" customFormat="1" ht="18" customHeight="1">
      <c r="A100" s="109" t="s">
        <v>82</v>
      </c>
      <c r="B100" s="111">
        <f>D60</f>
        <v>1478</v>
      </c>
      <c r="C100" s="113" t="s">
        <v>83</v>
      </c>
      <c r="D100" s="80" t="str">
        <f>_xlfn.XLOOKUP(B60,[1]!テーブル5[品目コード],[1]!テーブル5[上限公差],,)</f>
        <v>+0.5</v>
      </c>
      <c r="E100" s="82" t="str">
        <f>_xlfn.XLOOKUP(B60,[1]!テーブル5[品目コード],[1]!テーブル5[備考２],,)</f>
        <v>クラフト紙：1478型</v>
      </c>
      <c r="F100" s="83"/>
      <c r="G100" s="84"/>
      <c r="H100" s="164" t="s">
        <v>84</v>
      </c>
      <c r="I100" s="28" cm="1">
        <f t="array" ref="I100:J100">IF(ISBLANK(INDEX(_xlfn._xlws.FILTER([1]加工記録２!$O$3:$P$500, [1]加工記録２!$T$3:$T$500=B62), 5)), "", INDEX(_xlfn._xlws.FILTER([1]加工記録２!$O$3:$P$500, [1]加工記録２!$T$3:$T$500=B62), 5))</f>
        <v>3</v>
      </c>
      <c r="J100" s="69" t="str">
        <v/>
      </c>
      <c r="K100" s="30"/>
    </row>
    <row r="101" spans="1:14" s="5" customFormat="1" ht="18" customHeight="1">
      <c r="A101" s="110"/>
      <c r="B101" s="112"/>
      <c r="C101" s="114"/>
      <c r="D101" s="115"/>
      <c r="E101" s="85"/>
      <c r="F101" s="86"/>
      <c r="G101" s="87"/>
      <c r="H101" s="164" t="s">
        <v>85</v>
      </c>
      <c r="I101" s="28" t="str" cm="1">
        <f t="array" ref="I101:J101">IF(ISBLANK(INDEX(_xlfn._xlws.FILTER([1]加工記録２!$O$3:$P$500, [1]加工記録２!$T$3:$T$500=B62), 6)), "", INDEX(_xlfn._xlws.FILTER([1]加工記録２!$O$3:$P$500, [1]加工記録２!$T$3:$T$500=B62), 6))</f>
        <v/>
      </c>
      <c r="J101" s="70" t="str">
        <v/>
      </c>
      <c r="K101" s="29"/>
    </row>
    <row r="102" spans="1:14" s="7" customFormat="1" ht="18" customHeight="1">
      <c r="A102" s="74" t="s">
        <v>86</v>
      </c>
      <c r="B102" s="76" t="str">
        <f>_xlfn.XLOOKUP(B60,[1]!テーブル5[品目コード],[1]!テーブル5[切断寸法],,)</f>
        <v>換算表確認</v>
      </c>
      <c r="C102" s="78" t="s">
        <v>87</v>
      </c>
      <c r="D102" s="80" t="str">
        <f>_xlfn.XLOOKUP(B60,[1]!テーブル5[品目コード],[1]!テーブル5[下限公差],,)</f>
        <v>－0.5</v>
      </c>
      <c r="E102" s="82" t="str">
        <f>_xlfn.XLOOKUP(B60,[1]!テーブル5[品目コード],[1]!テーブル5[梱包方法],,)</f>
        <v>ラベル１枚　長手無　鉢巻１回</v>
      </c>
      <c r="F102" s="83"/>
      <c r="G102" s="84"/>
      <c r="H102" s="164" t="s">
        <v>88</v>
      </c>
      <c r="I102" s="28" t="str" cm="1">
        <f t="array" ref="I102:J102">IF(ISBLANK(INDEX(_xlfn._xlws.FILTER([1]加工記録２!$O$3:$P$500, [1]加工記録２!$T$3:$T$500=B62), 7)), "", INDEX(_xlfn._xlws.FILTER([1]加工記録２!$O$3:$P$500, [1]加工記録２!$T$3:$T$500=B62), 7))</f>
        <v>水野</v>
      </c>
      <c r="J102" s="71" t="str">
        <v/>
      </c>
      <c r="K102" s="30"/>
    </row>
    <row r="103" spans="1:14" s="5" customFormat="1" ht="18" customHeight="1" thickBot="1">
      <c r="A103" s="75"/>
      <c r="B103" s="77"/>
      <c r="C103" s="79"/>
      <c r="D103" s="81"/>
      <c r="E103" s="88"/>
      <c r="F103" s="89"/>
      <c r="G103" s="90"/>
      <c r="H103" s="165" t="s">
        <v>89</v>
      </c>
      <c r="I103" s="31" t="str" cm="1">
        <f t="array" ref="I103:J103">IF(ISBLANK(INDEX(_xlfn._xlws.FILTER([1]加工記録２!$O$3:$P$500, [1]加工記録２!$T$3:$T$500=B62), 8)), "", INDEX(_xlfn._xlws.FILTER([1]加工記録２!$O$3:$P$500, [1]加工記録２!$T$3:$T$500=B62), 8))</f>
        <v>高森</v>
      </c>
      <c r="J103" s="73">
        <v>3</v>
      </c>
    </row>
    <row r="104" spans="1:14" s="39" customFormat="1" ht="18.95" customHeight="1">
      <c r="A104" s="32" t="s">
        <v>90</v>
      </c>
      <c r="B104" s="33" t="s">
        <v>91</v>
      </c>
      <c r="C104" s="34" t="s">
        <v>92</v>
      </c>
      <c r="D104" s="34" t="s">
        <v>93</v>
      </c>
      <c r="E104" s="35" t="s">
        <v>94</v>
      </c>
      <c r="F104" s="59" t="s">
        <v>95</v>
      </c>
      <c r="G104" s="36" t="s">
        <v>96</v>
      </c>
      <c r="H104" s="37" t="s">
        <v>97</v>
      </c>
      <c r="I104" s="60" t="s">
        <v>98</v>
      </c>
      <c r="J104" s="61" t="s">
        <v>99</v>
      </c>
      <c r="K104" s="38"/>
      <c r="L104" s="38"/>
      <c r="M104" s="38"/>
      <c r="N104" s="38"/>
    </row>
    <row r="105" spans="1:14" s="47" customFormat="1" ht="18.95" customHeight="1">
      <c r="A105" s="40" cm="1">
        <f t="array" ref="A105:J105">IF(ISBLANK(INDEX(_xlfn._xlws.FILTER([1]加工記録２!$D$3:$M$500, [1]加工記録２!$T$3:$T$500=B62), 1)), "", INDEX(_xlfn._xlws.FILTER([1]加工記録２!$D$3:$M$500, [1]加工記録２!$T$3:$T$500=B62), 1))</f>
        <v>45782</v>
      </c>
      <c r="B105" s="41" t="str">
        <v>25E09-02</v>
      </c>
      <c r="C105" s="42" t="str">
        <v/>
      </c>
      <c r="D105" s="42" t="str">
        <v/>
      </c>
      <c r="E105" s="43" t="str">
        <v/>
      </c>
      <c r="F105" s="50" t="str">
        <v>25E09-02</v>
      </c>
      <c r="G105" s="48">
        <v>15</v>
      </c>
      <c r="H105" s="51">
        <v>15</v>
      </c>
      <c r="I105" s="44">
        <v>45814</v>
      </c>
      <c r="J105" s="45">
        <v>4</v>
      </c>
      <c r="K105" s="46"/>
      <c r="L105" s="46"/>
      <c r="M105" s="46"/>
      <c r="N105" s="46"/>
    </row>
    <row r="106" spans="1:14" s="47" customFormat="1" ht="18.95" customHeight="1">
      <c r="A106" s="40" cm="1">
        <f t="array" ref="A106:J106">IF(ISBLANK(INDEX(_xlfn._xlws.FILTER([1]加工記録２!$D$3:$M$500, [1]加工記録２!$T$3:$T$500=B62), 2)), "", INDEX(_xlfn._xlws.FILTER([1]加工記録２!$D$3:$M$500, [1]加工記録２!$T$3:$T$500=B62), 2))</f>
        <v>45813</v>
      </c>
      <c r="B106" s="48" t="str">
        <v>25E14-06</v>
      </c>
      <c r="C106" s="48">
        <v>26</v>
      </c>
      <c r="D106" s="48">
        <v>1478.58</v>
      </c>
      <c r="E106" s="49">
        <v>1478.58</v>
      </c>
      <c r="F106" s="50" t="str">
        <v>25E14-06</v>
      </c>
      <c r="G106" s="48">
        <v>359</v>
      </c>
      <c r="H106" s="51">
        <v>359</v>
      </c>
      <c r="I106" s="44" t="str">
        <v/>
      </c>
      <c r="J106" s="45" t="str">
        <v/>
      </c>
      <c r="K106" s="46"/>
      <c r="L106" s="46"/>
      <c r="M106" s="46"/>
      <c r="N106" s="46"/>
    </row>
    <row r="107" spans="1:14" s="47" customFormat="1" ht="18.95" customHeight="1">
      <c r="A107" s="40" cm="1">
        <f t="array" ref="A107:J107">IF(ISBLANK(INDEX(_xlfn._xlws.FILTER([1]加工記録２!$D$3:$M$500, [1]加工記録２!$T$3:$T$500=B62), 3)), "", INDEX(_xlfn._xlws.FILTER([1]加工記録２!$D$3:$M$500, [1]加工記録２!$T$3:$T$500=B62), 3))</f>
        <v>45813</v>
      </c>
      <c r="B107" s="48" t="str">
        <v>25E27-09</v>
      </c>
      <c r="C107" s="48">
        <v>26</v>
      </c>
      <c r="D107" s="48">
        <v>1478.58</v>
      </c>
      <c r="E107" s="49">
        <v>1478.65</v>
      </c>
      <c r="F107" s="50" t="str">
        <v>25E27-09</v>
      </c>
      <c r="G107" s="48">
        <v>29</v>
      </c>
      <c r="H107" s="51">
        <v>29</v>
      </c>
      <c r="I107" s="44" t="str">
        <v/>
      </c>
      <c r="J107" s="45" t="str">
        <v/>
      </c>
      <c r="K107" s="46"/>
      <c r="L107" s="46"/>
      <c r="M107" s="46"/>
      <c r="N107" s="46"/>
    </row>
    <row r="108" spans="1:14" s="47" customFormat="1" ht="18.95" customHeight="1">
      <c r="A108" s="40" t="str" cm="1">
        <f t="array" ref="A108:J108">IF(ISBLANK(INDEX(_xlfn._xlws.FILTER([1]加工記録２!$D$3:$M$500, [1]加工記録２!$T$3:$T$500=B62), 4)), "", INDEX(_xlfn._xlws.FILTER([1]加工記録２!$D$3:$M$500, [1]加工記録２!$T$3:$T$500=B62), 4))</f>
        <v/>
      </c>
      <c r="B108" s="48" t="str">
        <v/>
      </c>
      <c r="C108" s="48" t="str">
        <v/>
      </c>
      <c r="D108" s="48" t="str">
        <v/>
      </c>
      <c r="E108" s="49" t="str">
        <v/>
      </c>
      <c r="F108" s="50" t="str">
        <v/>
      </c>
      <c r="G108" s="48" t="str">
        <v/>
      </c>
      <c r="H108" s="51" t="str">
        <v/>
      </c>
      <c r="I108" s="44" t="str">
        <v/>
      </c>
      <c r="J108" s="45" t="str">
        <v/>
      </c>
      <c r="K108" s="46"/>
      <c r="L108" s="46"/>
      <c r="M108" s="46"/>
      <c r="N108" s="46"/>
    </row>
    <row r="109" spans="1:14" s="47" customFormat="1" ht="18.95" customHeight="1">
      <c r="A109" s="40" t="str" cm="1">
        <f t="array" ref="A109:J109">IF(ISBLANK(INDEX(_xlfn._xlws.FILTER([1]加工記録２!$D$3:$M$500, [1]加工記録２!$T$3:$T$500=B62), 5)), "", INDEX(_xlfn._xlws.FILTER([1]加工記録２!$D$3:$M$500, [1]加工記録２!$T$3:$T$500=B62), 5))</f>
        <v/>
      </c>
      <c r="B109" s="48" t="str">
        <v/>
      </c>
      <c r="C109" s="48" t="str">
        <v/>
      </c>
      <c r="D109" s="48" t="str">
        <v/>
      </c>
      <c r="E109" s="49" t="str">
        <v/>
      </c>
      <c r="F109" s="50" t="str">
        <v/>
      </c>
      <c r="G109" s="48" t="str">
        <v/>
      </c>
      <c r="H109" s="51" t="str">
        <v/>
      </c>
      <c r="I109" s="62" t="str">
        <v/>
      </c>
      <c r="J109" s="63" t="str">
        <v/>
      </c>
      <c r="K109" s="46"/>
      <c r="L109" s="46"/>
      <c r="M109" s="46"/>
      <c r="N109" s="46"/>
    </row>
    <row r="110" spans="1:14" s="47" customFormat="1" ht="18.95" customHeight="1">
      <c r="A110" s="40" t="str" cm="1">
        <f t="array" ref="A110:J110">IF(ISBLANK(INDEX(_xlfn._xlws.FILTER([1]加工記録２!$D$3:$M$500, [1]加工記録２!$T$3:$T$500=B62), 6)), "", INDEX(_xlfn._xlws.FILTER([1]加工記録２!$D$3:$M$500, [1]加工記録２!$T$3:$T$500=B62), 6))</f>
        <v/>
      </c>
      <c r="B110" s="48" t="str">
        <v/>
      </c>
      <c r="C110" s="48" t="str">
        <v/>
      </c>
      <c r="D110" s="48" t="str">
        <v/>
      </c>
      <c r="E110" s="49" t="str">
        <v/>
      </c>
      <c r="F110" s="50" t="str">
        <v/>
      </c>
      <c r="G110" s="48" t="str">
        <v/>
      </c>
      <c r="H110" s="64" t="str">
        <v/>
      </c>
      <c r="I110" s="62" t="str">
        <v/>
      </c>
      <c r="J110" s="63" t="str">
        <v/>
      </c>
      <c r="K110" s="46"/>
      <c r="L110" s="46"/>
      <c r="M110" s="46"/>
      <c r="N110" s="46"/>
    </row>
    <row r="111" spans="1:14" s="47" customFormat="1" ht="18.95" customHeight="1">
      <c r="A111" s="40" t="str" cm="1">
        <f t="array" ref="A111:J111">IF(ISBLANK(INDEX(_xlfn._xlws.FILTER([1]加工記録２!$D$3:$M$500, [1]加工記録２!$T$3:$T$500=B62), 7)), "", INDEX(_xlfn._xlws.FILTER([1]加工記録２!$D$3:$M$500, [1]加工記録２!$T$3:$T$500=B62), 7))</f>
        <v/>
      </c>
      <c r="B111" s="48" t="str">
        <v/>
      </c>
      <c r="C111" s="48" t="str">
        <v/>
      </c>
      <c r="D111" s="48" t="str">
        <v/>
      </c>
      <c r="E111" s="49" t="str">
        <v/>
      </c>
      <c r="F111" s="50" t="str">
        <v/>
      </c>
      <c r="G111" s="48" t="str">
        <v/>
      </c>
      <c r="H111" s="64" t="str">
        <v/>
      </c>
      <c r="I111" s="62" t="str">
        <v/>
      </c>
      <c r="J111" s="63" t="str">
        <v/>
      </c>
      <c r="K111" s="46"/>
      <c r="L111" s="46"/>
      <c r="M111" s="46"/>
      <c r="N111" s="46"/>
    </row>
    <row r="112" spans="1:14" s="47" customFormat="1" ht="18.95" customHeight="1" thickBot="1">
      <c r="A112" s="52" t="str" cm="1">
        <f t="array" ref="A112:J112">IF(ISBLANK(INDEX(_xlfn._xlws.FILTER([1]加工記録２!$D$3:$M$500, [1]加工記録２!$T$3:$T$500=B62), 8)), "", INDEX(_xlfn._xlws.FILTER([1]加工記録２!$D$3:$M$500, [1]加工記録２!$T$3:$T$500=B62), 8))</f>
        <v/>
      </c>
      <c r="B112" s="53" t="str">
        <v/>
      </c>
      <c r="C112" s="53" t="str">
        <v/>
      </c>
      <c r="D112" s="53" t="str">
        <v/>
      </c>
      <c r="E112" s="54" t="str">
        <v/>
      </c>
      <c r="F112" s="55" t="str">
        <v/>
      </c>
      <c r="G112" s="53" t="str">
        <v/>
      </c>
      <c r="H112" s="65" t="str">
        <v/>
      </c>
      <c r="I112" s="56" t="str">
        <v/>
      </c>
      <c r="J112" s="57" t="str">
        <v/>
      </c>
      <c r="K112" s="46"/>
      <c r="L112" s="46"/>
      <c r="M112" s="46"/>
      <c r="N112" s="4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F94:J94"/>
    <mergeCell ref="A64:A65"/>
    <mergeCell ref="C29:E29"/>
    <mergeCell ref="A31:B31"/>
    <mergeCell ref="F73:H73"/>
    <mergeCell ref="C86:E86"/>
    <mergeCell ref="E95:G95"/>
    <mergeCell ref="E96:F97"/>
    <mergeCell ref="G96:G97"/>
    <mergeCell ref="E38:G38"/>
    <mergeCell ref="E39:F40"/>
    <mergeCell ref="G39:G40"/>
    <mergeCell ref="E41:G42"/>
    <mergeCell ref="E43:G44"/>
    <mergeCell ref="E45:G46"/>
    <mergeCell ref="A94:B94"/>
    <mergeCell ref="G69:G70"/>
    <mergeCell ref="A72:J72"/>
    <mergeCell ref="C93:E93"/>
    <mergeCell ref="A43:A44"/>
    <mergeCell ref="B43:B44"/>
    <mergeCell ref="C94:E94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F90:J90"/>
    <mergeCell ref="A32:B32"/>
    <mergeCell ref="I23:J23"/>
    <mergeCell ref="G89:H89"/>
    <mergeCell ref="C92:E92"/>
    <mergeCell ref="C30:E30"/>
    <mergeCell ref="C23:D23"/>
    <mergeCell ref="I79:J79"/>
    <mergeCell ref="E62:E63"/>
    <mergeCell ref="I73:J73"/>
    <mergeCell ref="F37:J37"/>
    <mergeCell ref="J61:J62"/>
    <mergeCell ref="I34:J34"/>
    <mergeCell ref="B62:B63"/>
    <mergeCell ref="F80:H80"/>
    <mergeCell ref="A82:B82"/>
    <mergeCell ref="A60:A61"/>
    <mergeCell ref="H67:J68"/>
    <mergeCell ref="F75:H75"/>
    <mergeCell ref="G36:H36"/>
    <mergeCell ref="D41:D42"/>
    <mergeCell ref="F88:J88"/>
    <mergeCell ref="C75:D75"/>
    <mergeCell ref="C22:D22"/>
    <mergeCell ref="C80:D80"/>
    <mergeCell ref="F26:J26"/>
    <mergeCell ref="C21:D21"/>
    <mergeCell ref="C37:E37"/>
    <mergeCell ref="C43:C44"/>
    <mergeCell ref="I78:J78"/>
    <mergeCell ref="D60:D61"/>
    <mergeCell ref="F31:J31"/>
    <mergeCell ref="C31:E31"/>
    <mergeCell ref="B60:B61"/>
    <mergeCell ref="A37:B37"/>
    <mergeCell ref="C87:E87"/>
    <mergeCell ref="C73:D73"/>
    <mergeCell ref="F83:J83"/>
    <mergeCell ref="I76:J76"/>
    <mergeCell ref="F78:H78"/>
    <mergeCell ref="C34:E34"/>
    <mergeCell ref="I61:I62"/>
    <mergeCell ref="A36:B36"/>
    <mergeCell ref="I85:J85"/>
    <mergeCell ref="F76:H76"/>
    <mergeCell ref="C78:D78"/>
    <mergeCell ref="C36:E36"/>
    <mergeCell ref="I69:J70"/>
    <mergeCell ref="A93:B93"/>
    <mergeCell ref="C35:E35"/>
    <mergeCell ref="F92:J92"/>
    <mergeCell ref="G91:H91"/>
    <mergeCell ref="A92:B92"/>
    <mergeCell ref="A90:B90"/>
    <mergeCell ref="C91:E91"/>
    <mergeCell ref="G34:H34"/>
    <mergeCell ref="A33:B33"/>
    <mergeCell ref="C76:D76"/>
    <mergeCell ref="A85:B85"/>
    <mergeCell ref="B64:B65"/>
    <mergeCell ref="A35:B35"/>
    <mergeCell ref="F64:G64"/>
    <mergeCell ref="E60:E61"/>
    <mergeCell ref="A88:B88"/>
    <mergeCell ref="F60:H61"/>
    <mergeCell ref="C79:D79"/>
    <mergeCell ref="A89:B89"/>
    <mergeCell ref="F35:J35"/>
    <mergeCell ref="F77:H77"/>
    <mergeCell ref="F66:G66"/>
    <mergeCell ref="B58:D59"/>
    <mergeCell ref="C60:C61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J4:J5"/>
    <mergeCell ref="F33:J33"/>
    <mergeCell ref="F3:H4"/>
    <mergeCell ref="B3:B4"/>
    <mergeCell ref="H10:J11"/>
    <mergeCell ref="D3:D4"/>
    <mergeCell ref="A15:J15"/>
    <mergeCell ref="H12:H13"/>
    <mergeCell ref="F9:G9"/>
    <mergeCell ref="G25:H25"/>
    <mergeCell ref="I19:J19"/>
    <mergeCell ref="C18:D18"/>
    <mergeCell ref="A7:A8"/>
    <mergeCell ref="G10:G11"/>
    <mergeCell ref="F22:H22"/>
    <mergeCell ref="I16:J16"/>
    <mergeCell ref="I25:J25"/>
    <mergeCell ref="C16:D16"/>
    <mergeCell ref="A25:B25"/>
    <mergeCell ref="F18:H18"/>
    <mergeCell ref="F7:G7"/>
    <mergeCell ref="F23:H23"/>
    <mergeCell ref="C20:D20"/>
    <mergeCell ref="I18:J18"/>
    <mergeCell ref="F5:H6"/>
    <mergeCell ref="F16:H16"/>
    <mergeCell ref="F20:H20"/>
    <mergeCell ref="I21:J21"/>
    <mergeCell ref="G87:H87"/>
    <mergeCell ref="I87:J87"/>
    <mergeCell ref="C28:E28"/>
    <mergeCell ref="G32:H32"/>
    <mergeCell ref="A38:D38"/>
    <mergeCell ref="A39:D40"/>
    <mergeCell ref="A41:A42"/>
    <mergeCell ref="B41:B42"/>
    <mergeCell ref="C41:C42"/>
    <mergeCell ref="D43:D44"/>
    <mergeCell ref="A45:A46"/>
    <mergeCell ref="B45:B46"/>
    <mergeCell ref="C45:C46"/>
    <mergeCell ref="D45:D46"/>
    <mergeCell ref="I82:J82"/>
    <mergeCell ref="C33:E33"/>
    <mergeCell ref="F62:H63"/>
    <mergeCell ref="C32:E32"/>
    <mergeCell ref="I77:J77"/>
    <mergeCell ref="I80:J80"/>
    <mergeCell ref="A87:B87"/>
    <mergeCell ref="I32:J32"/>
    <mergeCell ref="H69:H70"/>
    <mergeCell ref="A102:A103"/>
    <mergeCell ref="B102:B103"/>
    <mergeCell ref="C102:C103"/>
    <mergeCell ref="D102:D103"/>
    <mergeCell ref="E100:G101"/>
    <mergeCell ref="E102:G103"/>
    <mergeCell ref="H38:I38"/>
    <mergeCell ref="H95:I95"/>
    <mergeCell ref="A95:D95"/>
    <mergeCell ref="A96:D97"/>
    <mergeCell ref="A98:A99"/>
    <mergeCell ref="B98:B99"/>
    <mergeCell ref="C98:C99"/>
    <mergeCell ref="D98:D99"/>
    <mergeCell ref="E98:G99"/>
    <mergeCell ref="A100:A101"/>
    <mergeCell ref="B100:B101"/>
    <mergeCell ref="C100:C101"/>
    <mergeCell ref="D100:D101"/>
    <mergeCell ref="I89:J89"/>
    <mergeCell ref="F79:H79"/>
    <mergeCell ref="A91:B91"/>
    <mergeCell ref="C89:E89"/>
    <mergeCell ref="C88:E88"/>
  </mergeCells>
  <phoneticPr fontId="2"/>
  <conditionalFormatting sqref="D107:D112">
    <cfRule type="cellIs" dxfId="2" priority="2" operator="equal">
      <formula>$D$49</formula>
    </cfRule>
  </conditionalFormatting>
  <conditionalFormatting sqref="D50:D55">
    <cfRule type="cellIs" dxfId="0" priority="1" operator="equal">
      <formula>$D$49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teppei tomita</cp:lastModifiedBy>
  <cp:lastPrinted>2024-07-22T04:35:10Z</cp:lastPrinted>
  <dcterms:created xsi:type="dcterms:W3CDTF">2024-07-11T02:08:33Z</dcterms:created>
  <dcterms:modified xsi:type="dcterms:W3CDTF">2025-06-10T08:11:42Z</dcterms:modified>
</cp:coreProperties>
</file>