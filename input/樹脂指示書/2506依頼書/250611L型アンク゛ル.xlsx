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黒部工業－ＰＣ\Desktop\樹脂指示書\"/>
    </mc:Choice>
  </mc:AlternateContent>
  <xr:revisionPtr revIDLastSave="0" documentId="13_ncr:1_{FB7D86A3-2468-4D14-9C9A-16F698F889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40" i="1" l="1" a="1"/>
  <c r="A340" i="1" s="1"/>
  <c r="A339" i="1" a="1"/>
  <c r="A339" i="1" s="1"/>
  <c r="A338" i="1" a="1"/>
  <c r="A338" i="1" s="1"/>
  <c r="A337" i="1" a="1"/>
  <c r="A337" i="1" s="1"/>
  <c r="A336" i="1" a="1"/>
  <c r="A336" i="1" s="1"/>
  <c r="A335" i="1" a="1"/>
  <c r="A335" i="1" s="1"/>
  <c r="A334" i="1" a="1"/>
  <c r="A334" i="1" s="1"/>
  <c r="A333" i="1" a="1"/>
  <c r="A333" i="1" s="1"/>
  <c r="I331" i="1" a="1"/>
  <c r="I331" i="1" s="1"/>
  <c r="I330" i="1" a="1"/>
  <c r="I330" i="1" s="1"/>
  <c r="E330" i="1"/>
  <c r="D330" i="1"/>
  <c r="B330" i="1"/>
  <c r="I329" i="1" a="1"/>
  <c r="I329" i="1" s="1"/>
  <c r="I328" i="1" a="1"/>
  <c r="I328" i="1" s="1"/>
  <c r="E328" i="1"/>
  <c r="D328" i="1"/>
  <c r="B328" i="1"/>
  <c r="I327" i="1" a="1"/>
  <c r="I327" i="1" s="1"/>
  <c r="I326" i="1" a="1"/>
  <c r="I326" i="1" s="1"/>
  <c r="E326" i="1"/>
  <c r="D326" i="1"/>
  <c r="B326" i="1"/>
  <c r="I325" i="1" a="1"/>
  <c r="I325" i="1" s="1"/>
  <c r="I324" i="1"/>
  <c r="I324" i="1" a="1"/>
  <c r="G324" i="1" a="1"/>
  <c r="G324" i="1" s="1"/>
  <c r="E324" i="1" a="1"/>
  <c r="E324" i="1" s="1"/>
  <c r="A324" i="1"/>
  <c r="A283" i="1" a="1"/>
  <c r="A283" i="1" s="1"/>
  <c r="A282" i="1" a="1"/>
  <c r="A282" i="1" s="1"/>
  <c r="A281" i="1" a="1"/>
  <c r="A281" i="1" s="1"/>
  <c r="A280" i="1" a="1"/>
  <c r="A280" i="1" s="1"/>
  <c r="A279" i="1" a="1"/>
  <c r="A279" i="1" s="1"/>
  <c r="A278" i="1" a="1"/>
  <c r="A278" i="1" s="1"/>
  <c r="A277" i="1" a="1"/>
  <c r="A277" i="1" s="1"/>
  <c r="A276" i="1" a="1"/>
  <c r="A276" i="1" s="1"/>
  <c r="I274" i="1" a="1"/>
  <c r="I274" i="1" s="1"/>
  <c r="I273" i="1" a="1"/>
  <c r="I273" i="1" s="1"/>
  <c r="E273" i="1"/>
  <c r="D273" i="1"/>
  <c r="B273" i="1"/>
  <c r="I272" i="1" a="1"/>
  <c r="I272" i="1" s="1"/>
  <c r="I271" i="1" a="1"/>
  <c r="I271" i="1" s="1"/>
  <c r="E271" i="1"/>
  <c r="D271" i="1"/>
  <c r="B271" i="1"/>
  <c r="I270" i="1" a="1"/>
  <c r="I270" i="1" s="1"/>
  <c r="I269" i="1" a="1"/>
  <c r="I269" i="1" s="1"/>
  <c r="E269" i="1"/>
  <c r="D269" i="1"/>
  <c r="B269" i="1"/>
  <c r="I268" i="1" a="1"/>
  <c r="I268" i="1" s="1"/>
  <c r="I267" i="1" a="1"/>
  <c r="I267" i="1" s="1"/>
  <c r="G267" i="1" a="1"/>
  <c r="G267" i="1" s="1"/>
  <c r="E267" i="1" a="1"/>
  <c r="E267" i="1" s="1"/>
  <c r="A267" i="1"/>
  <c r="A226" i="1" a="1"/>
  <c r="A226" i="1" s="1"/>
  <c r="A225" i="1" a="1"/>
  <c r="A225" i="1" s="1"/>
  <c r="A224" i="1" a="1"/>
  <c r="A224" i="1" s="1"/>
  <c r="A223" i="1" a="1"/>
  <c r="A223" i="1" s="1"/>
  <c r="A222" i="1" a="1"/>
  <c r="A222" i="1" s="1"/>
  <c r="A221" i="1" a="1"/>
  <c r="A221" i="1" s="1"/>
  <c r="A220" i="1" a="1"/>
  <c r="A220" i="1" s="1"/>
  <c r="A219" i="1" a="1"/>
  <c r="A219" i="1" s="1"/>
  <c r="I217" i="1" a="1"/>
  <c r="I217" i="1" s="1"/>
  <c r="I216" i="1" a="1"/>
  <c r="I216" i="1" s="1"/>
  <c r="E216" i="1"/>
  <c r="D216" i="1"/>
  <c r="B216" i="1"/>
  <c r="I215" i="1" a="1"/>
  <c r="I215" i="1" s="1"/>
  <c r="I214" i="1" a="1"/>
  <c r="I214" i="1" s="1"/>
  <c r="E214" i="1"/>
  <c r="D214" i="1"/>
  <c r="B214" i="1"/>
  <c r="I213" i="1" a="1"/>
  <c r="I213" i="1" s="1"/>
  <c r="I212" i="1" a="1"/>
  <c r="I212" i="1" s="1"/>
  <c r="E212" i="1"/>
  <c r="D212" i="1"/>
  <c r="B212" i="1"/>
  <c r="I211" i="1" a="1"/>
  <c r="I211" i="1" s="1"/>
  <c r="I210" i="1" a="1"/>
  <c r="I210" i="1" s="1"/>
  <c r="G210" i="1" a="1"/>
  <c r="G210" i="1" s="1"/>
  <c r="E210" i="1" a="1"/>
  <c r="E210" i="1" s="1"/>
  <c r="A210" i="1"/>
  <c r="A169" i="1" a="1"/>
  <c r="A169" i="1" s="1"/>
  <c r="A168" i="1" a="1"/>
  <c r="A168" i="1" s="1"/>
  <c r="A167" i="1" a="1"/>
  <c r="A167" i="1" s="1"/>
  <c r="A166" i="1" a="1"/>
  <c r="A166" i="1" s="1"/>
  <c r="A165" i="1" a="1"/>
  <c r="A165" i="1" s="1"/>
  <c r="A164" i="1" a="1"/>
  <c r="A164" i="1" s="1"/>
  <c r="A163" i="1" a="1"/>
  <c r="A163" i="1" s="1"/>
  <c r="A162" i="1" a="1"/>
  <c r="A162" i="1" s="1"/>
  <c r="I160" i="1" a="1"/>
  <c r="I160" i="1" s="1"/>
  <c r="I159" i="1" a="1"/>
  <c r="I159" i="1" s="1"/>
  <c r="E159" i="1"/>
  <c r="D159" i="1"/>
  <c r="B159" i="1"/>
  <c r="I158" i="1" a="1"/>
  <c r="I158" i="1" s="1"/>
  <c r="I157" i="1" a="1"/>
  <c r="I157" i="1" s="1"/>
  <c r="E157" i="1"/>
  <c r="D157" i="1"/>
  <c r="B157" i="1"/>
  <c r="I156" i="1" a="1"/>
  <c r="I156" i="1" s="1"/>
  <c r="I155" i="1" a="1"/>
  <c r="I155" i="1" s="1"/>
  <c r="E155" i="1"/>
  <c r="B155" i="1"/>
  <c r="I154" i="1" a="1"/>
  <c r="I154" i="1" s="1"/>
  <c r="I153" i="1" a="1"/>
  <c r="I153" i="1" s="1"/>
  <c r="G153" i="1" a="1"/>
  <c r="G153" i="1" s="1"/>
  <c r="E153" i="1" a="1"/>
  <c r="E153" i="1" s="1"/>
  <c r="A153" i="1"/>
  <c r="A112" i="1" a="1"/>
  <c r="A112" i="1" s="1"/>
  <c r="A111" i="1" a="1"/>
  <c r="A111" i="1" s="1"/>
  <c r="A110" i="1" a="1"/>
  <c r="A110" i="1" s="1"/>
  <c r="A109" i="1" a="1"/>
  <c r="A109" i="1" s="1"/>
  <c r="A108" i="1" a="1"/>
  <c r="A108" i="1" s="1"/>
  <c r="A107" i="1" a="1"/>
  <c r="A107" i="1" s="1"/>
  <c r="A106" i="1" a="1"/>
  <c r="A106" i="1" s="1"/>
  <c r="A105" i="1" a="1"/>
  <c r="A105" i="1" s="1"/>
  <c r="I103" i="1" a="1"/>
  <c r="I103" i="1" s="1"/>
  <c r="I102" i="1" a="1"/>
  <c r="I102" i="1" s="1"/>
  <c r="E102" i="1"/>
  <c r="D102" i="1"/>
  <c r="B102" i="1"/>
  <c r="I101" i="1" a="1"/>
  <c r="I101" i="1" s="1"/>
  <c r="I100" i="1" a="1"/>
  <c r="I100" i="1" s="1"/>
  <c r="E100" i="1"/>
  <c r="D100" i="1"/>
  <c r="B100" i="1"/>
  <c r="I99" i="1" a="1"/>
  <c r="I99" i="1" s="1"/>
  <c r="I98" i="1" a="1"/>
  <c r="I98" i="1" s="1"/>
  <c r="E98" i="1"/>
  <c r="B98" i="1"/>
  <c r="I97" i="1" a="1"/>
  <c r="I97" i="1" s="1"/>
  <c r="I96" i="1" a="1"/>
  <c r="I96" i="1" s="1"/>
  <c r="G96" i="1" a="1"/>
  <c r="G96" i="1" s="1"/>
  <c r="E96" i="1" a="1"/>
  <c r="E96" i="1" s="1"/>
  <c r="A96" i="1"/>
  <c r="A55" i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B41" i="1"/>
  <c r="I40" i="1" a="1"/>
  <c r="I40" i="1" s="1"/>
  <c r="I39" i="1" a="1"/>
  <c r="I39" i="1" s="1"/>
  <c r="G39" i="1" a="1"/>
  <c r="G39" i="1" s="1"/>
  <c r="E39" i="1" a="1"/>
  <c r="E39" i="1" s="1"/>
  <c r="A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<sst xmlns="http://schemas.openxmlformats.org/spreadsheetml/2006/main" count="528" uniqueCount="116">
  <si>
    <t>検査梱包指示書</t>
  </si>
  <si>
    <t>品目番号</t>
  </si>
  <si>
    <t>J1ECZZB00105200</t>
  </si>
  <si>
    <t>Ｌ寸</t>
  </si>
  <si>
    <t>名称</t>
  </si>
  <si>
    <t>L型ｱﾝｸﾞﾙP-VH-42D</t>
  </si>
  <si>
    <t>上長</t>
  </si>
  <si>
    <t>係員</t>
  </si>
  <si>
    <t>製造指図№</t>
  </si>
  <si>
    <t>000000000004267</t>
  </si>
  <si>
    <t>原料名</t>
  </si>
  <si>
    <t>(J6VB075)</t>
  </si>
  <si>
    <t>発注明細№</t>
  </si>
  <si>
    <t>000000000762880</t>
  </si>
  <si>
    <t>色　名</t>
  </si>
  <si>
    <t>ｼﾛ</t>
  </si>
  <si>
    <t>製品Grp</t>
  </si>
  <si>
    <t>J1EA</t>
  </si>
  <si>
    <t>開始日</t>
  </si>
  <si>
    <t>入り数</t>
  </si>
  <si>
    <t>終了日</t>
  </si>
  <si>
    <t>梱包数</t>
  </si>
  <si>
    <t>指示数量</t>
  </si>
  <si>
    <t>金　型</t>
  </si>
  <si>
    <t>4088</t>
  </si>
  <si>
    <t>*J1ECZZB00105200*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</si>
  <si>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</si>
  <si>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</si>
  <si>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</si>
  <si>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</si>
  <si>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</si>
  <si>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</si>
  <si>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</si>
  <si>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</si>
  <si>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</si>
  <si>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</si>
  <si>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</si>
  <si>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</si>
  <si>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</si>
  <si>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</si>
  <si>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</si>
  <si>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</si>
  <si>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</si>
  <si>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</si>
  <si>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</si>
  <si>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</si>
  <si>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</si>
  <si>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</si>
  <si>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J1ECZZA00116000</t>
  </si>
  <si>
    <t>@L型ｱﾝｸﾞﾙ</t>
  </si>
  <si>
    <t>V3J01</t>
  </si>
  <si>
    <t>*J1ECZZA00116000*</t>
  </si>
  <si>
    <t>J6DK0004</t>
  </si>
  <si>
    <t>S-30</t>
  </si>
  <si>
    <t>*J6DK0004*</t>
  </si>
  <si>
    <t>J1ECZZB00105300</t>
  </si>
  <si>
    <t>L型ｱﾝｸﾞﾙP-VH-C</t>
  </si>
  <si>
    <t>000000000004268</t>
  </si>
  <si>
    <t>000000000762881</t>
  </si>
  <si>
    <t>*J1ECZZB00105300*</t>
  </si>
  <si>
    <t>J1ECZZB00105900</t>
  </si>
  <si>
    <t>L型ｱﾝｸﾞﾙWT-42B</t>
  </si>
  <si>
    <t>000000000004269</t>
  </si>
  <si>
    <t>000000000762882</t>
  </si>
  <si>
    <t>*J1ECZZB00105900*</t>
  </si>
  <si>
    <t>J1ECZZB00106900</t>
  </si>
  <si>
    <t>L型ｱﾝｸﾞﾙP-VH-56D</t>
  </si>
  <si>
    <t>000000000004270</t>
  </si>
  <si>
    <t>000000000762883</t>
  </si>
  <si>
    <t>*J1ECZZB00106900*</t>
  </si>
  <si>
    <t>J6DK0005</t>
  </si>
  <si>
    <t>S-40</t>
  </si>
  <si>
    <t>*J6DK0005*</t>
  </si>
  <si>
    <t>J1ECZZB00107600</t>
  </si>
  <si>
    <t>L型ｱﾝｸﾞﾙWT-56B</t>
  </si>
  <si>
    <t>000000000004271</t>
  </si>
  <si>
    <t>000000000762884</t>
  </si>
  <si>
    <t>*J1ECZZB00107600*</t>
  </si>
  <si>
    <t>J1ECZZB00110180</t>
  </si>
  <si>
    <t>L型ｱﾝｸﾞﾙP-VH-A</t>
  </si>
  <si>
    <t>000000000004272</t>
  </si>
  <si>
    <t>000000000762885</t>
  </si>
  <si>
    <t>*J1ECZZB00110180*</t>
  </si>
  <si>
    <t>T-60</t>
  </si>
  <si>
    <t>*J6DA0043*</t>
  </si>
  <si>
    <t>J6DK0004</t>
    <phoneticPr fontId="2"/>
  </si>
  <si>
    <t>J6DK0005</t>
    <phoneticPr fontId="2"/>
  </si>
  <si>
    <t>J6DA0043</t>
    <phoneticPr fontId="2"/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</si>
  <si>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</si>
  <si>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</si>
  <si>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</si>
  <si>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</si>
  <si>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</si>
  <si>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</si>
  <si>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</si>
  <si>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</si>
  <si>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</si>
  <si>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</si>
  <si>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</si>
  <si>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</si>
  <si>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</si>
  <si>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</si>
  <si>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</si>
  <si>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</si>
  <si>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</si>
  <si>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</si>
  <si>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</si>
  <si>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基材Lot</t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</si>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</sst>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76" formatCode="[$-F800]dddd\,\ mmmm\ dd\,\ yyyy"/>
    <numFmt numFmtId="177" formatCode="#,##0.0_ "/>
    <numFmt numFmtId="178" formatCode="#,##0_ "/>
    <numFmt numFmtId="179" formatCode="#"/>
    <numFmt numFmtId="180" formatCode="#&quot;枚使用&quot;"/>
    <numFmt numFmtId="181" formatCode="m&quot;月&quot;d&quot;日&quot;;@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0"/>
    <numFmt numFmtId="192" formatCode="m/d"/>
    <numFmt numFmtId="193" formatCode="yy\,mm\,dd"/>
    <numFmt numFmtId="194" formatCode="#&quot;箱&quot;"/>
  </numFmts>
  <fonts count="29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13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8" xfId="0" applyFont="1" applyFill="1" applyBorder="1">
      <alignment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8" fillId="0" borderId="23" xfId="0" applyNumberFormat="1" applyFont="1" applyBorder="1" applyAlignment="1">
      <alignment horizontal="center" vertical="center"/>
    </xf>
    <xf numFmtId="181" fontId="5" fillId="0" borderId="2" xfId="1" applyNumberFormat="1" applyFont="1" applyBorder="1" applyAlignment="1">
      <alignment horizontal="center" vertical="center" shrinkToFit="1"/>
    </xf>
    <xf numFmtId="182" fontId="18" fillId="0" borderId="24" xfId="0" applyNumberFormat="1" applyFont="1" applyBorder="1" applyAlignment="1">
      <alignment horizontal="left" vertical="center" shrinkToFit="1"/>
    </xf>
    <xf numFmtId="0" fontId="5" fillId="0" borderId="2" xfId="1" applyFont="1" applyBorder="1" applyAlignment="1">
      <alignment horizontal="center" vertical="center" shrinkToFit="1"/>
    </xf>
    <xf numFmtId="183" fontId="18" fillId="0" borderId="27" xfId="0" applyNumberFormat="1" applyFont="1" applyBorder="1" applyAlignment="1">
      <alignment horizontal="left" vertical="center" shrinkToFit="1"/>
    </xf>
    <xf numFmtId="49" fontId="19" fillId="0" borderId="0" xfId="1" applyNumberFormat="1" applyFont="1" applyAlignment="1">
      <alignment horizontal="left" vertical="center" shrinkToFit="1"/>
    </xf>
    <xf numFmtId="0" fontId="18" fillId="0" borderId="23" xfId="0" applyFont="1" applyBorder="1" applyAlignment="1">
      <alignment horizontal="center" vertical="center" wrapText="1"/>
    </xf>
    <xf numFmtId="184" fontId="18" fillId="0" borderId="27" xfId="0" applyNumberFormat="1" applyFont="1" applyBorder="1" applyAlignment="1">
      <alignment horizontal="left" vertical="center" shrinkToFit="1"/>
    </xf>
    <xf numFmtId="49" fontId="21" fillId="0" borderId="0" xfId="1" applyNumberFormat="1" applyFont="1" applyAlignment="1">
      <alignment horizontal="left" vertical="center" shrinkToFit="1"/>
    </xf>
    <xf numFmtId="185" fontId="18" fillId="0" borderId="27" xfId="0" applyNumberFormat="1" applyFont="1" applyBorder="1" applyAlignment="1">
      <alignment horizontal="left" vertical="center" shrinkToFit="1"/>
    </xf>
    <xf numFmtId="187" fontId="18" fillId="0" borderId="27" xfId="0" applyNumberFormat="1" applyFont="1" applyBorder="1" applyAlignment="1">
      <alignment horizontal="left" vertical="center" shrinkToFit="1"/>
    </xf>
    <xf numFmtId="188" fontId="18" fillId="0" borderId="27" xfId="0" applyNumberFormat="1" applyFont="1" applyBorder="1" applyAlignment="1">
      <alignment horizontal="left" vertical="center" shrinkToFit="1"/>
    </xf>
    <xf numFmtId="190" fontId="18" fillId="0" borderId="27" xfId="0" applyNumberFormat="1" applyFont="1" applyBorder="1" applyAlignment="1">
      <alignment horizontal="left" vertical="center" shrinkToFit="1"/>
    </xf>
    <xf numFmtId="0" fontId="18" fillId="0" borderId="36" xfId="0" applyFont="1" applyBorder="1" applyAlignment="1">
      <alignment horizontal="center" vertical="center" wrapText="1"/>
    </xf>
    <xf numFmtId="179" fontId="15" fillId="0" borderId="37" xfId="1" applyNumberFormat="1" applyFont="1" applyBorder="1" applyAlignment="1">
      <alignment horizontal="center" vertical="center" shrinkToFit="1"/>
    </xf>
    <xf numFmtId="191" fontId="18" fillId="0" borderId="38" xfId="0" applyNumberFormat="1" applyFont="1" applyBorder="1" applyAlignment="1">
      <alignment horizontal="left" vertical="center"/>
    </xf>
    <xf numFmtId="0" fontId="23" fillId="6" borderId="39" xfId="0" applyFont="1" applyFill="1" applyBorder="1" applyAlignment="1">
      <alignment horizontal="center" vertical="center"/>
    </xf>
    <xf numFmtId="49" fontId="23" fillId="6" borderId="40" xfId="1" applyNumberFormat="1" applyFont="1" applyFill="1" applyBorder="1" applyAlignment="1">
      <alignment vertical="center" shrinkToFit="1"/>
    </xf>
    <xf numFmtId="49" fontId="23" fillId="6" borderId="40" xfId="1" applyNumberFormat="1" applyFont="1" applyFill="1" applyBorder="1" applyAlignment="1">
      <alignment horizontal="center" vertical="center" shrinkToFit="1"/>
    </xf>
    <xf numFmtId="49" fontId="23" fillId="6" borderId="19" xfId="0" applyNumberFormat="1" applyFont="1" applyFill="1" applyBorder="1" applyAlignment="1">
      <alignment horizontal="center" vertical="center" shrinkToFit="1"/>
    </xf>
    <xf numFmtId="0" fontId="23" fillId="2" borderId="30" xfId="0" applyFont="1" applyFill="1" applyBorder="1">
      <alignment vertical="center"/>
    </xf>
    <xf numFmtId="49" fontId="23" fillId="2" borderId="6" xfId="0" applyNumberFormat="1" applyFont="1" applyFill="1" applyBorder="1" applyAlignment="1">
      <alignment horizontal="center" vertical="center" shrinkToFit="1"/>
    </xf>
    <xf numFmtId="49" fontId="23" fillId="2" borderId="24" xfId="0" applyNumberFormat="1" applyFont="1" applyFill="1" applyBorder="1" applyAlignment="1">
      <alignment horizontal="center" vertical="center" shrinkToFit="1"/>
    </xf>
    <xf numFmtId="0" fontId="24" fillId="3" borderId="41" xfId="0" applyFont="1" applyFill="1" applyBorder="1" applyAlignment="1">
      <alignment horizontal="center" vertical="center"/>
    </xf>
    <xf numFmtId="0" fontId="24" fillId="3" borderId="42" xfId="0" applyFont="1" applyFill="1" applyBorder="1" applyAlignment="1">
      <alignment horizontal="center" vertical="center"/>
    </xf>
    <xf numFmtId="0" fontId="25" fillId="0" borderId="0" xfId="0" applyFont="1">
      <alignment vertical="center"/>
    </xf>
    <xf numFmtId="49" fontId="26" fillId="0" borderId="0" xfId="0" applyNumberFormat="1" applyFont="1" applyAlignment="1">
      <alignment vertical="top" shrinkToFit="1"/>
    </xf>
    <xf numFmtId="192" fontId="15" fillId="0" borderId="23" xfId="0" applyNumberFormat="1" applyFont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43" xfId="0" applyFont="1" applyFill="1" applyBorder="1" applyAlignment="1">
      <alignment horizontal="center" vertical="center"/>
    </xf>
    <xf numFmtId="189" fontId="15" fillId="4" borderId="44" xfId="0" applyNumberFormat="1" applyFont="1" applyFill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193" fontId="15" fillId="0" borderId="23" xfId="0" applyNumberFormat="1" applyFont="1" applyBorder="1" applyAlignment="1">
      <alignment horizontal="center" vertical="center"/>
    </xf>
    <xf numFmtId="194" fontId="15" fillId="0" borderId="27" xfId="0" applyNumberFormat="1" applyFont="1" applyBorder="1" applyAlignment="1">
      <alignment horizontal="center" vertical="center"/>
    </xf>
    <xf numFmtId="0" fontId="27" fillId="0" borderId="0" xfId="0" applyFont="1">
      <alignment vertical="center"/>
    </xf>
    <xf numFmtId="49" fontId="28" fillId="0" borderId="0" xfId="0" applyNumberFormat="1" applyFont="1" applyAlignment="1">
      <alignment vertical="top" shrinkToFit="1"/>
    </xf>
    <xf numFmtId="189" fontId="15" fillId="0" borderId="27" xfId="0" applyNumberFormat="1" applyFont="1" applyBorder="1" applyAlignment="1">
      <alignment horizontal="center" vertical="center"/>
    </xf>
    <xf numFmtId="193" fontId="15" fillId="0" borderId="28" xfId="0" applyNumberFormat="1" applyFont="1" applyBorder="1" applyAlignment="1">
      <alignment horizontal="center" vertical="center"/>
    </xf>
    <xf numFmtId="194" fontId="15" fillId="0" borderId="22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192" fontId="15" fillId="0" borderId="36" xfId="0" applyNumberFormat="1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189" fontId="15" fillId="0" borderId="38" xfId="0" applyNumberFormat="1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193" fontId="15" fillId="0" borderId="36" xfId="0" applyNumberFormat="1" applyFont="1" applyBorder="1" applyAlignment="1">
      <alignment horizontal="center" vertical="center"/>
    </xf>
    <xf numFmtId="194" fontId="15" fillId="0" borderId="38" xfId="0" applyNumberFormat="1" applyFont="1" applyBorder="1" applyAlignment="1">
      <alignment horizontal="center" vertical="center"/>
    </xf>
    <xf numFmtId="0" fontId="12" fillId="0" borderId="0" xfId="0" applyFont="1">
      <alignment vertical="center"/>
    </xf>
    <xf numFmtId="49" fontId="1" fillId="0" borderId="0" xfId="1" applyNumberFormat="1" applyAlignment="1">
      <alignment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1" fillId="0" borderId="0" xfId="1" applyNumberFormat="1" applyFont="1" applyAlignment="1">
      <alignment vertical="center" shrinkToFit="1"/>
    </xf>
    <xf numFmtId="49" fontId="8" fillId="0" borderId="0" xfId="1" applyNumberFormat="1" applyFont="1" applyAlignment="1">
      <alignment horizontal="left"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10" fillId="0" borderId="0" xfId="1" applyNumberFormat="1" applyFont="1" applyAlignment="1">
      <alignment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2" fillId="0" borderId="0" xfId="1" applyNumberFormat="1" applyFont="1" applyAlignment="1">
      <alignment horizontal="righ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left" vertical="center" shrinkToFit="1"/>
    </xf>
    <xf numFmtId="0" fontId="1" fillId="0" borderId="0" xfId="0" applyFont="1">
      <alignment vertical="center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11" fillId="0" borderId="4" xfId="1" applyNumberFormat="1" applyFont="1" applyBorder="1" applyAlignment="1">
      <alignment horizontal="left" vertical="center" shrinkToFit="1"/>
    </xf>
    <xf numFmtId="0" fontId="0" fillId="0" borderId="4" xfId="0" applyBorder="1" applyAlignment="1"/>
    <xf numFmtId="49" fontId="11" fillId="0" borderId="11" xfId="1" applyNumberFormat="1" applyFont="1" applyBorder="1" applyAlignment="1">
      <alignment horizontal="center" vertical="center" shrinkToFit="1"/>
    </xf>
    <xf numFmtId="0" fontId="0" fillId="0" borderId="16" xfId="0" applyBorder="1" applyAlignment="1"/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49" fontId="11" fillId="0" borderId="0" xfId="1" applyNumberFormat="1" applyFont="1" applyAlignment="1">
      <alignment horizontal="left"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0" fontId="0" fillId="0" borderId="15" xfId="0" applyBorder="1" applyAlignment="1"/>
    <xf numFmtId="0" fontId="0" fillId="0" borderId="10" xfId="0" applyBorder="1" applyAlignment="1"/>
    <xf numFmtId="0" fontId="0" fillId="0" borderId="12" xfId="0" applyBorder="1" applyAlignment="1"/>
    <xf numFmtId="0" fontId="14" fillId="2" borderId="1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49" fontId="6" fillId="4" borderId="17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0" fontId="16" fillId="0" borderId="20" xfId="1" applyFont="1" applyBorder="1" applyAlignment="1">
      <alignment horizontal="left" vertical="center" shrinkToFit="1"/>
    </xf>
    <xf numFmtId="0" fontId="16" fillId="0" borderId="14" xfId="1" applyFont="1" applyBorder="1" applyAlignment="1">
      <alignment horizontal="left" vertical="center" shrinkToFit="1"/>
    </xf>
    <xf numFmtId="0" fontId="16" fillId="0" borderId="21" xfId="1" applyFont="1" applyBorder="1" applyAlignment="1">
      <alignment horizontal="left" vertical="center" shrinkToFit="1"/>
    </xf>
    <xf numFmtId="0" fontId="16" fillId="0" borderId="25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0" fontId="16" fillId="0" borderId="26" xfId="1" applyFont="1" applyBorder="1" applyAlignment="1">
      <alignment horizontal="left" vertical="center" shrinkToFit="1"/>
    </xf>
    <xf numFmtId="179" fontId="17" fillId="5" borderId="20" xfId="0" applyNumberFormat="1" applyFont="1" applyFill="1" applyBorder="1" applyAlignment="1">
      <alignment horizontal="left" vertical="center" shrinkToFit="1"/>
    </xf>
    <xf numFmtId="179" fontId="17" fillId="5" borderId="15" xfId="0" applyNumberFormat="1" applyFont="1" applyFill="1" applyBorder="1" applyAlignment="1">
      <alignment horizontal="left" vertical="center" shrinkToFit="1"/>
    </xf>
    <xf numFmtId="179" fontId="17" fillId="5" borderId="25" xfId="0" applyNumberFormat="1" applyFont="1" applyFill="1" applyBorder="1" applyAlignment="1">
      <alignment horizontal="left" vertical="center" shrinkToFit="1"/>
    </xf>
    <xf numFmtId="179" fontId="17" fillId="5" borderId="12" xfId="0" applyNumberFormat="1" applyFont="1" applyFill="1" applyBorder="1" applyAlignment="1">
      <alignment horizontal="left" vertical="center" shrinkToFit="1"/>
    </xf>
    <xf numFmtId="180" fontId="5" fillId="0" borderId="22" xfId="1" applyNumberFormat="1" applyFont="1" applyBorder="1" applyAlignment="1">
      <alignment horizontal="center" vertical="center" shrinkToFit="1"/>
    </xf>
    <xf numFmtId="180" fontId="5" fillId="0" borderId="24" xfId="1" applyNumberFormat="1" applyFont="1" applyBorder="1" applyAlignment="1">
      <alignment horizontal="center" vertical="center" shrinkToFit="1"/>
    </xf>
    <xf numFmtId="0" fontId="14" fillId="2" borderId="28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9" xfId="1" applyNumberFormat="1" applyFont="1" applyFill="1" applyBorder="1" applyAlignment="1">
      <alignment horizontal="center" vertical="center" shrinkToFit="1"/>
    </xf>
    <xf numFmtId="49" fontId="14" fillId="2" borderId="16" xfId="1" applyNumberFormat="1" applyFont="1" applyFill="1" applyBorder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12" fillId="0" borderId="10" xfId="1" applyNumberFormat="1" applyFont="1" applyBorder="1" applyAlignment="1">
      <alignment vertical="center" shrinkToFit="1"/>
    </xf>
    <xf numFmtId="49" fontId="10" fillId="0" borderId="4" xfId="1" applyNumberFormat="1" applyFont="1" applyBorder="1" applyAlignment="1">
      <alignment horizontal="left" vertical="center" shrinkToFit="1"/>
    </xf>
    <xf numFmtId="49" fontId="12" fillId="0" borderId="8" xfId="1" applyNumberFormat="1" applyFont="1" applyBorder="1" applyAlignment="1">
      <alignment horizontal="right" vertical="center" shrinkToFit="1"/>
    </xf>
    <xf numFmtId="177" fontId="10" fillId="0" borderId="0" xfId="1" applyNumberFormat="1" applyFont="1" applyAlignment="1">
      <alignment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9" fillId="0" borderId="0" xfId="1" applyNumberFormat="1" applyFon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49" fontId="11" fillId="0" borderId="12" xfId="1" applyNumberFormat="1" applyFont="1" applyBorder="1" applyAlignment="1">
      <alignment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2" fillId="2" borderId="29" xfId="0" applyNumberFormat="1" applyFont="1" applyFill="1" applyBorder="1" applyAlignment="1">
      <alignment horizontal="center" vertical="center"/>
    </xf>
    <xf numFmtId="49" fontId="22" fillId="2" borderId="16" xfId="0" applyNumberFormat="1" applyFont="1" applyFill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20" fillId="0" borderId="21" xfId="1" applyFont="1" applyBorder="1" applyAlignment="1">
      <alignment horizontal="center" vertical="center" shrinkToFit="1"/>
    </xf>
    <xf numFmtId="0" fontId="20" fillId="0" borderId="26" xfId="1" applyFont="1" applyBorder="1" applyAlignment="1">
      <alignment horizontal="center" vertical="center" shrinkToFit="1"/>
    </xf>
    <xf numFmtId="179" fontId="17" fillId="5" borderId="14" xfId="0" applyNumberFormat="1" applyFont="1" applyFill="1" applyBorder="1" applyAlignment="1">
      <alignment horizontal="left" vertical="center" shrinkToFit="1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10" xfId="0" applyNumberFormat="1" applyFont="1" applyFill="1" applyBorder="1" applyAlignment="1">
      <alignment horizontal="left" vertical="center" shrinkToFit="1"/>
    </xf>
    <xf numFmtId="179" fontId="17" fillId="5" borderId="26" xfId="0" applyNumberFormat="1" applyFont="1" applyFill="1" applyBorder="1" applyAlignment="1">
      <alignment horizontal="left" vertical="center" shrinkToFit="1"/>
    </xf>
    <xf numFmtId="49" fontId="14" fillId="2" borderId="28" xfId="1" applyNumberFormat="1" applyFont="1" applyFill="1" applyBorder="1" applyAlignment="1">
      <alignment horizontal="center" vertical="center" shrinkToFit="1"/>
    </xf>
    <xf numFmtId="49" fontId="14" fillId="2" borderId="30" xfId="1" applyNumberFormat="1" applyFont="1" applyFill="1" applyBorder="1" applyAlignment="1">
      <alignment horizontal="center" vertical="center" shrinkToFit="1"/>
    </xf>
    <xf numFmtId="0" fontId="14" fillId="2" borderId="31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32" xfId="0" applyNumberFormat="1" applyFont="1" applyBorder="1" applyAlignment="1">
      <alignment horizontal="center" vertical="center"/>
    </xf>
    <xf numFmtId="49" fontId="22" fillId="2" borderId="29" xfId="1" applyNumberFormat="1" applyFont="1" applyFill="1" applyBorder="1" applyAlignment="1">
      <alignment horizontal="center" vertical="center" shrinkToFit="1"/>
    </xf>
    <xf numFmtId="49" fontId="22" fillId="2" borderId="33" xfId="1" applyNumberFormat="1" applyFont="1" applyFill="1" applyBorder="1" applyAlignment="1">
      <alignment horizontal="center" vertical="center" shrinkToFit="1"/>
    </xf>
    <xf numFmtId="0" fontId="17" fillId="0" borderId="34" xfId="0" applyFont="1" applyBorder="1" applyAlignment="1">
      <alignment horizontal="center" vertical="center"/>
    </xf>
    <xf numFmtId="179" fontId="17" fillId="5" borderId="35" xfId="0" applyNumberFormat="1" applyFont="1" applyFill="1" applyBorder="1" applyAlignment="1">
      <alignment horizontal="left" vertical="center" shrinkToFit="1"/>
    </xf>
    <xf numFmtId="179" fontId="17" fillId="5" borderId="7" xfId="0" applyNumberFormat="1" applyFont="1" applyFill="1" applyBorder="1" applyAlignment="1">
      <alignment horizontal="left" vertical="center" shrinkToFit="1"/>
    </xf>
    <xf numFmtId="179" fontId="17" fillId="5" borderId="34" xfId="0" applyNumberFormat="1" applyFont="1" applyFill="1" applyBorder="1" applyAlignment="1">
      <alignment horizontal="left" vertical="center" shrinkToFit="1"/>
    </xf>
  </cellXfs>
  <cellStyles count="2">
    <cellStyle name="標準" xfId="0" builtinId="0"/>
    <cellStyle name="標準 2" xfId="1" xr:uid="{00000000-0005-0000-0000-000001000000}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180975</xdr:colOff>
      <xdr:row>3</xdr:row>
      <xdr:rowOff>38100</xdr:rowOff>
    </xdr:from>
    <xdr:to>
      <xdr:col>9</xdr:col>
      <xdr:colOff>685800</xdr:colOff>
      <xdr:row>5</xdr:row>
      <xdr:rowOff>142875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06192EC-81F2-1431-86FD-2946FE96F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0" y="581025"/>
          <a:ext cx="504825" cy="504825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60</xdr:row>
      <xdr:rowOff>57150</xdr:rowOff>
    </xdr:from>
    <xdr:to>
      <xdr:col>9</xdr:col>
      <xdr:colOff>638175</xdr:colOff>
      <xdr:row>62</xdr:row>
      <xdr:rowOff>161925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94DDAFF-29A0-4F6C-8F71-1A8D54F6B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5" y="13830300"/>
          <a:ext cx="504825" cy="504825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117</xdr:row>
      <xdr:rowOff>95250</xdr:rowOff>
    </xdr:from>
    <xdr:to>
      <xdr:col>9</xdr:col>
      <xdr:colOff>619125</xdr:colOff>
      <xdr:row>119</xdr:row>
      <xdr:rowOff>200025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4CC296E-ECF8-42A6-B24A-E4BB9AFB2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9175" y="27098625"/>
          <a:ext cx="504825" cy="504825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</xdr:colOff>
      <xdr:row>174</xdr:row>
      <xdr:rowOff>85725</xdr:rowOff>
    </xdr:from>
    <xdr:to>
      <xdr:col>9</xdr:col>
      <xdr:colOff>647700</xdr:colOff>
      <xdr:row>176</xdr:row>
      <xdr:rowOff>190500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D9DA570-97F5-4E6D-9BAA-17432B1FF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9650" y="40319325"/>
          <a:ext cx="542925" cy="504825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231</xdr:row>
      <xdr:rowOff>76200</xdr:rowOff>
    </xdr:from>
    <xdr:to>
      <xdr:col>9</xdr:col>
      <xdr:colOff>638175</xdr:colOff>
      <xdr:row>233</xdr:row>
      <xdr:rowOff>180975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7B68BA3-DDDF-4D2B-9B38-974254E82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5" y="53540025"/>
          <a:ext cx="504825" cy="504825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288</xdr:row>
      <xdr:rowOff>66675</xdr:rowOff>
    </xdr:from>
    <xdr:to>
      <xdr:col>9</xdr:col>
      <xdr:colOff>628650</xdr:colOff>
      <xdr:row>290</xdr:row>
      <xdr:rowOff>171450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7D0634E-505E-40E2-88E4-0C124DC41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0" y="66760725"/>
          <a:ext cx="504825" cy="504825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142876</xdr:colOff>
      <xdr:row>3</xdr:row>
      <xdr:rowOff>57151</xdr:rowOff>
    </xdr:from>
    <xdr:to>
      <xdr:col>8</xdr:col>
      <xdr:colOff>600076</xdr:colOff>
      <xdr:row>5</xdr:row>
      <xdr:rowOff>114301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F11121A4-A08C-66B4-F45B-7C68FA4C9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6" y="600076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60</xdr:row>
      <xdr:rowOff>38100</xdr:rowOff>
    </xdr:from>
    <xdr:to>
      <xdr:col>8</xdr:col>
      <xdr:colOff>581025</xdr:colOff>
      <xdr:row>62</xdr:row>
      <xdr:rowOff>123825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C28CF86-5D8A-D709-6B77-484D6482F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00" y="13811250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104775</xdr:colOff>
      <xdr:row>117</xdr:row>
      <xdr:rowOff>66675</xdr:rowOff>
    </xdr:from>
    <xdr:to>
      <xdr:col>8</xdr:col>
      <xdr:colOff>590550</xdr:colOff>
      <xdr:row>119</xdr:row>
      <xdr:rowOff>152400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0786C069-9334-46AD-825C-05FF71A4B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0025" y="27070050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174</xdr:row>
      <xdr:rowOff>85725</xdr:rowOff>
    </xdr:from>
    <xdr:to>
      <xdr:col>8</xdr:col>
      <xdr:colOff>638175</xdr:colOff>
      <xdr:row>176</xdr:row>
      <xdr:rowOff>171450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CA799713-B12E-4B6A-A255-E453F2867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0" y="4031932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104775</xdr:colOff>
      <xdr:row>231</xdr:row>
      <xdr:rowOff>57150</xdr:rowOff>
    </xdr:from>
    <xdr:to>
      <xdr:col>8</xdr:col>
      <xdr:colOff>590550</xdr:colOff>
      <xdr:row>233</xdr:row>
      <xdr:rowOff>142875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77E247FF-F212-472F-A82C-1BDA8E9DA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0025" y="5352097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288</xdr:row>
      <xdr:rowOff>104775</xdr:rowOff>
    </xdr:from>
    <xdr:to>
      <xdr:col>8</xdr:col>
      <xdr:colOff>657225</xdr:colOff>
      <xdr:row>290</xdr:row>
      <xdr:rowOff>190500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12564A00-F6E6-456D-88B4-F73C89041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6700" y="66798825"/>
          <a:ext cx="485775" cy="4857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0658;&#37096;&#24037;&#26989;&#65293;&#65328;&#65315;\Desktop\sgt.xlsm" TargetMode="External"/><Relationship Id="rId1" Type="http://schemas.openxmlformats.org/officeDocument/2006/relationships/externalLinkPath" Target="/Users/&#40658;&#37096;&#24037;&#26989;&#65293;&#65328;&#65315;/Desktop/sg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M"/>
      <sheetName val="加工記録表"/>
      <sheetName val="納品明細書"/>
      <sheetName val="請求"/>
      <sheetName val="依頼書保管"/>
      <sheetName val="指図書"/>
      <sheetName val="VFDB2"/>
      <sheetName val="温度換算"/>
      <sheetName val="網戸日程"/>
    </sheetNames>
    <sheetDataSet>
      <sheetData sheetId="0"/>
      <sheetData sheetId="1"/>
      <sheetData sheetId="2">
        <row r="3">
          <cell r="B3" t="str">
            <v>00754613</v>
          </cell>
          <cell r="C3" t="str">
            <v>灯具カバーPC IN 2050　L=1183.5</v>
          </cell>
          <cell r="D3">
            <v>45734</v>
          </cell>
          <cell r="E3" t="str">
            <v>25C11-01</v>
          </cell>
          <cell r="I3" t="str">
            <v>25C11-01</v>
          </cell>
          <cell r="J3">
            <v>3</v>
          </cell>
          <cell r="K3">
            <v>3</v>
          </cell>
          <cell r="O3">
            <v>45811</v>
          </cell>
          <cell r="P3">
            <v>8</v>
          </cell>
          <cell r="T3" t="str">
            <v>000000000003340</v>
          </cell>
        </row>
        <row r="4">
          <cell r="D4">
            <v>45807</v>
          </cell>
          <cell r="E4" t="str">
            <v>25E17-01</v>
          </cell>
          <cell r="G4" t="str">
            <v/>
          </cell>
          <cell r="I4" t="str">
            <v>25E17-01</v>
          </cell>
          <cell r="J4">
            <v>200</v>
          </cell>
          <cell r="K4">
            <v>200</v>
          </cell>
          <cell r="L4">
            <v>45807</v>
          </cell>
          <cell r="M4">
            <v>7</v>
          </cell>
          <cell r="O4">
            <v>288</v>
          </cell>
          <cell r="P4">
            <v>87</v>
          </cell>
          <cell r="T4" t="str">
            <v>000000000003340</v>
          </cell>
        </row>
        <row r="5">
          <cell r="B5" t="str">
            <v>+公差</v>
          </cell>
          <cell r="C5">
            <v>288</v>
          </cell>
          <cell r="D5">
            <v>45810</v>
          </cell>
          <cell r="E5" t="str">
            <v>25E20-02</v>
          </cell>
          <cell r="G5" t="str">
            <v/>
          </cell>
          <cell r="I5" t="str">
            <v>25E20-02</v>
          </cell>
          <cell r="J5">
            <v>187</v>
          </cell>
          <cell r="K5">
            <v>187</v>
          </cell>
          <cell r="L5">
            <v>45810</v>
          </cell>
          <cell r="M5">
            <v>8</v>
          </cell>
          <cell r="O5">
            <v>393</v>
          </cell>
          <cell r="P5">
            <v>7</v>
          </cell>
          <cell r="T5" t="str">
            <v>000000000003340</v>
          </cell>
        </row>
        <row r="6">
          <cell r="D6">
            <v>45811</v>
          </cell>
          <cell r="E6" t="str">
            <v>25E20-02</v>
          </cell>
          <cell r="G6" t="str">
            <v/>
          </cell>
          <cell r="J6" t="str">
            <v/>
          </cell>
          <cell r="L6">
            <v>45811</v>
          </cell>
          <cell r="M6">
            <v>3</v>
          </cell>
          <cell r="O6">
            <v>105</v>
          </cell>
          <cell r="T6" t="str">
            <v>000000000003340</v>
          </cell>
        </row>
        <row r="7">
          <cell r="B7" t="str">
            <v>+2</v>
          </cell>
          <cell r="C7">
            <v>1</v>
          </cell>
          <cell r="G7" t="str">
            <v/>
          </cell>
          <cell r="J7" t="str">
            <v/>
          </cell>
          <cell r="O7">
            <v>105</v>
          </cell>
          <cell r="P7">
            <v>1</v>
          </cell>
          <cell r="T7" t="str">
            <v>000000000003340</v>
          </cell>
        </row>
        <row r="8">
          <cell r="B8" t="str">
            <v>使用数</v>
          </cell>
          <cell r="C8" t="str">
            <v>灯具-1　L=1370</v>
          </cell>
          <cell r="G8" t="str">
            <v/>
          </cell>
          <cell r="J8" t="str">
            <v/>
          </cell>
          <cell r="P8">
            <v>1</v>
          </cell>
          <cell r="T8" t="str">
            <v>000000000003340</v>
          </cell>
        </row>
        <row r="9">
          <cell r="B9">
            <v>18</v>
          </cell>
          <cell r="C9">
            <v>18</v>
          </cell>
          <cell r="G9" t="str">
            <v/>
          </cell>
          <cell r="J9" t="str">
            <v/>
          </cell>
          <cell r="O9" t="str">
            <v>水野</v>
          </cell>
          <cell r="P9">
            <v>1</v>
          </cell>
          <cell r="T9" t="str">
            <v>000000000003340</v>
          </cell>
        </row>
        <row r="10">
          <cell r="G10" t="str">
            <v/>
          </cell>
          <cell r="J10" t="str">
            <v/>
          </cell>
          <cell r="P10">
            <v>105</v>
          </cell>
          <cell r="T10" t="str">
            <v>000000000003340</v>
          </cell>
        </row>
        <row r="11">
          <cell r="B11" t="str">
            <v>00754612</v>
          </cell>
          <cell r="C11" t="str">
            <v>灯具カバーPC IN 2130　L=908</v>
          </cell>
          <cell r="D11">
            <v>45768</v>
          </cell>
          <cell r="E11" t="str">
            <v>25D10-01</v>
          </cell>
          <cell r="I11" t="str">
            <v>25D10-01</v>
          </cell>
          <cell r="J11">
            <v>3</v>
          </cell>
          <cell r="K11">
            <v>3</v>
          </cell>
          <cell r="L11">
            <v>45806</v>
          </cell>
          <cell r="M11">
            <v>2</v>
          </cell>
          <cell r="O11">
            <v>45807</v>
          </cell>
          <cell r="P11">
            <v>7</v>
          </cell>
          <cell r="T11" t="str">
            <v>000000000003339</v>
          </cell>
        </row>
        <row r="12">
          <cell r="D12">
            <v>45806</v>
          </cell>
          <cell r="E12" t="str">
            <v>25E17-01</v>
          </cell>
          <cell r="G12" t="str">
            <v/>
          </cell>
          <cell r="I12" t="str">
            <v>25E17-01</v>
          </cell>
          <cell r="J12">
            <v>200</v>
          </cell>
          <cell r="K12">
            <v>200</v>
          </cell>
          <cell r="L12">
            <v>45807</v>
          </cell>
          <cell r="M12">
            <v>9</v>
          </cell>
          <cell r="O12">
            <v>176</v>
          </cell>
          <cell r="P12">
            <v>19</v>
          </cell>
          <cell r="T12" t="str">
            <v>000000000003339</v>
          </cell>
        </row>
        <row r="13">
          <cell r="B13" t="str">
            <v>+公差</v>
          </cell>
          <cell r="C13">
            <v>176</v>
          </cell>
          <cell r="G13" t="str">
            <v/>
          </cell>
          <cell r="J13" t="str">
            <v/>
          </cell>
          <cell r="O13">
            <v>203</v>
          </cell>
          <cell r="T13" t="str">
            <v>000000000003339</v>
          </cell>
        </row>
        <row r="14">
          <cell r="G14" t="str">
            <v/>
          </cell>
          <cell r="J14" t="str">
            <v/>
          </cell>
          <cell r="O14">
            <v>27</v>
          </cell>
          <cell r="P14">
            <v>1</v>
          </cell>
          <cell r="T14" t="str">
            <v>000000000003339</v>
          </cell>
        </row>
        <row r="15">
          <cell r="B15" t="str">
            <v>+2</v>
          </cell>
          <cell r="C15">
            <v>1</v>
          </cell>
          <cell r="G15" t="str">
            <v/>
          </cell>
          <cell r="J15" t="str">
            <v/>
          </cell>
          <cell r="O15">
            <v>27</v>
          </cell>
          <cell r="T15" t="str">
            <v>000000000003339</v>
          </cell>
        </row>
        <row r="16">
          <cell r="B16" t="str">
            <v>使用数</v>
          </cell>
          <cell r="C16" t="str">
            <v>灯具-1　L=1370</v>
          </cell>
          <cell r="G16" t="str">
            <v/>
          </cell>
          <cell r="J16" t="str">
            <v/>
          </cell>
          <cell r="T16" t="str">
            <v>000000000003339</v>
          </cell>
        </row>
        <row r="17">
          <cell r="B17">
            <v>11</v>
          </cell>
          <cell r="C17">
            <v>11</v>
          </cell>
          <cell r="G17" t="str">
            <v/>
          </cell>
          <cell r="J17" t="str">
            <v/>
          </cell>
          <cell r="O17" t="str">
            <v>水野</v>
          </cell>
          <cell r="T17" t="str">
            <v>000000000003339</v>
          </cell>
        </row>
        <row r="18">
          <cell r="G18" t="str">
            <v/>
          </cell>
          <cell r="J18" t="str">
            <v/>
          </cell>
          <cell r="P18">
            <v>27</v>
          </cell>
          <cell r="T18" t="str">
            <v>000000000003339</v>
          </cell>
        </row>
        <row r="19">
          <cell r="B19" t="str">
            <v>00758074</v>
          </cell>
          <cell r="C19" t="str">
            <v>灯具カバーPC　L=669</v>
          </cell>
          <cell r="I19" t="str">
            <v>25D10-01</v>
          </cell>
          <cell r="J19" t="str">
            <v/>
          </cell>
          <cell r="K19">
            <v>0</v>
          </cell>
          <cell r="L19">
            <v>45806</v>
          </cell>
          <cell r="M19">
            <v>5</v>
          </cell>
          <cell r="O19">
            <v>45806</v>
          </cell>
          <cell r="T19" t="str">
            <v>Z002</v>
          </cell>
        </row>
        <row r="20">
          <cell r="D20">
            <v>45806</v>
          </cell>
          <cell r="E20" t="str">
            <v>25D10-01</v>
          </cell>
          <cell r="F20">
            <v>22</v>
          </cell>
          <cell r="G20" t="str">
            <v/>
          </cell>
          <cell r="H20">
            <v>670.15</v>
          </cell>
          <cell r="J20" t="str">
            <v/>
          </cell>
          <cell r="O20">
            <v>10</v>
          </cell>
          <cell r="T20" t="str">
            <v>Z002</v>
          </cell>
        </row>
        <row r="21">
          <cell r="B21" t="str">
            <v>+公差</v>
          </cell>
          <cell r="C21">
            <v>10</v>
          </cell>
          <cell r="D21">
            <v>45806</v>
          </cell>
          <cell r="E21" t="str">
            <v>25D10-01</v>
          </cell>
          <cell r="F21">
            <v>22</v>
          </cell>
          <cell r="G21" t="str">
            <v/>
          </cell>
          <cell r="H21">
            <v>670.2</v>
          </cell>
          <cell r="J21" t="str">
            <v/>
          </cell>
          <cell r="O21">
            <v>10</v>
          </cell>
          <cell r="T21" t="str">
            <v>Z002</v>
          </cell>
        </row>
        <row r="22">
          <cell r="G22" t="str">
            <v/>
          </cell>
          <cell r="J22" t="str">
            <v/>
          </cell>
          <cell r="O22">
            <v>0</v>
          </cell>
          <cell r="T22" t="str">
            <v>Z002</v>
          </cell>
        </row>
        <row r="23">
          <cell r="C23">
            <v>1</v>
          </cell>
          <cell r="G23" t="str">
            <v/>
          </cell>
          <cell r="J23" t="str">
            <v/>
          </cell>
          <cell r="O23">
            <v>0</v>
          </cell>
          <cell r="T23" t="str">
            <v>Z002</v>
          </cell>
        </row>
        <row r="24">
          <cell r="B24" t="str">
            <v>使用数</v>
          </cell>
          <cell r="G24" t="str">
            <v/>
          </cell>
          <cell r="J24" t="str">
            <v/>
          </cell>
          <cell r="T24" t="str">
            <v>Z002</v>
          </cell>
        </row>
        <row r="25">
          <cell r="B25" t="e">
            <v>#N/A</v>
          </cell>
          <cell r="C25" t="e">
            <v>#N/A</v>
          </cell>
          <cell r="G25" t="str">
            <v/>
          </cell>
          <cell r="J25" t="str">
            <v/>
          </cell>
          <cell r="O25" t="str">
            <v>水野</v>
          </cell>
          <cell r="T25" t="str">
            <v>Z002</v>
          </cell>
        </row>
        <row r="26">
          <cell r="G26" t="str">
            <v/>
          </cell>
          <cell r="J26" t="str">
            <v/>
          </cell>
          <cell r="P26">
            <v>0</v>
          </cell>
          <cell r="T26" t="str">
            <v>Z002</v>
          </cell>
        </row>
        <row r="27">
          <cell r="B27" t="str">
            <v>00758073</v>
          </cell>
          <cell r="C27" t="str">
            <v>灯具カバーPC　L=503</v>
          </cell>
          <cell r="I27" t="str">
            <v>25D11-01</v>
          </cell>
          <cell r="J27" t="str">
            <v/>
          </cell>
          <cell r="K27">
            <v>0</v>
          </cell>
          <cell r="L27">
            <v>45806</v>
          </cell>
          <cell r="M27">
            <v>5</v>
          </cell>
          <cell r="O27">
            <v>45806</v>
          </cell>
          <cell r="T27" t="str">
            <v>Z001</v>
          </cell>
        </row>
        <row r="28">
          <cell r="D28">
            <v>45806</v>
          </cell>
          <cell r="E28" t="str">
            <v>25D11-01</v>
          </cell>
          <cell r="F28">
            <v>22</v>
          </cell>
          <cell r="G28" t="str">
            <v/>
          </cell>
          <cell r="H28">
            <v>503.7</v>
          </cell>
          <cell r="J28" t="str">
            <v/>
          </cell>
          <cell r="O28">
            <v>10</v>
          </cell>
          <cell r="T28" t="str">
            <v>Z001</v>
          </cell>
        </row>
        <row r="29">
          <cell r="B29" t="str">
            <v>+公差</v>
          </cell>
          <cell r="C29">
            <v>10</v>
          </cell>
          <cell r="D29">
            <v>45806</v>
          </cell>
          <cell r="E29" t="str">
            <v>25D11-01</v>
          </cell>
          <cell r="F29">
            <v>22</v>
          </cell>
          <cell r="G29" t="str">
            <v/>
          </cell>
          <cell r="H29">
            <v>503.7</v>
          </cell>
          <cell r="J29" t="str">
            <v/>
          </cell>
          <cell r="O29">
            <v>10</v>
          </cell>
          <cell r="T29" t="str">
            <v>Z001</v>
          </cell>
        </row>
        <row r="30">
          <cell r="G30" t="str">
            <v/>
          </cell>
          <cell r="J30" t="str">
            <v/>
          </cell>
          <cell r="O30">
            <v>0</v>
          </cell>
          <cell r="T30" t="str">
            <v>Z001</v>
          </cell>
        </row>
        <row r="31">
          <cell r="C31">
            <v>1</v>
          </cell>
          <cell r="G31" t="str">
            <v/>
          </cell>
          <cell r="J31" t="str">
            <v/>
          </cell>
          <cell r="O31">
            <v>0</v>
          </cell>
          <cell r="T31" t="str">
            <v>Z001</v>
          </cell>
        </row>
        <row r="32">
          <cell r="B32" t="str">
            <v>使用数</v>
          </cell>
          <cell r="G32" t="str">
            <v/>
          </cell>
          <cell r="J32" t="str">
            <v/>
          </cell>
          <cell r="T32" t="str">
            <v>Z001</v>
          </cell>
        </row>
        <row r="33">
          <cell r="B33" t="e">
            <v>#N/A</v>
          </cell>
          <cell r="C33" t="e">
            <v>#N/A</v>
          </cell>
          <cell r="G33" t="str">
            <v/>
          </cell>
          <cell r="J33" t="str">
            <v/>
          </cell>
          <cell r="O33" t="str">
            <v>水野</v>
          </cell>
          <cell r="T33" t="str">
            <v>Z001</v>
          </cell>
        </row>
        <row r="34">
          <cell r="G34" t="str">
            <v/>
          </cell>
          <cell r="J34" t="str">
            <v/>
          </cell>
          <cell r="P34">
            <v>0</v>
          </cell>
          <cell r="T34" t="str">
            <v>Z001</v>
          </cell>
        </row>
        <row r="35">
          <cell r="B35" t="str">
            <v>00757225</v>
          </cell>
          <cell r="C35" t="str">
            <v>001EGAW　715</v>
          </cell>
          <cell r="I35" t="str">
            <v>25A17B</v>
          </cell>
          <cell r="J35">
            <v>200</v>
          </cell>
          <cell r="K35">
            <v>100</v>
          </cell>
          <cell r="L35">
            <v>45810</v>
          </cell>
          <cell r="M35">
            <v>2</v>
          </cell>
          <cell r="O35">
            <v>45810</v>
          </cell>
          <cell r="T35" t="str">
            <v>000000000003627</v>
          </cell>
        </row>
        <row r="36">
          <cell r="D36">
            <v>45810</v>
          </cell>
          <cell r="E36" t="str">
            <v>25A17B</v>
          </cell>
          <cell r="G36">
            <v>715</v>
          </cell>
          <cell r="H36">
            <v>715.39</v>
          </cell>
          <cell r="I36" t="str">
            <v>25E26C</v>
          </cell>
          <cell r="J36">
            <v>200</v>
          </cell>
          <cell r="K36">
            <v>100</v>
          </cell>
          <cell r="O36">
            <v>400</v>
          </cell>
          <cell r="T36" t="str">
            <v>000000000003627</v>
          </cell>
        </row>
        <row r="37">
          <cell r="B37" t="str">
            <v>+公差</v>
          </cell>
          <cell r="C37">
            <v>400</v>
          </cell>
          <cell r="D37">
            <v>45810</v>
          </cell>
          <cell r="E37" t="str">
            <v>25E26C</v>
          </cell>
          <cell r="G37">
            <v>715</v>
          </cell>
          <cell r="H37">
            <v>715.21</v>
          </cell>
          <cell r="J37" t="str">
            <v/>
          </cell>
          <cell r="O37">
            <v>200</v>
          </cell>
          <cell r="T37" t="str">
            <v>000000000003627</v>
          </cell>
        </row>
        <row r="38">
          <cell r="G38">
            <v>715</v>
          </cell>
          <cell r="J38" t="str">
            <v/>
          </cell>
          <cell r="O38">
            <v>0</v>
          </cell>
          <cell r="T38" t="str">
            <v>000000000003627</v>
          </cell>
        </row>
        <row r="39">
          <cell r="B39" t="str">
            <v>+0.5</v>
          </cell>
          <cell r="C39">
            <v>2</v>
          </cell>
          <cell r="G39">
            <v>715</v>
          </cell>
          <cell r="J39" t="str">
            <v/>
          </cell>
          <cell r="O39">
            <v>0</v>
          </cell>
          <cell r="T39" t="str">
            <v>000000000003627</v>
          </cell>
        </row>
        <row r="40">
          <cell r="B40" t="str">
            <v>使用数</v>
          </cell>
          <cell r="C40" t="str">
            <v>S-40</v>
          </cell>
          <cell r="G40">
            <v>715</v>
          </cell>
          <cell r="J40" t="str">
            <v/>
          </cell>
          <cell r="T40" t="str">
            <v>000000000003627</v>
          </cell>
        </row>
        <row r="41">
          <cell r="B41">
            <v>2</v>
          </cell>
          <cell r="C41">
            <v>2</v>
          </cell>
          <cell r="G41">
            <v>715</v>
          </cell>
          <cell r="J41" t="str">
            <v/>
          </cell>
          <cell r="O41" t="str">
            <v>水野</v>
          </cell>
          <cell r="T41" t="str">
            <v>000000000003627</v>
          </cell>
        </row>
        <row r="42">
          <cell r="G42">
            <v>715</v>
          </cell>
          <cell r="J42" t="str">
            <v/>
          </cell>
          <cell r="P42">
            <v>0</v>
          </cell>
          <cell r="T42" t="str">
            <v>000000000003627</v>
          </cell>
        </row>
        <row r="43">
          <cell r="B43" t="str">
            <v>00757224</v>
          </cell>
          <cell r="C43" t="str">
            <v>001EGAW　665</v>
          </cell>
          <cell r="I43" t="str">
            <v>25E26C</v>
          </cell>
          <cell r="J43">
            <v>200</v>
          </cell>
          <cell r="K43">
            <v>100</v>
          </cell>
          <cell r="L43">
            <v>45811</v>
          </cell>
          <cell r="M43">
            <v>1</v>
          </cell>
          <cell r="O43">
            <v>45811</v>
          </cell>
          <cell r="T43" t="str">
            <v>000000000003626</v>
          </cell>
        </row>
        <row r="44">
          <cell r="D44">
            <v>45811</v>
          </cell>
          <cell r="E44" t="str">
            <v>25E26C</v>
          </cell>
          <cell r="G44">
            <v>665</v>
          </cell>
          <cell r="H44">
            <v>665.19</v>
          </cell>
          <cell r="J44" t="str">
            <v/>
          </cell>
          <cell r="O44">
            <v>200</v>
          </cell>
          <cell r="T44" t="str">
            <v>000000000003626</v>
          </cell>
        </row>
        <row r="45">
          <cell r="B45" t="str">
            <v>+公差</v>
          </cell>
          <cell r="C45">
            <v>200</v>
          </cell>
          <cell r="D45">
            <v>45811</v>
          </cell>
          <cell r="E45" t="str">
            <v>25E26C</v>
          </cell>
          <cell r="G45">
            <v>665</v>
          </cell>
          <cell r="H45">
            <v>665.13</v>
          </cell>
          <cell r="J45" t="str">
            <v/>
          </cell>
          <cell r="O45">
            <v>100</v>
          </cell>
          <cell r="T45" t="str">
            <v>000000000003626</v>
          </cell>
        </row>
        <row r="46">
          <cell r="G46">
            <v>665</v>
          </cell>
          <cell r="J46" t="str">
            <v/>
          </cell>
          <cell r="O46">
            <v>0</v>
          </cell>
          <cell r="T46" t="str">
            <v>000000000003626</v>
          </cell>
        </row>
        <row r="47">
          <cell r="B47" t="str">
            <v>+0.5</v>
          </cell>
          <cell r="C47">
            <v>2</v>
          </cell>
          <cell r="G47">
            <v>665</v>
          </cell>
          <cell r="J47" t="str">
            <v/>
          </cell>
          <cell r="O47">
            <v>0</v>
          </cell>
          <cell r="T47" t="str">
            <v>000000000003626</v>
          </cell>
        </row>
        <row r="48">
          <cell r="B48" t="str">
            <v>使用数</v>
          </cell>
          <cell r="C48" t="str">
            <v>S-40</v>
          </cell>
          <cell r="G48">
            <v>665</v>
          </cell>
          <cell r="J48" t="str">
            <v/>
          </cell>
          <cell r="T48" t="str">
            <v>000000000003626</v>
          </cell>
        </row>
        <row r="49">
          <cell r="B49">
            <v>1</v>
          </cell>
          <cell r="C49">
            <v>1</v>
          </cell>
          <cell r="G49">
            <v>665</v>
          </cell>
          <cell r="J49" t="str">
            <v/>
          </cell>
          <cell r="O49" t="str">
            <v>水野</v>
          </cell>
          <cell r="T49" t="str">
            <v>000000000003626</v>
          </cell>
        </row>
        <row r="50">
          <cell r="G50">
            <v>665</v>
          </cell>
          <cell r="J50" t="str">
            <v/>
          </cell>
          <cell r="O50" t="str">
            <v>-</v>
          </cell>
          <cell r="P50">
            <v>0</v>
          </cell>
          <cell r="T50" t="str">
            <v>000000000003626</v>
          </cell>
        </row>
        <row r="51">
          <cell r="B51" t="str">
            <v>00757223</v>
          </cell>
          <cell r="C51" t="str">
            <v>001EGAW　652</v>
          </cell>
          <cell r="I51" t="str">
            <v>25E26C</v>
          </cell>
          <cell r="J51">
            <v>1200</v>
          </cell>
          <cell r="K51">
            <v>600</v>
          </cell>
          <cell r="L51">
            <v>45811</v>
          </cell>
          <cell r="M51">
            <v>14</v>
          </cell>
          <cell r="O51">
            <v>45811</v>
          </cell>
          <cell r="T51" t="str">
            <v>000000000003625</v>
          </cell>
        </row>
        <row r="52">
          <cell r="D52">
            <v>45811</v>
          </cell>
          <cell r="E52" t="str">
            <v>25E26C</v>
          </cell>
          <cell r="G52">
            <v>652</v>
          </cell>
          <cell r="H52">
            <v>651.97</v>
          </cell>
          <cell r="I52" t="str">
            <v>25E24A</v>
          </cell>
          <cell r="J52">
            <v>900</v>
          </cell>
          <cell r="K52">
            <v>450</v>
          </cell>
          <cell r="O52">
            <v>2700</v>
          </cell>
          <cell r="T52" t="str">
            <v>000000000003625</v>
          </cell>
        </row>
        <row r="53">
          <cell r="B53" t="str">
            <v>+公差</v>
          </cell>
          <cell r="C53">
            <v>2700</v>
          </cell>
          <cell r="D53">
            <v>45811</v>
          </cell>
          <cell r="E53" t="str">
            <v>25E24A</v>
          </cell>
          <cell r="G53">
            <v>652</v>
          </cell>
          <cell r="H53">
            <v>652.20000000000005</v>
          </cell>
          <cell r="I53" t="str">
            <v>25E26B</v>
          </cell>
          <cell r="J53">
            <v>600</v>
          </cell>
          <cell r="K53">
            <v>300</v>
          </cell>
          <cell r="O53">
            <v>1350</v>
          </cell>
          <cell r="T53" t="str">
            <v>000000000003625</v>
          </cell>
        </row>
        <row r="54">
          <cell r="D54">
            <v>45811</v>
          </cell>
          <cell r="E54" t="str">
            <v>25E26C</v>
          </cell>
          <cell r="G54">
            <v>652</v>
          </cell>
          <cell r="H54">
            <v>652.16999999999996</v>
          </cell>
          <cell r="J54" t="str">
            <v/>
          </cell>
          <cell r="O54">
            <v>0</v>
          </cell>
          <cell r="T54" t="str">
            <v>000000000003625</v>
          </cell>
        </row>
        <row r="55">
          <cell r="B55" t="str">
            <v>+0.5</v>
          </cell>
          <cell r="C55">
            <v>2</v>
          </cell>
          <cell r="D55">
            <v>45811</v>
          </cell>
          <cell r="E55" t="str">
            <v>25E26B</v>
          </cell>
          <cell r="G55">
            <v>652</v>
          </cell>
          <cell r="H55">
            <v>652.03</v>
          </cell>
          <cell r="J55" t="str">
            <v/>
          </cell>
          <cell r="O55">
            <v>0</v>
          </cell>
          <cell r="T55" t="str">
            <v>000000000003625</v>
          </cell>
        </row>
        <row r="56">
          <cell r="B56" t="str">
            <v>使用数</v>
          </cell>
          <cell r="C56" t="str">
            <v>S-40</v>
          </cell>
          <cell r="G56">
            <v>652</v>
          </cell>
          <cell r="J56" t="str">
            <v/>
          </cell>
          <cell r="T56" t="str">
            <v>000000000003625</v>
          </cell>
        </row>
        <row r="57">
          <cell r="B57">
            <v>14</v>
          </cell>
          <cell r="C57">
            <v>14</v>
          </cell>
          <cell r="G57">
            <v>652</v>
          </cell>
          <cell r="J57" t="str">
            <v/>
          </cell>
          <cell r="O57" t="str">
            <v>水野</v>
          </cell>
          <cell r="T57" t="str">
            <v>000000000003625</v>
          </cell>
        </row>
        <row r="58">
          <cell r="G58">
            <v>652</v>
          </cell>
          <cell r="J58" t="str">
            <v/>
          </cell>
          <cell r="O58" t="str">
            <v>-</v>
          </cell>
          <cell r="P58">
            <v>0</v>
          </cell>
          <cell r="T58" t="str">
            <v>000000000003625</v>
          </cell>
        </row>
        <row r="59">
          <cell r="B59" t="str">
            <v>00757222</v>
          </cell>
          <cell r="C59" t="str">
            <v>001EGAW　633</v>
          </cell>
          <cell r="I59" t="str">
            <v>25E23C</v>
          </cell>
          <cell r="J59">
            <v>200</v>
          </cell>
          <cell r="K59">
            <v>100</v>
          </cell>
          <cell r="L59">
            <v>45812</v>
          </cell>
          <cell r="M59">
            <v>1</v>
          </cell>
          <cell r="O59">
            <v>45812</v>
          </cell>
          <cell r="T59" t="str">
            <v>000000000003624</v>
          </cell>
        </row>
        <row r="60">
          <cell r="D60">
            <v>45812</v>
          </cell>
          <cell r="E60" t="str">
            <v>25E23C</v>
          </cell>
          <cell r="G60">
            <v>633</v>
          </cell>
          <cell r="H60">
            <v>633.41999999999996</v>
          </cell>
          <cell r="J60" t="str">
            <v/>
          </cell>
          <cell r="O60">
            <v>200</v>
          </cell>
          <cell r="T60" t="str">
            <v>000000000003624</v>
          </cell>
        </row>
        <row r="61">
          <cell r="B61" t="str">
            <v>+公差</v>
          </cell>
          <cell r="C61">
            <v>200</v>
          </cell>
          <cell r="D61">
            <v>45812</v>
          </cell>
          <cell r="E61" t="str">
            <v>25E23C</v>
          </cell>
          <cell r="G61">
            <v>633</v>
          </cell>
          <cell r="H61">
            <v>633.45000000000005</v>
          </cell>
          <cell r="J61" t="str">
            <v/>
          </cell>
          <cell r="O61">
            <v>100</v>
          </cell>
          <cell r="T61" t="str">
            <v>000000000003624</v>
          </cell>
        </row>
        <row r="62">
          <cell r="G62">
            <v>633</v>
          </cell>
          <cell r="J62" t="str">
            <v/>
          </cell>
          <cell r="O62">
            <v>0</v>
          </cell>
          <cell r="T62" t="str">
            <v>000000000003624</v>
          </cell>
        </row>
        <row r="63">
          <cell r="B63" t="str">
            <v>+0.5</v>
          </cell>
          <cell r="C63">
            <v>2</v>
          </cell>
          <cell r="G63">
            <v>633</v>
          </cell>
          <cell r="J63" t="str">
            <v/>
          </cell>
          <cell r="O63">
            <v>0</v>
          </cell>
          <cell r="T63" t="str">
            <v>000000000003624</v>
          </cell>
        </row>
        <row r="64">
          <cell r="B64" t="str">
            <v>使用数</v>
          </cell>
          <cell r="C64" t="str">
            <v>S-40</v>
          </cell>
          <cell r="G64">
            <v>633</v>
          </cell>
          <cell r="J64" t="str">
            <v/>
          </cell>
          <cell r="T64" t="str">
            <v>000000000003624</v>
          </cell>
        </row>
        <row r="65">
          <cell r="B65">
            <v>1</v>
          </cell>
          <cell r="C65">
            <v>1</v>
          </cell>
          <cell r="G65">
            <v>633</v>
          </cell>
          <cell r="J65" t="str">
            <v/>
          </cell>
          <cell r="O65" t="str">
            <v>水野</v>
          </cell>
          <cell r="T65" t="str">
            <v>000000000003624</v>
          </cell>
        </row>
        <row r="66">
          <cell r="G66">
            <v>633</v>
          </cell>
          <cell r="J66" t="str">
            <v/>
          </cell>
          <cell r="O66" t="str">
            <v>-</v>
          </cell>
          <cell r="P66">
            <v>0</v>
          </cell>
          <cell r="T66" t="str">
            <v>000000000003624</v>
          </cell>
        </row>
        <row r="67">
          <cell r="B67" t="str">
            <v>00757221</v>
          </cell>
          <cell r="C67" t="str">
            <v>001EGAW　565</v>
          </cell>
          <cell r="I67" t="str">
            <v>25E23C</v>
          </cell>
          <cell r="J67">
            <v>800</v>
          </cell>
          <cell r="K67">
            <v>400</v>
          </cell>
          <cell r="L67">
            <v>45812</v>
          </cell>
          <cell r="M67">
            <v>4</v>
          </cell>
          <cell r="O67">
            <v>45812</v>
          </cell>
          <cell r="T67" t="str">
            <v>000000000003623</v>
          </cell>
        </row>
        <row r="68">
          <cell r="D68">
            <v>45812</v>
          </cell>
          <cell r="E68" t="str">
            <v>25E23C</v>
          </cell>
          <cell r="G68">
            <v>565</v>
          </cell>
          <cell r="H68">
            <v>565.16999999999996</v>
          </cell>
          <cell r="J68" t="str">
            <v/>
          </cell>
          <cell r="O68">
            <v>800</v>
          </cell>
          <cell r="T68" t="str">
            <v>000000000003623</v>
          </cell>
        </row>
        <row r="69">
          <cell r="B69" t="str">
            <v>+公差</v>
          </cell>
          <cell r="C69">
            <v>800</v>
          </cell>
          <cell r="D69">
            <v>45812</v>
          </cell>
          <cell r="E69" t="str">
            <v>25E23C</v>
          </cell>
          <cell r="G69">
            <v>565</v>
          </cell>
          <cell r="H69">
            <v>565.42999999999995</v>
          </cell>
          <cell r="J69" t="str">
            <v/>
          </cell>
          <cell r="O69">
            <v>400</v>
          </cell>
          <cell r="T69" t="str">
            <v>000000000003623</v>
          </cell>
        </row>
        <row r="70">
          <cell r="G70">
            <v>565</v>
          </cell>
          <cell r="J70" t="str">
            <v/>
          </cell>
          <cell r="O70">
            <v>0</v>
          </cell>
          <cell r="T70" t="str">
            <v>000000000003623</v>
          </cell>
        </row>
        <row r="71">
          <cell r="B71" t="str">
            <v>+0.5</v>
          </cell>
          <cell r="C71">
            <v>2</v>
          </cell>
          <cell r="G71">
            <v>565</v>
          </cell>
          <cell r="J71" t="str">
            <v/>
          </cell>
          <cell r="O71">
            <v>0</v>
          </cell>
          <cell r="T71" t="str">
            <v>000000000003623</v>
          </cell>
        </row>
        <row r="72">
          <cell r="B72" t="str">
            <v>使用数</v>
          </cell>
          <cell r="C72" t="str">
            <v>S-30</v>
          </cell>
          <cell r="G72">
            <v>565</v>
          </cell>
          <cell r="J72" t="str">
            <v/>
          </cell>
          <cell r="T72" t="str">
            <v>000000000003623</v>
          </cell>
        </row>
        <row r="73">
          <cell r="B73">
            <v>4</v>
          </cell>
          <cell r="C73">
            <v>4</v>
          </cell>
          <cell r="G73">
            <v>565</v>
          </cell>
          <cell r="J73" t="str">
            <v/>
          </cell>
          <cell r="O73" t="str">
            <v>水野</v>
          </cell>
          <cell r="T73" t="str">
            <v>000000000003623</v>
          </cell>
        </row>
        <row r="74">
          <cell r="G74">
            <v>565</v>
          </cell>
          <cell r="J74" t="str">
            <v/>
          </cell>
          <cell r="O74" t="str">
            <v>-</v>
          </cell>
          <cell r="P74">
            <v>0</v>
          </cell>
          <cell r="T74" t="str">
            <v>000000000003623</v>
          </cell>
        </row>
        <row r="75">
          <cell r="B75" t="str">
            <v>00757220</v>
          </cell>
          <cell r="C75" t="str">
            <v>001EGAW　508</v>
          </cell>
          <cell r="I75" t="str">
            <v>25E24A</v>
          </cell>
          <cell r="J75">
            <v>100</v>
          </cell>
          <cell r="K75">
            <v>50</v>
          </cell>
          <cell r="L75">
            <v>45812</v>
          </cell>
          <cell r="M75">
            <v>8</v>
          </cell>
          <cell r="O75">
            <v>45813</v>
          </cell>
          <cell r="T75" t="str">
            <v>000000000003622</v>
          </cell>
        </row>
        <row r="76">
          <cell r="D76">
            <v>45812</v>
          </cell>
          <cell r="E76" t="str">
            <v>25E24A</v>
          </cell>
          <cell r="G76">
            <v>508</v>
          </cell>
          <cell r="H76">
            <v>508.41</v>
          </cell>
          <cell r="I76" t="str">
            <v>25E23C</v>
          </cell>
          <cell r="J76">
            <v>600</v>
          </cell>
          <cell r="K76">
            <v>300</v>
          </cell>
          <cell r="L76">
            <v>45813</v>
          </cell>
          <cell r="M76">
            <v>1</v>
          </cell>
          <cell r="O76">
            <v>1700</v>
          </cell>
          <cell r="T76" t="str">
            <v>000000000003622</v>
          </cell>
        </row>
        <row r="77">
          <cell r="B77" t="str">
            <v>+公差</v>
          </cell>
          <cell r="C77">
            <v>1700</v>
          </cell>
          <cell r="D77">
            <v>45812</v>
          </cell>
          <cell r="E77" t="str">
            <v>25E23C</v>
          </cell>
          <cell r="G77">
            <v>508</v>
          </cell>
          <cell r="I77" t="str">
            <v>25A15B</v>
          </cell>
          <cell r="J77">
            <v>12</v>
          </cell>
          <cell r="K77">
            <v>6</v>
          </cell>
          <cell r="O77">
            <v>856</v>
          </cell>
          <cell r="T77" t="str">
            <v>000000000003622</v>
          </cell>
        </row>
        <row r="78">
          <cell r="D78">
            <v>45812</v>
          </cell>
          <cell r="E78" t="str">
            <v>25A15B</v>
          </cell>
          <cell r="G78">
            <v>508</v>
          </cell>
          <cell r="I78" t="str">
            <v>25E22B</v>
          </cell>
          <cell r="J78">
            <v>1000</v>
          </cell>
          <cell r="K78">
            <v>500</v>
          </cell>
          <cell r="O78">
            <v>6</v>
          </cell>
          <cell r="T78" t="str">
            <v>000000000003622</v>
          </cell>
        </row>
        <row r="79">
          <cell r="B79" t="str">
            <v>+0.5</v>
          </cell>
          <cell r="C79">
            <v>2</v>
          </cell>
          <cell r="D79">
            <v>45812</v>
          </cell>
          <cell r="E79" t="str">
            <v>25E22B</v>
          </cell>
          <cell r="G79">
            <v>508</v>
          </cell>
          <cell r="H79">
            <v>508.04</v>
          </cell>
          <cell r="J79" t="str">
            <v/>
          </cell>
          <cell r="O79">
            <v>12</v>
          </cell>
          <cell r="T79" t="str">
            <v>000000000003622</v>
          </cell>
        </row>
        <row r="80">
          <cell r="B80" t="str">
            <v>使用数</v>
          </cell>
          <cell r="C80" t="str">
            <v>S-30</v>
          </cell>
          <cell r="D80">
            <v>45812</v>
          </cell>
          <cell r="E80" t="str">
            <v>25E22B</v>
          </cell>
          <cell r="G80">
            <v>508</v>
          </cell>
          <cell r="H80">
            <v>508.02</v>
          </cell>
          <cell r="J80" t="str">
            <v/>
          </cell>
          <cell r="T80" t="str">
            <v>000000000003622</v>
          </cell>
        </row>
        <row r="81">
          <cell r="B81">
            <v>9</v>
          </cell>
          <cell r="C81">
            <v>9</v>
          </cell>
          <cell r="D81">
            <v>45813</v>
          </cell>
          <cell r="E81" t="str">
            <v>25E22B</v>
          </cell>
          <cell r="G81">
            <v>508</v>
          </cell>
          <cell r="H81">
            <v>508.02</v>
          </cell>
          <cell r="J81" t="str">
            <v/>
          </cell>
          <cell r="O81" t="str">
            <v>水野</v>
          </cell>
          <cell r="P81">
            <v>12</v>
          </cell>
          <cell r="T81" t="str">
            <v>000000000003622</v>
          </cell>
        </row>
        <row r="82">
          <cell r="D82">
            <v>45813</v>
          </cell>
          <cell r="E82" t="str">
            <v>25E22B</v>
          </cell>
          <cell r="G82">
            <v>508</v>
          </cell>
          <cell r="H82">
            <v>507.84</v>
          </cell>
          <cell r="J82" t="str">
            <v/>
          </cell>
          <cell r="O82" t="str">
            <v>-</v>
          </cell>
          <cell r="P82">
            <v>12</v>
          </cell>
          <cell r="T82" t="str">
            <v>000000000003622</v>
          </cell>
        </row>
        <row r="83">
          <cell r="B83" t="str">
            <v>00757219</v>
          </cell>
          <cell r="C83" t="str">
            <v>001EGAW　415</v>
          </cell>
          <cell r="I83" t="str">
            <v>25E22B</v>
          </cell>
          <cell r="J83" t="str">
            <v>端材</v>
          </cell>
          <cell r="L83">
            <v>45813</v>
          </cell>
          <cell r="M83">
            <v>8</v>
          </cell>
          <cell r="O83">
            <v>45813</v>
          </cell>
          <cell r="T83" t="str">
            <v>000000000003621</v>
          </cell>
        </row>
        <row r="84">
          <cell r="D84">
            <v>45813</v>
          </cell>
          <cell r="E84" t="str">
            <v>25E22B</v>
          </cell>
          <cell r="G84">
            <v>415</v>
          </cell>
          <cell r="H84">
            <v>415.12</v>
          </cell>
          <cell r="I84" t="str">
            <v>25E23C</v>
          </cell>
          <cell r="J84" t="str">
            <v>端材</v>
          </cell>
          <cell r="O84">
            <v>1500</v>
          </cell>
          <cell r="T84" t="str">
            <v>000000000003621</v>
          </cell>
        </row>
        <row r="85">
          <cell r="B85" t="str">
            <v>+公差</v>
          </cell>
          <cell r="C85">
            <v>1500</v>
          </cell>
          <cell r="D85">
            <v>45813</v>
          </cell>
          <cell r="E85" t="str">
            <v>25E23C</v>
          </cell>
          <cell r="G85">
            <v>415</v>
          </cell>
          <cell r="I85" t="str">
            <v>25E24A</v>
          </cell>
          <cell r="J85" t="str">
            <v>端材</v>
          </cell>
          <cell r="O85">
            <v>501</v>
          </cell>
          <cell r="T85" t="str">
            <v>000000000003621</v>
          </cell>
        </row>
        <row r="86">
          <cell r="D86">
            <v>45813</v>
          </cell>
          <cell r="E86" t="str">
            <v>25E24A</v>
          </cell>
          <cell r="G86">
            <v>415</v>
          </cell>
          <cell r="I86" t="str">
            <v>25E23B</v>
          </cell>
          <cell r="J86">
            <v>600</v>
          </cell>
          <cell r="K86">
            <v>200</v>
          </cell>
          <cell r="O86">
            <v>1</v>
          </cell>
          <cell r="T86" t="str">
            <v>000000000003621</v>
          </cell>
        </row>
        <row r="87">
          <cell r="B87" t="str">
            <v>+0.5</v>
          </cell>
          <cell r="C87">
            <v>3</v>
          </cell>
          <cell r="D87">
            <v>45813</v>
          </cell>
          <cell r="E87" t="str">
            <v>25E23B</v>
          </cell>
          <cell r="G87">
            <v>415</v>
          </cell>
          <cell r="H87">
            <v>415.12</v>
          </cell>
          <cell r="I87" t="str">
            <v>25A15B</v>
          </cell>
          <cell r="J87">
            <v>36</v>
          </cell>
          <cell r="K87">
            <v>12</v>
          </cell>
          <cell r="O87">
            <v>2</v>
          </cell>
          <cell r="T87" t="str">
            <v>000000000003621</v>
          </cell>
        </row>
        <row r="88">
          <cell r="B88" t="str">
            <v>使用数</v>
          </cell>
          <cell r="C88" t="str">
            <v>S-20</v>
          </cell>
          <cell r="D88">
            <v>45813</v>
          </cell>
          <cell r="E88" t="str">
            <v>25A15B</v>
          </cell>
          <cell r="G88">
            <v>415</v>
          </cell>
          <cell r="H88">
            <v>415.21</v>
          </cell>
          <cell r="J88" t="str">
            <v/>
          </cell>
          <cell r="T88" t="str">
            <v>000000000003621</v>
          </cell>
        </row>
        <row r="89">
          <cell r="B89">
            <v>8</v>
          </cell>
          <cell r="C89">
            <v>8</v>
          </cell>
          <cell r="G89">
            <v>415</v>
          </cell>
          <cell r="J89" t="str">
            <v/>
          </cell>
          <cell r="O89" t="str">
            <v>水野</v>
          </cell>
          <cell r="P89">
            <v>2</v>
          </cell>
          <cell r="T89" t="str">
            <v>000000000003621</v>
          </cell>
        </row>
        <row r="90">
          <cell r="G90">
            <v>415</v>
          </cell>
          <cell r="J90" t="str">
            <v/>
          </cell>
          <cell r="O90" t="str">
            <v>-</v>
          </cell>
          <cell r="P90">
            <v>2</v>
          </cell>
          <cell r="T90" t="str">
            <v>000000000003621</v>
          </cell>
        </row>
        <row r="91">
          <cell r="B91" t="str">
            <v>00758109</v>
          </cell>
          <cell r="C91" t="str">
            <v>8FL281304 6110　L=1478</v>
          </cell>
          <cell r="D91">
            <v>45782</v>
          </cell>
          <cell r="E91" t="str">
            <v>25E09-02</v>
          </cell>
          <cell r="I91" t="str">
            <v>25E09-02</v>
          </cell>
          <cell r="J91">
            <v>15</v>
          </cell>
          <cell r="K91">
            <v>15</v>
          </cell>
          <cell r="L91">
            <v>45814</v>
          </cell>
          <cell r="M91">
            <v>4</v>
          </cell>
          <cell r="O91">
            <v>45814</v>
          </cell>
          <cell r="P91">
            <v>3</v>
          </cell>
          <cell r="T91" t="str">
            <v>000000000003691</v>
          </cell>
        </row>
        <row r="92">
          <cell r="D92">
            <v>45813</v>
          </cell>
          <cell r="E92" t="str">
            <v>25E14-06</v>
          </cell>
          <cell r="F92">
            <v>26</v>
          </cell>
          <cell r="G92">
            <v>1478.58</v>
          </cell>
          <cell r="H92">
            <v>1478.58</v>
          </cell>
          <cell r="I92" t="str">
            <v>25E14-06</v>
          </cell>
          <cell r="J92">
            <v>359</v>
          </cell>
          <cell r="K92">
            <v>359</v>
          </cell>
          <cell r="O92">
            <v>400</v>
          </cell>
          <cell r="T92" t="str">
            <v>000000000003691</v>
          </cell>
        </row>
        <row r="93">
          <cell r="B93" t="str">
            <v>+公差</v>
          </cell>
          <cell r="C93">
            <v>400</v>
          </cell>
          <cell r="D93">
            <v>45813</v>
          </cell>
          <cell r="E93" t="str">
            <v>25E27-09</v>
          </cell>
          <cell r="F93">
            <v>26</v>
          </cell>
          <cell r="G93">
            <v>1478.58</v>
          </cell>
          <cell r="H93">
            <v>1478.65</v>
          </cell>
          <cell r="I93" t="str">
            <v>25E27-09</v>
          </cell>
          <cell r="J93">
            <v>29</v>
          </cell>
          <cell r="K93">
            <v>29</v>
          </cell>
          <cell r="O93">
            <v>403</v>
          </cell>
          <cell r="T93" t="str">
            <v>000000000003691</v>
          </cell>
        </row>
        <row r="94">
          <cell r="G94" t="str">
            <v/>
          </cell>
          <cell r="J94" t="str">
            <v/>
          </cell>
          <cell r="O94">
            <v>3</v>
          </cell>
          <cell r="T94" t="str">
            <v>000000000003691</v>
          </cell>
        </row>
        <row r="95">
          <cell r="B95" t="str">
            <v>+0.5</v>
          </cell>
          <cell r="C95">
            <v>1</v>
          </cell>
          <cell r="G95" t="str">
            <v/>
          </cell>
          <cell r="J95" t="str">
            <v/>
          </cell>
          <cell r="O95">
            <v>3</v>
          </cell>
          <cell r="T95" t="str">
            <v>000000000003691</v>
          </cell>
        </row>
        <row r="96">
          <cell r="B96" t="str">
            <v>使用数</v>
          </cell>
          <cell r="C96" t="str">
            <v>LED-A1478</v>
          </cell>
          <cell r="G96" t="str">
            <v/>
          </cell>
          <cell r="J96" t="str">
            <v/>
          </cell>
          <cell r="T96" t="str">
            <v>000000000003691</v>
          </cell>
        </row>
        <row r="97">
          <cell r="B97">
            <v>4</v>
          </cell>
          <cell r="C97">
            <v>4</v>
          </cell>
          <cell r="G97" t="str">
            <v/>
          </cell>
          <cell r="J97" t="str">
            <v/>
          </cell>
          <cell r="O97" t="str">
            <v>水野</v>
          </cell>
          <cell r="T97" t="str">
            <v>000000000003691</v>
          </cell>
        </row>
        <row r="98">
          <cell r="G98" t="str">
            <v/>
          </cell>
          <cell r="J98" t="str">
            <v/>
          </cell>
          <cell r="O98" t="str">
            <v>高森</v>
          </cell>
          <cell r="P98">
            <v>3</v>
          </cell>
          <cell r="T98" t="str">
            <v>000000000003691</v>
          </cell>
        </row>
        <row r="99">
          <cell r="B99" t="str">
            <v>00758108</v>
          </cell>
          <cell r="C99" t="str">
            <v>8FL281304 4810　L=297</v>
          </cell>
          <cell r="D99">
            <v>45792</v>
          </cell>
          <cell r="E99" t="str">
            <v>25E09-02</v>
          </cell>
          <cell r="I99" t="str">
            <v>25E09-02</v>
          </cell>
          <cell r="J99">
            <v>18</v>
          </cell>
          <cell r="K99">
            <v>3</v>
          </cell>
          <cell r="L99">
            <v>45814</v>
          </cell>
          <cell r="M99">
            <v>2</v>
          </cell>
          <cell r="O99">
            <v>45814</v>
          </cell>
          <cell r="P99">
            <v>1</v>
          </cell>
          <cell r="T99" t="str">
            <v>000000000003690</v>
          </cell>
        </row>
        <row r="100">
          <cell r="D100">
            <v>45814</v>
          </cell>
          <cell r="E100" t="str">
            <v>25E27-09</v>
          </cell>
          <cell r="F100">
            <v>26</v>
          </cell>
          <cell r="G100">
            <v>297.12</v>
          </cell>
          <cell r="H100">
            <v>297.22000000000003</v>
          </cell>
          <cell r="I100" t="str">
            <v>25E27-09</v>
          </cell>
          <cell r="J100">
            <v>186</v>
          </cell>
          <cell r="K100">
            <v>31</v>
          </cell>
          <cell r="O100">
            <v>200</v>
          </cell>
          <cell r="T100" t="str">
            <v>000000000003690</v>
          </cell>
        </row>
        <row r="101">
          <cell r="B101" t="str">
            <v>+公差</v>
          </cell>
          <cell r="C101">
            <v>200</v>
          </cell>
          <cell r="D101">
            <v>45814</v>
          </cell>
          <cell r="E101" t="str">
            <v>25E27-09</v>
          </cell>
          <cell r="F101">
            <v>26</v>
          </cell>
          <cell r="G101">
            <v>297.12</v>
          </cell>
          <cell r="H101">
            <v>297.31</v>
          </cell>
          <cell r="J101" t="str">
            <v/>
          </cell>
          <cell r="O101">
            <v>34</v>
          </cell>
          <cell r="T101" t="str">
            <v>000000000003690</v>
          </cell>
        </row>
        <row r="102">
          <cell r="G102" t="str">
            <v/>
          </cell>
          <cell r="J102" t="str">
            <v/>
          </cell>
          <cell r="O102">
            <v>1</v>
          </cell>
          <cell r="T102" t="str">
            <v>000000000003690</v>
          </cell>
        </row>
        <row r="103">
          <cell r="B103" t="str">
            <v>+0.5</v>
          </cell>
          <cell r="C103">
            <v>6</v>
          </cell>
          <cell r="G103" t="str">
            <v/>
          </cell>
          <cell r="J103" t="str">
            <v/>
          </cell>
          <cell r="O103">
            <v>1</v>
          </cell>
          <cell r="T103" t="str">
            <v>000000000003690</v>
          </cell>
        </row>
        <row r="104">
          <cell r="B104" t="str">
            <v>使用数</v>
          </cell>
          <cell r="C104" t="str">
            <v>LED-A300</v>
          </cell>
          <cell r="G104" t="str">
            <v/>
          </cell>
          <cell r="J104" t="str">
            <v/>
          </cell>
          <cell r="O104">
            <v>1</v>
          </cell>
          <cell r="T104" t="str">
            <v>000000000003690</v>
          </cell>
        </row>
        <row r="105">
          <cell r="B105">
            <v>2</v>
          </cell>
          <cell r="C105">
            <v>2</v>
          </cell>
          <cell r="G105" t="str">
            <v/>
          </cell>
          <cell r="J105" t="str">
            <v/>
          </cell>
          <cell r="O105" t="str">
            <v>水野</v>
          </cell>
          <cell r="T105" t="str">
            <v>000000000003690</v>
          </cell>
        </row>
        <row r="106">
          <cell r="G106" t="str">
            <v/>
          </cell>
          <cell r="J106" t="str">
            <v/>
          </cell>
          <cell r="O106" t="str">
            <v>高森</v>
          </cell>
          <cell r="P106">
            <v>1</v>
          </cell>
          <cell r="T106" t="str">
            <v>000000000003690</v>
          </cell>
        </row>
        <row r="107">
          <cell r="B107" t="str">
            <v>00761438</v>
          </cell>
          <cell r="C107" t="str">
            <v>8FL281304 4810　L=297</v>
          </cell>
          <cell r="D107">
            <v>45814</v>
          </cell>
          <cell r="E107" t="str">
            <v>25E27-09</v>
          </cell>
          <cell r="I107" t="str">
            <v>25E27-09</v>
          </cell>
          <cell r="J107">
            <v>288</v>
          </cell>
          <cell r="K107">
            <v>48</v>
          </cell>
          <cell r="L107">
            <v>45818</v>
          </cell>
          <cell r="M107">
            <v>3</v>
          </cell>
          <cell r="O107">
            <v>45818</v>
          </cell>
          <cell r="T107" t="str">
            <v>000000000004070</v>
          </cell>
        </row>
        <row r="108">
          <cell r="D108">
            <v>45817</v>
          </cell>
          <cell r="E108" t="str">
            <v>25E27-09</v>
          </cell>
          <cell r="F108">
            <v>26</v>
          </cell>
          <cell r="G108">
            <v>297.12</v>
          </cell>
          <cell r="H108">
            <v>297.18</v>
          </cell>
          <cell r="J108" t="str">
            <v/>
          </cell>
          <cell r="O108">
            <v>300</v>
          </cell>
          <cell r="T108" t="str">
            <v>000000000004070</v>
          </cell>
        </row>
        <row r="109">
          <cell r="B109" t="str">
            <v>+公差</v>
          </cell>
          <cell r="C109">
            <v>300</v>
          </cell>
          <cell r="D109">
            <v>45817</v>
          </cell>
          <cell r="E109" t="str">
            <v>25E27-09</v>
          </cell>
          <cell r="F109">
            <v>26</v>
          </cell>
          <cell r="G109">
            <v>297.12</v>
          </cell>
          <cell r="H109">
            <v>297.39</v>
          </cell>
          <cell r="J109" t="str">
            <v/>
          </cell>
          <cell r="O109">
            <v>48</v>
          </cell>
          <cell r="T109" t="str">
            <v>000000000004070</v>
          </cell>
        </row>
        <row r="110">
          <cell r="G110" t="str">
            <v/>
          </cell>
          <cell r="J110" t="str">
            <v/>
          </cell>
          <cell r="O110">
            <v>0</v>
          </cell>
          <cell r="T110" t="str">
            <v>000000000004070</v>
          </cell>
        </row>
        <row r="111">
          <cell r="B111" t="str">
            <v>+0.5</v>
          </cell>
          <cell r="C111">
            <v>6</v>
          </cell>
          <cell r="G111" t="str">
            <v/>
          </cell>
          <cell r="J111" t="str">
            <v/>
          </cell>
          <cell r="O111">
            <v>0</v>
          </cell>
          <cell r="T111" t="str">
            <v>000000000004070</v>
          </cell>
        </row>
        <row r="112">
          <cell r="B112" t="str">
            <v>使用数</v>
          </cell>
          <cell r="C112" t="str">
            <v>LED-A300</v>
          </cell>
          <cell r="G112" t="str">
            <v/>
          </cell>
          <cell r="J112" t="str">
            <v/>
          </cell>
          <cell r="O112">
            <v>12</v>
          </cell>
          <cell r="T112" t="str">
            <v>000000000004070</v>
          </cell>
        </row>
        <row r="113">
          <cell r="B113">
            <v>3</v>
          </cell>
          <cell r="C113">
            <v>3</v>
          </cell>
          <cell r="G113" t="str">
            <v/>
          </cell>
          <cell r="J113" t="str">
            <v/>
          </cell>
          <cell r="O113" t="str">
            <v>水野</v>
          </cell>
          <cell r="T113" t="str">
            <v>000000000004070</v>
          </cell>
        </row>
        <row r="114">
          <cell r="G114" t="str">
            <v/>
          </cell>
          <cell r="J114" t="str">
            <v/>
          </cell>
          <cell r="O114" t="str">
            <v>高森</v>
          </cell>
          <cell r="P114">
            <v>0</v>
          </cell>
          <cell r="T114" t="str">
            <v>000000000004070</v>
          </cell>
        </row>
        <row r="115">
          <cell r="B115" t="str">
            <v>00761437</v>
          </cell>
          <cell r="C115" t="str">
            <v>8FL281304 4810　L=297</v>
          </cell>
          <cell r="I115" t="str">
            <v>25E27-09</v>
          </cell>
          <cell r="J115">
            <v>306</v>
          </cell>
          <cell r="K115">
            <v>51</v>
          </cell>
          <cell r="L115">
            <v>45818</v>
          </cell>
          <cell r="M115">
            <v>3</v>
          </cell>
          <cell r="O115">
            <v>45818</v>
          </cell>
          <cell r="P115">
            <v>2</v>
          </cell>
          <cell r="T115" t="str">
            <v>000000000004069</v>
          </cell>
        </row>
        <row r="116">
          <cell r="D116">
            <v>45817</v>
          </cell>
          <cell r="E116" t="str">
            <v>25E27-09</v>
          </cell>
          <cell r="F116">
            <v>26</v>
          </cell>
          <cell r="G116">
            <v>297.12</v>
          </cell>
          <cell r="H116">
            <v>297.22000000000003</v>
          </cell>
          <cell r="J116" t="str">
            <v/>
          </cell>
          <cell r="O116">
            <v>300</v>
          </cell>
          <cell r="T116" t="str">
            <v>000000000004069</v>
          </cell>
        </row>
        <row r="117">
          <cell r="B117" t="str">
            <v>+公差</v>
          </cell>
          <cell r="C117">
            <v>300</v>
          </cell>
          <cell r="D117">
            <v>45817</v>
          </cell>
          <cell r="E117" t="str">
            <v>25E27-09</v>
          </cell>
          <cell r="F117">
            <v>26</v>
          </cell>
          <cell r="G117">
            <v>297.12</v>
          </cell>
          <cell r="H117">
            <v>297.27999999999997</v>
          </cell>
          <cell r="J117" t="str">
            <v/>
          </cell>
          <cell r="O117">
            <v>51</v>
          </cell>
          <cell r="T117" t="str">
            <v>000000000004069</v>
          </cell>
        </row>
        <row r="118">
          <cell r="D118">
            <v>45818</v>
          </cell>
          <cell r="E118" t="str">
            <v>25E27-09</v>
          </cell>
          <cell r="F118">
            <v>22</v>
          </cell>
          <cell r="G118">
            <v>297.04000000000002</v>
          </cell>
          <cell r="H118">
            <v>297.27999999999997</v>
          </cell>
          <cell r="J118" t="str">
            <v/>
          </cell>
          <cell r="O118">
            <v>1</v>
          </cell>
          <cell r="T118" t="str">
            <v>000000000004069</v>
          </cell>
        </row>
        <row r="119">
          <cell r="B119" t="str">
            <v>+0.5</v>
          </cell>
          <cell r="C119">
            <v>6</v>
          </cell>
          <cell r="D119">
            <v>45818</v>
          </cell>
          <cell r="E119" t="str">
            <v>25E27-09</v>
          </cell>
          <cell r="F119">
            <v>22</v>
          </cell>
          <cell r="G119">
            <v>297.04000000000002</v>
          </cell>
          <cell r="H119">
            <v>297.29000000000002</v>
          </cell>
          <cell r="J119" t="str">
            <v/>
          </cell>
          <cell r="O119">
            <v>2</v>
          </cell>
          <cell r="T119" t="str">
            <v>000000000004069</v>
          </cell>
        </row>
        <row r="120">
          <cell r="B120" t="str">
            <v>使用数</v>
          </cell>
          <cell r="C120" t="str">
            <v>LED-A300</v>
          </cell>
          <cell r="G120" t="str">
            <v/>
          </cell>
          <cell r="J120" t="str">
            <v/>
          </cell>
          <cell r="T120" t="str">
            <v>000000000004069</v>
          </cell>
        </row>
        <row r="121">
          <cell r="B121">
            <v>3</v>
          </cell>
          <cell r="C121">
            <v>3</v>
          </cell>
          <cell r="G121" t="str">
            <v/>
          </cell>
          <cell r="J121" t="str">
            <v/>
          </cell>
          <cell r="O121" t="str">
            <v>水野</v>
          </cell>
          <cell r="T121" t="str">
            <v>000000000004069</v>
          </cell>
        </row>
        <row r="122">
          <cell r="G122" t="str">
            <v/>
          </cell>
          <cell r="J122" t="str">
            <v/>
          </cell>
          <cell r="O122" t="str">
            <v>高森</v>
          </cell>
          <cell r="P122">
            <v>2</v>
          </cell>
          <cell r="T122" t="str">
            <v>000000000004069</v>
          </cell>
        </row>
        <row r="123">
          <cell r="B123" t="str">
            <v>00761440</v>
          </cell>
          <cell r="C123" t="str">
            <v>8FL281304 5010　L=888</v>
          </cell>
          <cell r="D123">
            <v>45798</v>
          </cell>
          <cell r="E123" t="str">
            <v>25E14-06</v>
          </cell>
          <cell r="I123" t="str">
            <v>25E14-06</v>
          </cell>
          <cell r="J123">
            <v>16</v>
          </cell>
          <cell r="K123">
            <v>8</v>
          </cell>
          <cell r="L123">
            <v>45818</v>
          </cell>
          <cell r="M123">
            <v>4</v>
          </cell>
          <cell r="O123">
            <v>45820</v>
          </cell>
          <cell r="P123">
            <v>20</v>
          </cell>
          <cell r="T123" t="str">
            <v>000000000004072</v>
          </cell>
        </row>
        <row r="124">
          <cell r="D124">
            <v>45818</v>
          </cell>
          <cell r="E124" t="str">
            <v>25E27-09</v>
          </cell>
          <cell r="F124">
            <v>22</v>
          </cell>
          <cell r="G124">
            <v>888.12</v>
          </cell>
          <cell r="H124">
            <v>888.28</v>
          </cell>
          <cell r="I124" t="str">
            <v>25E27-09</v>
          </cell>
          <cell r="J124">
            <v>296</v>
          </cell>
          <cell r="K124">
            <v>148</v>
          </cell>
          <cell r="L124">
            <v>45819</v>
          </cell>
          <cell r="M124">
            <v>15</v>
          </cell>
          <cell r="O124">
            <v>2000</v>
          </cell>
          <cell r="T124" t="str">
            <v>000000000004072</v>
          </cell>
        </row>
        <row r="125">
          <cell r="B125" t="str">
            <v>+公差</v>
          </cell>
          <cell r="C125">
            <v>2000</v>
          </cell>
          <cell r="D125">
            <v>45818</v>
          </cell>
          <cell r="E125" t="str">
            <v>25E14-07</v>
          </cell>
          <cell r="F125">
            <v>24</v>
          </cell>
          <cell r="G125">
            <v>888.23</v>
          </cell>
          <cell r="H125">
            <v>888.44</v>
          </cell>
          <cell r="I125" t="str">
            <v>25E14-07</v>
          </cell>
          <cell r="J125">
            <v>1000</v>
          </cell>
          <cell r="K125">
            <v>500</v>
          </cell>
          <cell r="L125">
            <v>45820</v>
          </cell>
          <cell r="M125">
            <v>1</v>
          </cell>
          <cell r="O125">
            <v>1013</v>
          </cell>
          <cell r="P125">
            <v>2</v>
          </cell>
          <cell r="T125" t="str">
            <v>000000000004072</v>
          </cell>
        </row>
        <row r="126">
          <cell r="D126">
            <v>45818</v>
          </cell>
          <cell r="E126" t="str">
            <v>25E14-07</v>
          </cell>
          <cell r="F126">
            <v>24</v>
          </cell>
          <cell r="G126">
            <v>888.23</v>
          </cell>
          <cell r="H126">
            <v>888.49</v>
          </cell>
          <cell r="I126" t="str">
            <v>25E27-08</v>
          </cell>
          <cell r="J126">
            <v>714</v>
          </cell>
          <cell r="K126">
            <v>357</v>
          </cell>
          <cell r="O126">
            <v>13</v>
          </cell>
          <cell r="T126" t="str">
            <v>000000000004072</v>
          </cell>
        </row>
        <row r="127">
          <cell r="B127" t="str">
            <v>+0.5</v>
          </cell>
          <cell r="C127">
            <v>2</v>
          </cell>
          <cell r="D127">
            <v>45818</v>
          </cell>
          <cell r="E127" t="str">
            <v>25E14-07</v>
          </cell>
          <cell r="F127">
            <v>24</v>
          </cell>
          <cell r="G127">
            <v>888.23</v>
          </cell>
          <cell r="H127">
            <v>888.63</v>
          </cell>
          <cell r="J127" t="str">
            <v/>
          </cell>
          <cell r="O127">
            <v>25</v>
          </cell>
          <cell r="T127" t="str">
            <v>000000000004072</v>
          </cell>
        </row>
        <row r="128">
          <cell r="B128" t="str">
            <v>使用数</v>
          </cell>
          <cell r="C128" t="str">
            <v>LED-A888</v>
          </cell>
          <cell r="D128">
            <v>45819</v>
          </cell>
          <cell r="E128" t="str">
            <v>25E27-08</v>
          </cell>
          <cell r="F128">
            <v>22</v>
          </cell>
          <cell r="G128">
            <v>888.12</v>
          </cell>
          <cell r="H128">
            <v>888.34</v>
          </cell>
          <cell r="J128" t="str">
            <v/>
          </cell>
          <cell r="T128" t="str">
            <v>000000000004072</v>
          </cell>
        </row>
        <row r="129">
          <cell r="B129">
            <v>20</v>
          </cell>
          <cell r="C129">
            <v>20</v>
          </cell>
          <cell r="D129">
            <v>45819</v>
          </cell>
          <cell r="E129" t="str">
            <v>25E27-08</v>
          </cell>
          <cell r="F129">
            <v>24</v>
          </cell>
          <cell r="G129">
            <v>888.23</v>
          </cell>
          <cell r="H129">
            <v>888.43</v>
          </cell>
          <cell r="J129" t="str">
            <v/>
          </cell>
          <cell r="O129" t="str">
            <v>水野</v>
          </cell>
          <cell r="P129">
            <v>3</v>
          </cell>
          <cell r="T129" t="str">
            <v>000000000004072</v>
          </cell>
        </row>
        <row r="130">
          <cell r="G130" t="str">
            <v/>
          </cell>
          <cell r="J130" t="str">
            <v/>
          </cell>
          <cell r="O130" t="str">
            <v>高森</v>
          </cell>
          <cell r="P130">
            <v>25</v>
          </cell>
          <cell r="T130" t="str">
            <v>000000000004072</v>
          </cell>
        </row>
        <row r="131">
          <cell r="B131" t="str">
            <v>00761439</v>
          </cell>
          <cell r="C131" t="str">
            <v>8FL281304 5010　L=888</v>
          </cell>
          <cell r="I131" t="str">
            <v>25E27-08</v>
          </cell>
          <cell r="J131">
            <v>886</v>
          </cell>
          <cell r="K131">
            <v>443</v>
          </cell>
          <cell r="O131">
            <v>45821</v>
          </cell>
          <cell r="P131">
            <v>21</v>
          </cell>
          <cell r="T131" t="str">
            <v>000000000004071</v>
          </cell>
        </row>
        <row r="132">
          <cell r="D132">
            <v>45819</v>
          </cell>
          <cell r="E132" t="str">
            <v>25E27-08</v>
          </cell>
          <cell r="F132">
            <v>24</v>
          </cell>
          <cell r="G132">
            <v>888.23</v>
          </cell>
          <cell r="H132">
            <v>888.45</v>
          </cell>
          <cell r="I132" t="str">
            <v>25E28-10</v>
          </cell>
          <cell r="J132">
            <v>1136</v>
          </cell>
          <cell r="K132">
            <v>568</v>
          </cell>
          <cell r="O132">
            <v>2000</v>
          </cell>
          <cell r="P132">
            <v>1</v>
          </cell>
          <cell r="T132" t="str">
            <v>000000000004071</v>
          </cell>
        </row>
        <row r="133">
          <cell r="B133" t="str">
            <v>+公差</v>
          </cell>
          <cell r="C133">
            <v>2000</v>
          </cell>
          <cell r="D133">
            <v>45819</v>
          </cell>
          <cell r="E133" t="str">
            <v>25E27-08</v>
          </cell>
          <cell r="F133">
            <v>24</v>
          </cell>
          <cell r="G133">
            <v>888.23</v>
          </cell>
          <cell r="H133">
            <v>888.44</v>
          </cell>
          <cell r="J133" t="str">
            <v/>
          </cell>
          <cell r="L133">
            <v>45820</v>
          </cell>
          <cell r="M133">
            <v>13</v>
          </cell>
          <cell r="O133">
            <v>1011</v>
          </cell>
          <cell r="T133" t="str">
            <v>000000000004071</v>
          </cell>
        </row>
        <row r="134">
          <cell r="D134">
            <v>45819</v>
          </cell>
          <cell r="E134" t="str">
            <v>25E27-08</v>
          </cell>
          <cell r="F134">
            <v>24</v>
          </cell>
          <cell r="G134">
            <v>888.23</v>
          </cell>
          <cell r="H134">
            <v>888.41</v>
          </cell>
          <cell r="J134" t="str">
            <v/>
          </cell>
          <cell r="L134">
            <v>45821</v>
          </cell>
          <cell r="M134">
            <v>7</v>
          </cell>
          <cell r="O134">
            <v>11</v>
          </cell>
          <cell r="T134" t="str">
            <v>000000000004071</v>
          </cell>
        </row>
        <row r="135">
          <cell r="B135" t="str">
            <v>+0.5</v>
          </cell>
          <cell r="C135">
            <v>2</v>
          </cell>
          <cell r="D135">
            <v>45820</v>
          </cell>
          <cell r="E135" t="str">
            <v>25E28-10</v>
          </cell>
          <cell r="F135">
            <v>24</v>
          </cell>
          <cell r="G135">
            <v>888.23</v>
          </cell>
          <cell r="H135">
            <v>888.3</v>
          </cell>
          <cell r="J135" t="str">
            <v/>
          </cell>
          <cell r="O135">
            <v>22</v>
          </cell>
          <cell r="T135" t="str">
            <v>000000000004071</v>
          </cell>
        </row>
        <row r="136">
          <cell r="B136" t="str">
            <v>使用数</v>
          </cell>
          <cell r="C136" t="str">
            <v>LED-A888</v>
          </cell>
          <cell r="D136">
            <v>45820</v>
          </cell>
          <cell r="E136" t="str">
            <v>25E28-10</v>
          </cell>
          <cell r="F136">
            <v>26</v>
          </cell>
          <cell r="G136">
            <v>888.35</v>
          </cell>
          <cell r="H136">
            <v>888.39</v>
          </cell>
          <cell r="J136" t="str">
            <v/>
          </cell>
          <cell r="T136" t="str">
            <v>000000000004071</v>
          </cell>
        </row>
        <row r="137">
          <cell r="B137">
            <v>20</v>
          </cell>
          <cell r="C137">
            <v>20</v>
          </cell>
          <cell r="D137">
            <v>45820</v>
          </cell>
          <cell r="E137" t="str">
            <v>25E28-10</v>
          </cell>
          <cell r="F137">
            <v>26</v>
          </cell>
          <cell r="G137">
            <v>888.35</v>
          </cell>
          <cell r="H137">
            <v>888.4</v>
          </cell>
          <cell r="J137" t="str">
            <v/>
          </cell>
          <cell r="O137" t="str">
            <v>水野</v>
          </cell>
          <cell r="T137" t="str">
            <v>000000000004071</v>
          </cell>
        </row>
        <row r="138">
          <cell r="D138">
            <v>45820</v>
          </cell>
          <cell r="E138" t="str">
            <v>25E28-10</v>
          </cell>
          <cell r="F138">
            <v>26</v>
          </cell>
          <cell r="G138">
            <v>888.35</v>
          </cell>
          <cell r="H138">
            <v>888.38</v>
          </cell>
          <cell r="J138" t="str">
            <v/>
          </cell>
          <cell r="O138" t="str">
            <v>高森</v>
          </cell>
          <cell r="P138">
            <v>22</v>
          </cell>
          <cell r="T138" t="str">
            <v>000000000004071</v>
          </cell>
        </row>
        <row r="139">
          <cell r="B139" t="str">
            <v>00762354</v>
          </cell>
          <cell r="C139" t="str">
            <v>灯具カバーPC IN 2140　L=547</v>
          </cell>
          <cell r="D139">
            <v>45799</v>
          </cell>
          <cell r="E139" t="str">
            <v>25E16-01</v>
          </cell>
          <cell r="I139" t="str">
            <v>25E16-01</v>
          </cell>
          <cell r="J139">
            <v>8</v>
          </cell>
          <cell r="K139">
            <v>8</v>
          </cell>
          <cell r="L139">
            <v>45825</v>
          </cell>
          <cell r="M139">
            <v>10</v>
          </cell>
          <cell r="O139">
            <v>45825</v>
          </cell>
          <cell r="P139">
            <v>2</v>
          </cell>
          <cell r="T139" t="str">
            <v>000000000004195</v>
          </cell>
        </row>
        <row r="140">
          <cell r="D140">
            <v>45824</v>
          </cell>
          <cell r="E140" t="str">
            <v>25F10-01</v>
          </cell>
          <cell r="G140" t="str">
            <v/>
          </cell>
          <cell r="I140" t="str">
            <v>25F10-01</v>
          </cell>
          <cell r="J140">
            <v>89</v>
          </cell>
          <cell r="K140">
            <v>89</v>
          </cell>
          <cell r="O140">
            <v>80</v>
          </cell>
          <cell r="P140">
            <v>15</v>
          </cell>
          <cell r="T140" t="str">
            <v>000000000004195</v>
          </cell>
        </row>
        <row r="141">
          <cell r="B141" t="str">
            <v>+公差</v>
          </cell>
          <cell r="C141">
            <v>80</v>
          </cell>
          <cell r="G141" t="str">
            <v/>
          </cell>
          <cell r="J141" t="str">
            <v/>
          </cell>
          <cell r="O141">
            <v>97</v>
          </cell>
          <cell r="T141" t="str">
            <v>000000000004195</v>
          </cell>
        </row>
        <row r="142">
          <cell r="G142" t="str">
            <v/>
          </cell>
          <cell r="J142" t="str">
            <v/>
          </cell>
          <cell r="O142">
            <v>17</v>
          </cell>
          <cell r="T142" t="str">
            <v>000000000004195</v>
          </cell>
        </row>
        <row r="143">
          <cell r="B143" t="str">
            <v>+2</v>
          </cell>
          <cell r="C143">
            <v>1</v>
          </cell>
          <cell r="G143" t="str">
            <v/>
          </cell>
          <cell r="J143" t="str">
            <v/>
          </cell>
          <cell r="O143">
            <v>17</v>
          </cell>
          <cell r="T143" t="str">
            <v>000000000004195</v>
          </cell>
        </row>
        <row r="144">
          <cell r="B144" t="str">
            <v>使用数</v>
          </cell>
          <cell r="C144" t="str">
            <v>灯具-1　L=1370</v>
          </cell>
          <cell r="G144" t="str">
            <v/>
          </cell>
          <cell r="J144" t="str">
            <v/>
          </cell>
          <cell r="T144" t="str">
            <v>000000000004195</v>
          </cell>
        </row>
        <row r="145">
          <cell r="B145">
            <v>20</v>
          </cell>
          <cell r="C145">
            <v>10</v>
          </cell>
          <cell r="G145" t="str">
            <v/>
          </cell>
          <cell r="J145" t="str">
            <v/>
          </cell>
          <cell r="T145" t="str">
            <v>000000000004195</v>
          </cell>
        </row>
        <row r="146">
          <cell r="G146" t="str">
            <v/>
          </cell>
          <cell r="J146" t="str">
            <v/>
          </cell>
          <cell r="O146" t="str">
            <v>高森</v>
          </cell>
          <cell r="P146">
            <v>17</v>
          </cell>
          <cell r="T146" t="str">
            <v>000000000004195</v>
          </cell>
        </row>
        <row r="147">
          <cell r="B147" t="str">
            <v>00762352</v>
          </cell>
          <cell r="C147" t="str">
            <v>灯具カバーPC  　2200    L=221.8</v>
          </cell>
          <cell r="I147" t="str">
            <v>25F10-01</v>
          </cell>
          <cell r="J147">
            <v>20</v>
          </cell>
          <cell r="K147">
            <v>10</v>
          </cell>
          <cell r="L147">
            <v>45825</v>
          </cell>
          <cell r="M147">
            <v>10</v>
          </cell>
          <cell r="O147">
            <v>45825</v>
          </cell>
          <cell r="T147" t="str">
            <v>000000000004193</v>
          </cell>
        </row>
        <row r="148">
          <cell r="D148">
            <v>45824</v>
          </cell>
          <cell r="E148" t="str">
            <v>25F10-01</v>
          </cell>
          <cell r="F148">
            <v>26</v>
          </cell>
          <cell r="G148">
            <v>222.3</v>
          </cell>
          <cell r="H148">
            <v>222.04</v>
          </cell>
          <cell r="J148" t="str">
            <v/>
          </cell>
          <cell r="O148">
            <v>20</v>
          </cell>
          <cell r="P148">
            <v>4</v>
          </cell>
          <cell r="T148" t="str">
            <v>000000000004193</v>
          </cell>
        </row>
        <row r="149">
          <cell r="B149" t="str">
            <v>+公差</v>
          </cell>
          <cell r="C149">
            <v>20</v>
          </cell>
          <cell r="D149">
            <v>45824</v>
          </cell>
          <cell r="E149" t="str">
            <v>25F10-01</v>
          </cell>
          <cell r="F149">
            <v>26</v>
          </cell>
          <cell r="G149">
            <v>222.3</v>
          </cell>
          <cell r="H149">
            <v>222.18</v>
          </cell>
          <cell r="J149" t="str">
            <v/>
          </cell>
          <cell r="O149">
            <v>10</v>
          </cell>
          <cell r="T149" t="str">
            <v>000000000004193</v>
          </cell>
        </row>
        <row r="150">
          <cell r="G150" t="str">
            <v/>
          </cell>
          <cell r="J150" t="str">
            <v/>
          </cell>
          <cell r="O150">
            <v>2</v>
          </cell>
          <cell r="T150" t="str">
            <v>000000000004193</v>
          </cell>
        </row>
        <row r="151">
          <cell r="B151" t="str">
            <v>+2</v>
          </cell>
          <cell r="C151">
            <v>2</v>
          </cell>
          <cell r="G151" t="str">
            <v/>
          </cell>
          <cell r="J151" t="str">
            <v/>
          </cell>
          <cell r="O151">
            <v>4</v>
          </cell>
          <cell r="T151" t="str">
            <v>000000000004193</v>
          </cell>
        </row>
        <row r="152">
          <cell r="B152" t="str">
            <v>使用数</v>
          </cell>
          <cell r="C152" t="str">
            <v>H型ジョイナー</v>
          </cell>
          <cell r="G152" t="str">
            <v/>
          </cell>
          <cell r="J152" t="str">
            <v/>
          </cell>
          <cell r="O152">
            <v>4</v>
          </cell>
          <cell r="T152" t="str">
            <v>000000000004193</v>
          </cell>
        </row>
        <row r="153">
          <cell r="B153">
            <v>10</v>
          </cell>
          <cell r="C153">
            <v>0</v>
          </cell>
          <cell r="G153" t="str">
            <v/>
          </cell>
          <cell r="J153" t="str">
            <v/>
          </cell>
          <cell r="O153" t="str">
            <v>水野</v>
          </cell>
          <cell r="T153" t="str">
            <v>000000000004193</v>
          </cell>
        </row>
        <row r="154">
          <cell r="G154" t="str">
            <v/>
          </cell>
          <cell r="J154" t="str">
            <v/>
          </cell>
          <cell r="O154" t="str">
            <v>高森</v>
          </cell>
          <cell r="P154">
            <v>4</v>
          </cell>
          <cell r="T154" t="str">
            <v>000000000004193</v>
          </cell>
        </row>
        <row r="155">
          <cell r="B155" t="str">
            <v>00762358</v>
          </cell>
          <cell r="C155" t="str">
            <v>灯具カバーPC IN 2060　L=1258.5</v>
          </cell>
          <cell r="D155">
            <v>45768</v>
          </cell>
          <cell r="E155" t="str">
            <v>25D10-01</v>
          </cell>
          <cell r="I155" t="str">
            <v>25D10-01</v>
          </cell>
          <cell r="J155">
            <v>7</v>
          </cell>
          <cell r="K155">
            <v>7</v>
          </cell>
          <cell r="L155">
            <v>45825</v>
          </cell>
          <cell r="M155">
            <v>5</v>
          </cell>
          <cell r="O155">
            <v>45825</v>
          </cell>
          <cell r="P155">
            <v>1</v>
          </cell>
          <cell r="T155" t="str">
            <v>000000000004199</v>
          </cell>
        </row>
        <row r="156">
          <cell r="D156">
            <v>45825</v>
          </cell>
          <cell r="E156" t="str">
            <v>25F10-01</v>
          </cell>
          <cell r="G156" t="str">
            <v/>
          </cell>
          <cell r="I156" t="str">
            <v>25F10-01</v>
          </cell>
          <cell r="J156">
            <v>90</v>
          </cell>
          <cell r="K156">
            <v>90</v>
          </cell>
          <cell r="O156">
            <v>80</v>
          </cell>
          <cell r="P156">
            <v>16</v>
          </cell>
          <cell r="T156" t="str">
            <v>000000000004199</v>
          </cell>
        </row>
        <row r="157">
          <cell r="B157" t="str">
            <v>+公差</v>
          </cell>
          <cell r="C157">
            <v>80</v>
          </cell>
          <cell r="G157" t="str">
            <v/>
          </cell>
          <cell r="J157" t="str">
            <v/>
          </cell>
          <cell r="O157">
            <v>97</v>
          </cell>
          <cell r="T157" t="str">
            <v>000000000004199</v>
          </cell>
        </row>
        <row r="158">
          <cell r="G158" t="str">
            <v/>
          </cell>
          <cell r="J158" t="str">
            <v/>
          </cell>
          <cell r="O158">
            <v>17</v>
          </cell>
          <cell r="T158" t="str">
            <v>000000000004199</v>
          </cell>
        </row>
        <row r="159">
          <cell r="B159" t="str">
            <v>+2</v>
          </cell>
          <cell r="C159">
            <v>1</v>
          </cell>
          <cell r="G159" t="str">
            <v/>
          </cell>
          <cell r="J159" t="str">
            <v/>
          </cell>
          <cell r="O159">
            <v>17</v>
          </cell>
          <cell r="T159" t="str">
            <v>000000000004199</v>
          </cell>
        </row>
        <row r="160">
          <cell r="B160" t="str">
            <v>使用数</v>
          </cell>
          <cell r="C160" t="str">
            <v>灯具-1　L=1370</v>
          </cell>
          <cell r="G160" t="str">
            <v/>
          </cell>
          <cell r="J160" t="str">
            <v/>
          </cell>
          <cell r="T160" t="str">
            <v>000000000004199</v>
          </cell>
        </row>
        <row r="161">
          <cell r="B161">
            <v>5</v>
          </cell>
          <cell r="C161">
            <v>5</v>
          </cell>
          <cell r="G161" t="str">
            <v/>
          </cell>
          <cell r="J161" t="str">
            <v/>
          </cell>
          <cell r="T161" t="str">
            <v>000000000004199</v>
          </cell>
        </row>
        <row r="162">
          <cell r="G162" t="str">
            <v/>
          </cell>
          <cell r="J162" t="str">
            <v/>
          </cell>
          <cell r="O162" t="str">
            <v>高森</v>
          </cell>
          <cell r="P162">
            <v>17</v>
          </cell>
          <cell r="T162" t="str">
            <v>000000000004199</v>
          </cell>
        </row>
        <row r="163">
          <cell r="B163" t="str">
            <v>00762353</v>
          </cell>
          <cell r="C163" t="str">
            <v>灯具カバーPC  　7530    L=565</v>
          </cell>
          <cell r="I163" t="str">
            <v>25F10-01</v>
          </cell>
          <cell r="J163" t="str">
            <v/>
          </cell>
          <cell r="L163">
            <v>45825</v>
          </cell>
          <cell r="M163">
            <v>10</v>
          </cell>
          <cell r="O163">
            <v>45825</v>
          </cell>
          <cell r="T163" t="str">
            <v>000000000004194</v>
          </cell>
        </row>
        <row r="164">
          <cell r="D164">
            <v>45824</v>
          </cell>
          <cell r="E164" t="str">
            <v>25F10-01</v>
          </cell>
          <cell r="F164">
            <v>26</v>
          </cell>
          <cell r="G164">
            <v>565.4</v>
          </cell>
          <cell r="H164">
            <v>565.16999999999996</v>
          </cell>
          <cell r="J164" t="str">
            <v/>
          </cell>
          <cell r="O164">
            <v>20</v>
          </cell>
          <cell r="T164" t="str">
            <v>000000000004194</v>
          </cell>
        </row>
        <row r="165">
          <cell r="B165" t="str">
            <v>+公差</v>
          </cell>
          <cell r="C165">
            <v>20</v>
          </cell>
          <cell r="D165">
            <v>45824</v>
          </cell>
          <cell r="E165" t="str">
            <v>25F10-01</v>
          </cell>
          <cell r="F165">
            <v>26</v>
          </cell>
          <cell r="G165">
            <v>565.4</v>
          </cell>
          <cell r="H165">
            <v>565.03</v>
          </cell>
          <cell r="J165" t="str">
            <v/>
          </cell>
          <cell r="O165">
            <v>10</v>
          </cell>
          <cell r="T165" t="str">
            <v>000000000004194</v>
          </cell>
        </row>
        <row r="166">
          <cell r="G166" t="str">
            <v/>
          </cell>
          <cell r="J166" t="str">
            <v/>
          </cell>
          <cell r="O166">
            <v>0</v>
          </cell>
          <cell r="T166" t="str">
            <v>000000000004194</v>
          </cell>
        </row>
        <row r="167">
          <cell r="B167" t="str">
            <v>+2</v>
          </cell>
          <cell r="C167">
            <v>2</v>
          </cell>
          <cell r="G167" t="str">
            <v/>
          </cell>
          <cell r="J167" t="str">
            <v/>
          </cell>
          <cell r="O167">
            <v>0</v>
          </cell>
          <cell r="T167" t="str">
            <v>000000000004194</v>
          </cell>
        </row>
        <row r="168">
          <cell r="B168" t="str">
            <v>使用数</v>
          </cell>
          <cell r="C168" t="str">
            <v>H型ジョイナー</v>
          </cell>
          <cell r="G168" t="str">
            <v/>
          </cell>
          <cell r="J168" t="str">
            <v/>
          </cell>
          <cell r="T168" t="str">
            <v>000000000004194</v>
          </cell>
        </row>
        <row r="169">
          <cell r="B169">
            <v>10</v>
          </cell>
          <cell r="C169">
            <v>0</v>
          </cell>
          <cell r="G169" t="str">
            <v/>
          </cell>
          <cell r="J169" t="str">
            <v/>
          </cell>
          <cell r="O169" t="str">
            <v>水野</v>
          </cell>
          <cell r="T169" t="str">
            <v>000000000004194</v>
          </cell>
        </row>
        <row r="170">
          <cell r="G170" t="str">
            <v/>
          </cell>
          <cell r="J170" t="str">
            <v/>
          </cell>
          <cell r="O170" t="str">
            <v>高森</v>
          </cell>
          <cell r="P170">
            <v>0</v>
          </cell>
          <cell r="T170" t="str">
            <v>000000000004194</v>
          </cell>
        </row>
        <row r="171">
          <cell r="B171" t="str">
            <v>00762356</v>
          </cell>
          <cell r="C171" t="str">
            <v>灯具カバーPC IN 2130　L=908</v>
          </cell>
          <cell r="I171" t="str">
            <v>25F10-01</v>
          </cell>
          <cell r="J171">
            <v>198</v>
          </cell>
          <cell r="K171">
            <v>198</v>
          </cell>
          <cell r="L171">
            <v>45826</v>
          </cell>
          <cell r="M171">
            <v>9</v>
          </cell>
          <cell r="O171">
            <v>45826</v>
          </cell>
          <cell r="P171">
            <v>8</v>
          </cell>
          <cell r="T171" t="str">
            <v>000000000004197</v>
          </cell>
        </row>
        <row r="172">
          <cell r="D172">
            <v>45826</v>
          </cell>
          <cell r="E172" t="str">
            <v>25F10-01</v>
          </cell>
          <cell r="G172" t="str">
            <v/>
          </cell>
          <cell r="J172" t="str">
            <v/>
          </cell>
          <cell r="O172">
            <v>144</v>
          </cell>
          <cell r="P172">
            <v>46</v>
          </cell>
          <cell r="T172" t="str">
            <v>000000000004197</v>
          </cell>
        </row>
        <row r="173">
          <cell r="B173" t="str">
            <v>+公差</v>
          </cell>
          <cell r="C173">
            <v>144</v>
          </cell>
          <cell r="G173" t="str">
            <v/>
          </cell>
          <cell r="J173" t="str">
            <v/>
          </cell>
          <cell r="O173">
            <v>198</v>
          </cell>
          <cell r="T173" t="str">
            <v>000000000004197</v>
          </cell>
        </row>
        <row r="174">
          <cell r="G174" t="str">
            <v/>
          </cell>
          <cell r="J174" t="str">
            <v/>
          </cell>
          <cell r="O174">
            <v>54</v>
          </cell>
          <cell r="T174" t="str">
            <v>000000000004197</v>
          </cell>
        </row>
        <row r="175">
          <cell r="B175" t="str">
            <v>+2</v>
          </cell>
          <cell r="C175">
            <v>1</v>
          </cell>
          <cell r="G175" t="str">
            <v/>
          </cell>
          <cell r="J175" t="str">
            <v/>
          </cell>
          <cell r="O175">
            <v>54</v>
          </cell>
          <cell r="T175" t="str">
            <v>000000000004197</v>
          </cell>
        </row>
        <row r="176">
          <cell r="B176" t="str">
            <v>使用数</v>
          </cell>
          <cell r="C176" t="str">
            <v>灯具-1　L=1370</v>
          </cell>
          <cell r="G176" t="str">
            <v/>
          </cell>
          <cell r="J176" t="str">
            <v/>
          </cell>
          <cell r="T176" t="str">
            <v>000000000004197</v>
          </cell>
        </row>
        <row r="177">
          <cell r="B177">
            <v>9</v>
          </cell>
          <cell r="C177">
            <v>9</v>
          </cell>
          <cell r="G177" t="str">
            <v/>
          </cell>
          <cell r="J177" t="str">
            <v/>
          </cell>
          <cell r="T177" t="str">
            <v>000000000004197</v>
          </cell>
        </row>
        <row r="178">
          <cell r="G178" t="str">
            <v/>
          </cell>
          <cell r="J178" t="str">
            <v/>
          </cell>
          <cell r="O178" t="str">
            <v>水野・高森</v>
          </cell>
          <cell r="P178">
            <v>54</v>
          </cell>
          <cell r="T178" t="str">
            <v>000000000004197</v>
          </cell>
        </row>
        <row r="179">
          <cell r="B179" t="str">
            <v>00762355</v>
          </cell>
          <cell r="C179" t="str">
            <v>灯具カバーPC IN 2090　L=840</v>
          </cell>
          <cell r="D179">
            <v>45798</v>
          </cell>
          <cell r="E179" t="str">
            <v>25E15-01</v>
          </cell>
          <cell r="I179" t="str">
            <v>25E15-01</v>
          </cell>
          <cell r="J179">
            <v>14</v>
          </cell>
          <cell r="K179">
            <v>14</v>
          </cell>
          <cell r="L179">
            <v>45826</v>
          </cell>
          <cell r="M179">
            <v>7</v>
          </cell>
          <cell r="O179">
            <v>45827</v>
          </cell>
          <cell r="P179">
            <v>15</v>
          </cell>
          <cell r="T179" t="str">
            <v>000000000004196</v>
          </cell>
        </row>
        <row r="180">
          <cell r="D180">
            <v>45827</v>
          </cell>
          <cell r="E180" t="str">
            <v>25F10-01</v>
          </cell>
          <cell r="G180" t="str">
            <v/>
          </cell>
          <cell r="I180" t="str">
            <v>25F10-01</v>
          </cell>
          <cell r="J180">
            <v>198</v>
          </cell>
          <cell r="K180">
            <v>198</v>
          </cell>
          <cell r="L180">
            <v>45827</v>
          </cell>
          <cell r="M180">
            <v>5</v>
          </cell>
          <cell r="O180">
            <v>192</v>
          </cell>
          <cell r="P180">
            <v>4</v>
          </cell>
          <cell r="T180" t="str">
            <v>000000000004196</v>
          </cell>
        </row>
        <row r="181">
          <cell r="B181" t="str">
            <v>+公差</v>
          </cell>
          <cell r="C181">
            <v>192</v>
          </cell>
          <cell r="G181" t="str">
            <v/>
          </cell>
          <cell r="J181" t="str">
            <v/>
          </cell>
          <cell r="O181">
            <v>212</v>
          </cell>
          <cell r="P181">
            <v>1</v>
          </cell>
          <cell r="T181" t="str">
            <v>000000000004196</v>
          </cell>
        </row>
        <row r="182">
          <cell r="G182" t="str">
            <v/>
          </cell>
          <cell r="J182" t="str">
            <v/>
          </cell>
          <cell r="O182">
            <v>20</v>
          </cell>
          <cell r="T182" t="str">
            <v>000000000004196</v>
          </cell>
        </row>
        <row r="183">
          <cell r="B183" t="str">
            <v>+2</v>
          </cell>
          <cell r="C183">
            <v>1</v>
          </cell>
          <cell r="G183" t="str">
            <v/>
          </cell>
          <cell r="J183" t="str">
            <v/>
          </cell>
          <cell r="O183">
            <v>20</v>
          </cell>
          <cell r="T183" t="str">
            <v>000000000004196</v>
          </cell>
        </row>
        <row r="184">
          <cell r="B184" t="str">
            <v>使用数</v>
          </cell>
          <cell r="C184" t="str">
            <v>灯具-2　L＝1996</v>
          </cell>
          <cell r="G184" t="str">
            <v/>
          </cell>
          <cell r="J184" t="str">
            <v/>
          </cell>
          <cell r="T184" t="str">
            <v>000000000004196</v>
          </cell>
        </row>
        <row r="185">
          <cell r="B185">
            <v>24</v>
          </cell>
          <cell r="C185">
            <v>12</v>
          </cell>
          <cell r="G185" t="str">
            <v/>
          </cell>
          <cell r="J185" t="str">
            <v/>
          </cell>
          <cell r="T185" t="str">
            <v>000000000004196</v>
          </cell>
        </row>
        <row r="186">
          <cell r="G186" t="str">
            <v/>
          </cell>
          <cell r="J186" t="str">
            <v/>
          </cell>
          <cell r="O186" t="str">
            <v>高森</v>
          </cell>
          <cell r="P186">
            <v>20</v>
          </cell>
          <cell r="T186" t="str">
            <v>000000000004196</v>
          </cell>
        </row>
        <row r="187">
          <cell r="B187" t="str">
            <v>00762362</v>
          </cell>
          <cell r="C187" t="str">
            <v>灯具カバーPC IN 2100　L=1923</v>
          </cell>
          <cell r="D187">
            <v>45769</v>
          </cell>
          <cell r="E187" t="str">
            <v>25D11-01</v>
          </cell>
          <cell r="I187" t="str">
            <v>25D11-01</v>
          </cell>
          <cell r="J187">
            <v>12</v>
          </cell>
          <cell r="K187">
            <v>12</v>
          </cell>
          <cell r="L187">
            <v>45827</v>
          </cell>
          <cell r="M187">
            <v>6</v>
          </cell>
          <cell r="O187">
            <v>45827</v>
          </cell>
          <cell r="P187">
            <v>4</v>
          </cell>
          <cell r="T187" t="str">
            <v>000000000004203</v>
          </cell>
        </row>
        <row r="188">
          <cell r="D188">
            <v>45828</v>
          </cell>
          <cell r="E188" t="str">
            <v>25F10-01</v>
          </cell>
          <cell r="G188" t="str">
            <v/>
          </cell>
          <cell r="I188" t="str">
            <v>25F10-01</v>
          </cell>
          <cell r="J188">
            <v>99</v>
          </cell>
          <cell r="K188">
            <v>99</v>
          </cell>
          <cell r="O188">
            <v>96</v>
          </cell>
          <cell r="P188">
            <v>11</v>
          </cell>
          <cell r="T188" t="str">
            <v>000000000004203</v>
          </cell>
        </row>
        <row r="189">
          <cell r="B189" t="str">
            <v>+公差</v>
          </cell>
          <cell r="C189">
            <v>96</v>
          </cell>
          <cell r="G189" t="str">
            <v/>
          </cell>
          <cell r="J189" t="str">
            <v/>
          </cell>
          <cell r="O189">
            <v>111</v>
          </cell>
          <cell r="T189" t="str">
            <v>000000000004203</v>
          </cell>
        </row>
        <row r="190">
          <cell r="G190" t="str">
            <v/>
          </cell>
          <cell r="J190" t="str">
            <v/>
          </cell>
          <cell r="O190">
            <v>15</v>
          </cell>
          <cell r="T190" t="str">
            <v>000000000004203</v>
          </cell>
        </row>
        <row r="191">
          <cell r="B191" t="str">
            <v>+2</v>
          </cell>
          <cell r="C191">
            <v>1</v>
          </cell>
          <cell r="G191" t="str">
            <v/>
          </cell>
          <cell r="J191" t="str">
            <v/>
          </cell>
          <cell r="O191">
            <v>15</v>
          </cell>
          <cell r="T191" t="str">
            <v>000000000004203</v>
          </cell>
        </row>
        <row r="192">
          <cell r="B192" t="str">
            <v>使用数</v>
          </cell>
          <cell r="C192" t="str">
            <v>灯具-2　L＝1996</v>
          </cell>
          <cell r="G192" t="str">
            <v/>
          </cell>
          <cell r="J192" t="str">
            <v/>
          </cell>
          <cell r="T192" t="str">
            <v>000000000004203</v>
          </cell>
        </row>
        <row r="193">
          <cell r="B193">
            <v>6</v>
          </cell>
          <cell r="C193">
            <v>6</v>
          </cell>
          <cell r="G193" t="str">
            <v/>
          </cell>
          <cell r="J193" t="str">
            <v/>
          </cell>
          <cell r="T193" t="str">
            <v>000000000004203</v>
          </cell>
        </row>
        <row r="194">
          <cell r="G194" t="str">
            <v/>
          </cell>
          <cell r="J194" t="str">
            <v/>
          </cell>
          <cell r="O194" t="str">
            <v>水野・高森</v>
          </cell>
          <cell r="P194">
            <v>15</v>
          </cell>
          <cell r="T194" t="str">
            <v>000000000004203</v>
          </cell>
        </row>
        <row r="195">
          <cell r="B195" t="str">
            <v>00762357</v>
          </cell>
          <cell r="C195" t="str">
            <v>灯具カバーPC IN 2480　L=954</v>
          </cell>
          <cell r="I195" t="str">
            <v>25F10-01</v>
          </cell>
          <cell r="J195">
            <v>94</v>
          </cell>
          <cell r="K195">
            <v>94</v>
          </cell>
          <cell r="L195">
            <v>45828</v>
          </cell>
          <cell r="M195">
            <v>5</v>
          </cell>
          <cell r="O195">
            <v>45828</v>
          </cell>
          <cell r="P195">
            <v>2</v>
          </cell>
          <cell r="T195" t="str">
            <v>000000000004198</v>
          </cell>
        </row>
        <row r="196">
          <cell r="D196">
            <v>45828</v>
          </cell>
          <cell r="E196" t="str">
            <v>25F10-01</v>
          </cell>
          <cell r="G196" t="str">
            <v/>
          </cell>
          <cell r="J196" t="str">
            <v/>
          </cell>
          <cell r="O196">
            <v>80</v>
          </cell>
          <cell r="P196">
            <v>12</v>
          </cell>
          <cell r="T196" t="str">
            <v>000000000004198</v>
          </cell>
        </row>
        <row r="197">
          <cell r="B197" t="str">
            <v>+公差</v>
          </cell>
          <cell r="C197">
            <v>80</v>
          </cell>
          <cell r="G197" t="str">
            <v/>
          </cell>
          <cell r="J197" t="str">
            <v/>
          </cell>
          <cell r="O197">
            <v>94</v>
          </cell>
          <cell r="T197" t="str">
            <v>000000000004198</v>
          </cell>
        </row>
        <row r="198">
          <cell r="G198" t="str">
            <v/>
          </cell>
          <cell r="J198" t="str">
            <v/>
          </cell>
          <cell r="O198">
            <v>14</v>
          </cell>
          <cell r="T198" t="str">
            <v>000000000004198</v>
          </cell>
        </row>
        <row r="199">
          <cell r="B199" t="str">
            <v>+2</v>
          </cell>
          <cell r="C199">
            <v>1</v>
          </cell>
          <cell r="G199" t="str">
            <v/>
          </cell>
          <cell r="J199" t="str">
            <v/>
          </cell>
          <cell r="O199">
            <v>14</v>
          </cell>
          <cell r="T199" t="str">
            <v>000000000004198</v>
          </cell>
        </row>
        <row r="200">
          <cell r="B200" t="str">
            <v>使用数</v>
          </cell>
          <cell r="C200" t="str">
            <v>灯具-1　L=1370</v>
          </cell>
          <cell r="G200" t="str">
            <v/>
          </cell>
          <cell r="J200" t="str">
            <v/>
          </cell>
          <cell r="T200" t="str">
            <v>000000000004198</v>
          </cell>
        </row>
        <row r="201">
          <cell r="B201">
            <v>5</v>
          </cell>
          <cell r="C201">
            <v>5</v>
          </cell>
          <cell r="G201" t="str">
            <v/>
          </cell>
          <cell r="J201" t="str">
            <v/>
          </cell>
          <cell r="T201" t="str">
            <v>000000000004198</v>
          </cell>
        </row>
        <row r="202">
          <cell r="G202" t="str">
            <v/>
          </cell>
          <cell r="J202" t="str">
            <v/>
          </cell>
          <cell r="O202" t="str">
            <v>高森</v>
          </cell>
          <cell r="P202">
            <v>14</v>
          </cell>
          <cell r="T202" t="str">
            <v>000000000004198</v>
          </cell>
        </row>
        <row r="203">
          <cell r="B203" t="str">
            <v>00762885</v>
          </cell>
          <cell r="C203" t="str">
            <v>L型ｱﾝｸﾞﾙ　P-VH-A　L=1018</v>
          </cell>
          <cell r="I203" t="str">
            <v>25F12B</v>
          </cell>
          <cell r="J203">
            <v>200</v>
          </cell>
          <cell r="K203">
            <v>200</v>
          </cell>
          <cell r="L203">
            <v>45828</v>
          </cell>
          <cell r="M203">
            <v>9</v>
          </cell>
          <cell r="O203">
            <v>45828</v>
          </cell>
          <cell r="T203" t="str">
            <v>000000000004272</v>
          </cell>
        </row>
        <row r="204">
          <cell r="D204">
            <v>45828</v>
          </cell>
          <cell r="E204" t="str">
            <v>25F12B</v>
          </cell>
          <cell r="G204">
            <v>1018</v>
          </cell>
          <cell r="H204">
            <v>1017.62</v>
          </cell>
          <cell r="I204" t="str">
            <v>25F11B</v>
          </cell>
          <cell r="J204">
            <v>100</v>
          </cell>
          <cell r="K204">
            <v>100</v>
          </cell>
          <cell r="O204">
            <v>900</v>
          </cell>
          <cell r="T204" t="str">
            <v>000000000004272</v>
          </cell>
        </row>
        <row r="205">
          <cell r="B205" t="str">
            <v>+公差</v>
          </cell>
          <cell r="C205">
            <v>900</v>
          </cell>
          <cell r="D205">
            <v>45828</v>
          </cell>
          <cell r="E205" t="str">
            <v>25F11B</v>
          </cell>
          <cell r="G205">
            <v>1018</v>
          </cell>
          <cell r="I205" t="str">
            <v>25F09B</v>
          </cell>
          <cell r="J205">
            <v>300</v>
          </cell>
          <cell r="K205">
            <v>300</v>
          </cell>
          <cell r="O205">
            <v>900</v>
          </cell>
          <cell r="T205" t="str">
            <v>000000000004272</v>
          </cell>
        </row>
        <row r="206">
          <cell r="D206">
            <v>45828</v>
          </cell>
          <cell r="E206" t="str">
            <v>25F09B</v>
          </cell>
          <cell r="G206">
            <v>1018</v>
          </cell>
          <cell r="H206">
            <v>1017.83</v>
          </cell>
          <cell r="I206" t="str">
            <v>25F06B</v>
          </cell>
          <cell r="J206">
            <v>150</v>
          </cell>
          <cell r="K206">
            <v>150</v>
          </cell>
          <cell r="O206">
            <v>0</v>
          </cell>
          <cell r="T206" t="str">
            <v>000000000004272</v>
          </cell>
        </row>
        <row r="207">
          <cell r="B207">
            <v>0</v>
          </cell>
          <cell r="C207">
            <v>1</v>
          </cell>
          <cell r="D207">
            <v>45828</v>
          </cell>
          <cell r="E207" t="str">
            <v>25F06B</v>
          </cell>
          <cell r="G207">
            <v>1018</v>
          </cell>
          <cell r="I207" t="str">
            <v>25C05B</v>
          </cell>
          <cell r="J207">
            <v>150</v>
          </cell>
          <cell r="K207">
            <v>150</v>
          </cell>
          <cell r="O207">
            <v>0</v>
          </cell>
          <cell r="T207" t="str">
            <v>000000000004272</v>
          </cell>
        </row>
        <row r="208">
          <cell r="B208" t="str">
            <v>使用数</v>
          </cell>
          <cell r="C208" t="str">
            <v>T-60</v>
          </cell>
          <cell r="D208">
            <v>45828</v>
          </cell>
          <cell r="E208" t="str">
            <v>25C05B</v>
          </cell>
          <cell r="G208">
            <v>1018</v>
          </cell>
          <cell r="H208">
            <v>1017.75</v>
          </cell>
          <cell r="J208" t="str">
            <v/>
          </cell>
          <cell r="T208" t="str">
            <v>000000000004272</v>
          </cell>
        </row>
        <row r="209">
          <cell r="B209">
            <v>9</v>
          </cell>
          <cell r="C209">
            <v>9</v>
          </cell>
          <cell r="G209">
            <v>1018</v>
          </cell>
          <cell r="J209" t="str">
            <v/>
          </cell>
          <cell r="O209" t="str">
            <v>富田・水野</v>
          </cell>
          <cell r="T209" t="str">
            <v>000000000004272</v>
          </cell>
        </row>
        <row r="210">
          <cell r="G210">
            <v>1018</v>
          </cell>
          <cell r="J210" t="str">
            <v/>
          </cell>
          <cell r="P210">
            <v>0</v>
          </cell>
          <cell r="T210" t="str">
            <v>000000000004272</v>
          </cell>
        </row>
        <row r="211">
          <cell r="B211" t="str">
            <v>00762884</v>
          </cell>
          <cell r="C211" t="str">
            <v>L型ｱﾝｸﾞﾙ　WT-56B　L=760</v>
          </cell>
          <cell r="I211" t="str">
            <v>25C05B</v>
          </cell>
          <cell r="J211" t="str">
            <v/>
          </cell>
          <cell r="K211">
            <v>0</v>
          </cell>
          <cell r="L211">
            <v>45828</v>
          </cell>
          <cell r="M211">
            <v>3</v>
          </cell>
          <cell r="O211">
            <v>45831</v>
          </cell>
          <cell r="T211" t="str">
            <v>000000000004271</v>
          </cell>
        </row>
        <row r="212">
          <cell r="D212">
            <v>45828</v>
          </cell>
          <cell r="E212" t="str">
            <v>25C05B</v>
          </cell>
          <cell r="G212">
            <v>760</v>
          </cell>
          <cell r="H212">
            <v>759.45</v>
          </cell>
          <cell r="I212" t="str">
            <v>25F11B</v>
          </cell>
          <cell r="J212" t="str">
            <v/>
          </cell>
          <cell r="K212">
            <v>0</v>
          </cell>
          <cell r="L212">
            <v>45831</v>
          </cell>
          <cell r="M212">
            <v>1</v>
          </cell>
          <cell r="O212">
            <v>400</v>
          </cell>
          <cell r="T212" t="str">
            <v>000000000004271</v>
          </cell>
        </row>
        <row r="213">
          <cell r="B213" t="str">
            <v>+公差</v>
          </cell>
          <cell r="C213">
            <v>400</v>
          </cell>
          <cell r="D213">
            <v>45828</v>
          </cell>
          <cell r="E213" t="str">
            <v>25F11B</v>
          </cell>
          <cell r="G213">
            <v>760</v>
          </cell>
          <cell r="H213">
            <v>759.6</v>
          </cell>
          <cell r="I213" t="str">
            <v>25F09B</v>
          </cell>
          <cell r="J213" t="str">
            <v/>
          </cell>
          <cell r="K213">
            <v>0</v>
          </cell>
          <cell r="O213">
            <v>0</v>
          </cell>
          <cell r="T213" t="str">
            <v>000000000004271</v>
          </cell>
        </row>
        <row r="214">
          <cell r="D214">
            <v>45831</v>
          </cell>
          <cell r="E214" t="str">
            <v>25F09B</v>
          </cell>
          <cell r="G214">
            <v>760</v>
          </cell>
          <cell r="H214">
            <v>759.75</v>
          </cell>
          <cell r="I214" t="str">
            <v>25F06B</v>
          </cell>
          <cell r="J214" t="str">
            <v/>
          </cell>
          <cell r="K214">
            <v>0</v>
          </cell>
          <cell r="O214">
            <v>0</v>
          </cell>
          <cell r="T214" t="str">
            <v>000000000004271</v>
          </cell>
        </row>
        <row r="215">
          <cell r="B215">
            <v>0</v>
          </cell>
          <cell r="C215">
            <v>2</v>
          </cell>
          <cell r="D215">
            <v>45831</v>
          </cell>
          <cell r="E215" t="str">
            <v>25F06B</v>
          </cell>
          <cell r="G215">
            <v>760</v>
          </cell>
          <cell r="H215">
            <v>759.59</v>
          </cell>
          <cell r="J215" t="str">
            <v/>
          </cell>
          <cell r="O215">
            <v>0</v>
          </cell>
          <cell r="T215" t="str">
            <v>000000000004271</v>
          </cell>
        </row>
        <row r="216">
          <cell r="B216" t="str">
            <v>使用数</v>
          </cell>
          <cell r="C216" t="str">
            <v>S-40</v>
          </cell>
          <cell r="J216" t="str">
            <v/>
          </cell>
          <cell r="O216">
            <v>400</v>
          </cell>
          <cell r="T216" t="str">
            <v>000000000004271</v>
          </cell>
        </row>
        <row r="217">
          <cell r="B217">
            <v>4</v>
          </cell>
          <cell r="C217">
            <v>4</v>
          </cell>
          <cell r="J217" t="str">
            <v/>
          </cell>
          <cell r="O217" t="str">
            <v>水野</v>
          </cell>
          <cell r="T217" t="str">
            <v>000000000004271</v>
          </cell>
        </row>
        <row r="218">
          <cell r="J218" t="str">
            <v/>
          </cell>
          <cell r="P218">
            <v>0</v>
          </cell>
          <cell r="T218" t="str">
            <v>000000000004271</v>
          </cell>
        </row>
        <row r="219">
          <cell r="B219" t="str">
            <v>00762883</v>
          </cell>
          <cell r="C219" t="str">
            <v>L型ｱﾝｸﾞﾙ　P-VH-56D　L=690</v>
          </cell>
          <cell r="I219" t="str">
            <v>25F09B</v>
          </cell>
          <cell r="J219" t="str">
            <v/>
          </cell>
          <cell r="K219">
            <v>0</v>
          </cell>
          <cell r="L219">
            <v>45831</v>
          </cell>
          <cell r="M219">
            <v>4</v>
          </cell>
          <cell r="O219">
            <v>45831</v>
          </cell>
          <cell r="T219" t="str">
            <v>000000000004270</v>
          </cell>
        </row>
        <row r="220">
          <cell r="D220">
            <v>45831</v>
          </cell>
          <cell r="E220" t="str">
            <v>25F09B</v>
          </cell>
          <cell r="G220">
            <v>690</v>
          </cell>
          <cell r="H220">
            <v>689.29</v>
          </cell>
          <cell r="I220" t="str">
            <v>25F12B</v>
          </cell>
          <cell r="J220" t="str">
            <v/>
          </cell>
          <cell r="K220">
            <v>0</v>
          </cell>
          <cell r="O220">
            <v>400</v>
          </cell>
          <cell r="T220" t="str">
            <v>000000000004270</v>
          </cell>
        </row>
        <row r="221">
          <cell r="B221" t="str">
            <v>+公差</v>
          </cell>
          <cell r="C221">
            <v>400</v>
          </cell>
          <cell r="D221">
            <v>45831</v>
          </cell>
          <cell r="E221" t="str">
            <v>25F12B</v>
          </cell>
          <cell r="G221">
            <v>690</v>
          </cell>
          <cell r="H221">
            <v>689.51</v>
          </cell>
          <cell r="J221" t="str">
            <v/>
          </cell>
          <cell r="O221">
            <v>0</v>
          </cell>
          <cell r="T221" t="str">
            <v>000000000004270</v>
          </cell>
        </row>
        <row r="222">
          <cell r="J222" t="str">
            <v/>
          </cell>
          <cell r="O222">
            <v>0</v>
          </cell>
          <cell r="T222" t="str">
            <v>000000000004270</v>
          </cell>
        </row>
        <row r="223">
          <cell r="B223">
            <v>0</v>
          </cell>
          <cell r="C223">
            <v>2</v>
          </cell>
          <cell r="J223" t="str">
            <v/>
          </cell>
          <cell r="O223">
            <v>0</v>
          </cell>
          <cell r="T223" t="str">
            <v>000000000004270</v>
          </cell>
        </row>
        <row r="224">
          <cell r="B224" t="str">
            <v>使用数</v>
          </cell>
          <cell r="C224" t="str">
            <v>S-40</v>
          </cell>
          <cell r="J224" t="str">
            <v/>
          </cell>
          <cell r="O224">
            <v>400</v>
          </cell>
          <cell r="T224" t="str">
            <v>000000000004270</v>
          </cell>
        </row>
        <row r="225">
          <cell r="B225">
            <v>4</v>
          </cell>
          <cell r="C225">
            <v>4</v>
          </cell>
          <cell r="J225" t="str">
            <v/>
          </cell>
          <cell r="O225" t="str">
            <v>水野</v>
          </cell>
          <cell r="T225" t="str">
            <v>000000000004270</v>
          </cell>
        </row>
        <row r="226">
          <cell r="J226" t="str">
            <v/>
          </cell>
          <cell r="P226">
            <v>0</v>
          </cell>
          <cell r="T226" t="str">
            <v>000000000004270</v>
          </cell>
        </row>
        <row r="227">
          <cell r="B227" t="str">
            <v>00762882</v>
          </cell>
          <cell r="C227" t="str">
            <v>L型ｱﾝｸﾞﾙ　WT-42B　L=590</v>
          </cell>
          <cell r="I227" t="str">
            <v>25F12B</v>
          </cell>
          <cell r="J227" t="str">
            <v/>
          </cell>
          <cell r="K227">
            <v>0</v>
          </cell>
          <cell r="L227">
            <v>45831</v>
          </cell>
          <cell r="M227">
            <v>4</v>
          </cell>
          <cell r="O227">
            <v>45831</v>
          </cell>
          <cell r="T227" t="str">
            <v>000000000004269</v>
          </cell>
        </row>
        <row r="228">
          <cell r="D228">
            <v>45831</v>
          </cell>
          <cell r="E228" t="str">
            <v>25F12B</v>
          </cell>
          <cell r="G228">
            <v>590</v>
          </cell>
          <cell r="H228">
            <v>589.57000000000005</v>
          </cell>
          <cell r="I228" t="str">
            <v>25C05B</v>
          </cell>
          <cell r="J228">
            <v>200</v>
          </cell>
          <cell r="K228">
            <v>100</v>
          </cell>
          <cell r="O228">
            <v>400</v>
          </cell>
          <cell r="T228" t="str">
            <v>000000000004269</v>
          </cell>
        </row>
        <row r="229">
          <cell r="B229" t="str">
            <v>+公差</v>
          </cell>
          <cell r="C229">
            <v>400</v>
          </cell>
          <cell r="D229">
            <v>45831</v>
          </cell>
          <cell r="E229" t="str">
            <v>25C05B</v>
          </cell>
          <cell r="G229">
            <v>590</v>
          </cell>
          <cell r="H229">
            <v>589.55999999999995</v>
          </cell>
          <cell r="J229" t="str">
            <v/>
          </cell>
          <cell r="O229">
            <v>100</v>
          </cell>
          <cell r="T229" t="str">
            <v>000000000004269</v>
          </cell>
        </row>
        <row r="230">
          <cell r="J230" t="str">
            <v/>
          </cell>
          <cell r="O230">
            <v>0</v>
          </cell>
          <cell r="T230" t="str">
            <v>000000000004269</v>
          </cell>
        </row>
        <row r="231">
          <cell r="B231">
            <v>0</v>
          </cell>
          <cell r="C231">
            <v>2</v>
          </cell>
          <cell r="J231" t="str">
            <v/>
          </cell>
          <cell r="O231">
            <v>0</v>
          </cell>
          <cell r="T231" t="str">
            <v>000000000004269</v>
          </cell>
        </row>
        <row r="232">
          <cell r="B232" t="str">
            <v>使用数</v>
          </cell>
          <cell r="C232" t="str">
            <v>S-30</v>
          </cell>
          <cell r="J232" t="str">
            <v/>
          </cell>
          <cell r="O232">
            <v>100</v>
          </cell>
          <cell r="T232" t="str">
            <v>000000000004269</v>
          </cell>
        </row>
        <row r="233">
          <cell r="B233">
            <v>4</v>
          </cell>
          <cell r="C233">
            <v>4</v>
          </cell>
          <cell r="J233" t="str">
            <v/>
          </cell>
          <cell r="O233" t="str">
            <v>水野・富田</v>
          </cell>
          <cell r="T233" t="str">
            <v>000000000004269</v>
          </cell>
        </row>
        <row r="234">
          <cell r="J234" t="str">
            <v/>
          </cell>
          <cell r="P234">
            <v>0</v>
          </cell>
          <cell r="T234" t="str">
            <v>000000000004269</v>
          </cell>
        </row>
        <row r="235">
          <cell r="B235" t="str">
            <v>00762881</v>
          </cell>
          <cell r="C235" t="str">
            <v>L型ｱﾝｸﾞﾙ　P-VH-C　L=530</v>
          </cell>
          <cell r="I235" t="str">
            <v>25F11B</v>
          </cell>
          <cell r="J235">
            <v>48</v>
          </cell>
          <cell r="K235">
            <v>16</v>
          </cell>
          <cell r="L235">
            <v>45828</v>
          </cell>
          <cell r="M235">
            <v>8</v>
          </cell>
          <cell r="O235">
            <v>45828</v>
          </cell>
          <cell r="T235" t="str">
            <v>000000000004268</v>
          </cell>
        </row>
        <row r="236">
          <cell r="D236">
            <v>45828</v>
          </cell>
          <cell r="E236" t="str">
            <v>25F11B</v>
          </cell>
          <cell r="G236">
            <v>530</v>
          </cell>
          <cell r="H236">
            <v>529.71</v>
          </cell>
          <cell r="I236" t="str">
            <v>25F10B</v>
          </cell>
          <cell r="J236">
            <v>726</v>
          </cell>
          <cell r="K236">
            <v>242</v>
          </cell>
          <cell r="O236">
            <v>800</v>
          </cell>
          <cell r="T236" t="str">
            <v>000000000004268</v>
          </cell>
        </row>
        <row r="237">
          <cell r="B237" t="str">
            <v>+公差</v>
          </cell>
          <cell r="C237">
            <v>800</v>
          </cell>
          <cell r="D237">
            <v>45828</v>
          </cell>
          <cell r="E237" t="str">
            <v>25F10B</v>
          </cell>
          <cell r="G237">
            <v>530</v>
          </cell>
          <cell r="I237" t="str">
            <v>25C05B</v>
          </cell>
          <cell r="J237">
            <v>24</v>
          </cell>
          <cell r="K237">
            <v>8</v>
          </cell>
          <cell r="O237">
            <v>266</v>
          </cell>
          <cell r="T237" t="str">
            <v>000000000004268</v>
          </cell>
        </row>
        <row r="238">
          <cell r="D238">
            <v>45828</v>
          </cell>
          <cell r="E238" t="str">
            <v>25C05B</v>
          </cell>
          <cell r="G238">
            <v>530</v>
          </cell>
          <cell r="H238">
            <v>529.66999999999996</v>
          </cell>
          <cell r="J238" t="str">
            <v/>
          </cell>
          <cell r="O238">
            <v>0</v>
          </cell>
          <cell r="T238" t="str">
            <v>000000000004268</v>
          </cell>
        </row>
        <row r="239">
          <cell r="B239">
            <v>0</v>
          </cell>
          <cell r="C239">
            <v>3</v>
          </cell>
          <cell r="J239" t="str">
            <v/>
          </cell>
          <cell r="O239">
            <v>0</v>
          </cell>
          <cell r="T239" t="str">
            <v>000000000004268</v>
          </cell>
        </row>
        <row r="240">
          <cell r="B240" t="str">
            <v>使用数</v>
          </cell>
          <cell r="C240" t="str">
            <v>S-30</v>
          </cell>
          <cell r="J240" t="str">
            <v/>
          </cell>
          <cell r="T240" t="str">
            <v>000000000004268</v>
          </cell>
        </row>
        <row r="241">
          <cell r="B241">
            <v>8</v>
          </cell>
          <cell r="C241">
            <v>8</v>
          </cell>
          <cell r="J241" t="str">
            <v/>
          </cell>
          <cell r="O241" t="str">
            <v>富田・水野</v>
          </cell>
          <cell r="T241" t="str">
            <v>000000000004268</v>
          </cell>
        </row>
        <row r="242">
          <cell r="J242" t="str">
            <v/>
          </cell>
          <cell r="P242">
            <v>0</v>
          </cell>
          <cell r="T242" t="str">
            <v>000000000004268</v>
          </cell>
        </row>
        <row r="243">
          <cell r="B243" t="str">
            <v>00762880</v>
          </cell>
          <cell r="C243" t="str">
            <v>L型ｱﾝｸﾞﾙ　P-VH-42D　L=520</v>
          </cell>
          <cell r="I243" t="str">
            <v>25F11B</v>
          </cell>
          <cell r="J243">
            <v>402</v>
          </cell>
          <cell r="K243">
            <v>134</v>
          </cell>
          <cell r="L243">
            <v>45828</v>
          </cell>
          <cell r="M243">
            <v>4</v>
          </cell>
          <cell r="O243">
            <v>45828</v>
          </cell>
          <cell r="T243" t="str">
            <v>000000000004267</v>
          </cell>
        </row>
        <row r="244">
          <cell r="D244">
            <v>45828</v>
          </cell>
          <cell r="E244" t="str">
            <v>25F11B</v>
          </cell>
          <cell r="G244">
            <v>520</v>
          </cell>
          <cell r="H244">
            <v>519.51</v>
          </cell>
          <cell r="J244" t="str">
            <v/>
          </cell>
          <cell r="O244">
            <v>400</v>
          </cell>
          <cell r="T244" t="str">
            <v>000000000004267</v>
          </cell>
        </row>
        <row r="245">
          <cell r="B245" t="str">
            <v>+公差</v>
          </cell>
          <cell r="C245">
            <v>400</v>
          </cell>
          <cell r="D245">
            <v>45828</v>
          </cell>
          <cell r="E245" t="str">
            <v>25F11B</v>
          </cell>
          <cell r="G245">
            <v>520</v>
          </cell>
          <cell r="H245">
            <v>519.61</v>
          </cell>
          <cell r="J245" t="str">
            <v/>
          </cell>
          <cell r="O245">
            <v>134</v>
          </cell>
          <cell r="T245" t="str">
            <v>000000000004267</v>
          </cell>
        </row>
        <row r="246">
          <cell r="J246" t="str">
            <v/>
          </cell>
          <cell r="O246">
            <v>0</v>
          </cell>
          <cell r="T246" t="str">
            <v>000000000004267</v>
          </cell>
        </row>
        <row r="247">
          <cell r="B247">
            <v>0</v>
          </cell>
          <cell r="C247">
            <v>3</v>
          </cell>
          <cell r="J247" t="str">
            <v/>
          </cell>
          <cell r="O247">
            <v>0</v>
          </cell>
          <cell r="T247" t="str">
            <v>000000000004267</v>
          </cell>
        </row>
        <row r="248">
          <cell r="B248" t="str">
            <v>使用数</v>
          </cell>
          <cell r="C248" t="str">
            <v>S-30</v>
          </cell>
          <cell r="J248" t="str">
            <v/>
          </cell>
          <cell r="T248" t="str">
            <v>000000000004267</v>
          </cell>
        </row>
        <row r="249">
          <cell r="B249">
            <v>4</v>
          </cell>
          <cell r="C249">
            <v>4</v>
          </cell>
          <cell r="J249" t="str">
            <v/>
          </cell>
          <cell r="O249" t="str">
            <v>富田・水野</v>
          </cell>
          <cell r="T249" t="str">
            <v>000000000004267</v>
          </cell>
        </row>
        <row r="250">
          <cell r="J250" t="str">
            <v/>
          </cell>
          <cell r="P250">
            <v>0</v>
          </cell>
          <cell r="T250" t="str">
            <v>000000000004267</v>
          </cell>
        </row>
        <row r="251">
          <cell r="B251" t="str">
            <v>00762359</v>
          </cell>
          <cell r="C251" t="str">
            <v>灯具カバーPC IN 2490　L=1264</v>
          </cell>
          <cell r="I251" t="str">
            <v/>
          </cell>
          <cell r="J251" t="str">
            <v/>
          </cell>
          <cell r="O251">
            <v>0</v>
          </cell>
          <cell r="T251" t="str">
            <v>000000000004200</v>
          </cell>
        </row>
        <row r="252">
          <cell r="G252" t="str">
            <v/>
          </cell>
          <cell r="J252" t="str">
            <v/>
          </cell>
          <cell r="O252">
            <v>80</v>
          </cell>
          <cell r="T252" t="str">
            <v>000000000004200</v>
          </cell>
        </row>
        <row r="253">
          <cell r="B253" t="str">
            <v>+公差</v>
          </cell>
          <cell r="C253">
            <v>80</v>
          </cell>
          <cell r="G253" t="str">
            <v/>
          </cell>
          <cell r="J253" t="str">
            <v/>
          </cell>
          <cell r="O253">
            <v>80</v>
          </cell>
          <cell r="T253" t="str">
            <v>000000000004200</v>
          </cell>
        </row>
        <row r="254">
          <cell r="G254" t="str">
            <v/>
          </cell>
          <cell r="J254" t="str">
            <v/>
          </cell>
          <cell r="O254">
            <v>0</v>
          </cell>
          <cell r="T254" t="str">
            <v>000000000004200</v>
          </cell>
        </row>
        <row r="255">
          <cell r="B255" t="str">
            <v>+2</v>
          </cell>
          <cell r="C255">
            <v>1</v>
          </cell>
          <cell r="G255" t="str">
            <v/>
          </cell>
          <cell r="J255" t="str">
            <v/>
          </cell>
          <cell r="O255">
            <v>0</v>
          </cell>
          <cell r="T255" t="str">
            <v>000000000004200</v>
          </cell>
        </row>
        <row r="256">
          <cell r="B256" t="str">
            <v>使用数</v>
          </cell>
          <cell r="C256" t="str">
            <v>灯具-1　L=1370</v>
          </cell>
          <cell r="G256" t="str">
            <v/>
          </cell>
          <cell r="J256" t="str">
            <v/>
          </cell>
          <cell r="T256" t="str">
            <v>000000000004200</v>
          </cell>
        </row>
        <row r="257">
          <cell r="B257">
            <v>0</v>
          </cell>
          <cell r="C257">
            <v>0</v>
          </cell>
          <cell r="G257" t="str">
            <v/>
          </cell>
          <cell r="J257" t="str">
            <v/>
          </cell>
          <cell r="T257" t="str">
            <v>000000000004200</v>
          </cell>
        </row>
        <row r="258">
          <cell r="G258" t="str">
            <v/>
          </cell>
          <cell r="J258" t="str">
            <v/>
          </cell>
          <cell r="P258">
            <v>0</v>
          </cell>
          <cell r="T258" t="str">
            <v>000000000004200</v>
          </cell>
        </row>
        <row r="259">
          <cell r="B259" t="str">
            <v>00764416</v>
          </cell>
          <cell r="C259" t="str">
            <v>ハーネスガイド部材　L=275</v>
          </cell>
          <cell r="I259" t="str">
            <v/>
          </cell>
          <cell r="J259" t="str">
            <v/>
          </cell>
          <cell r="O259">
            <v>0</v>
          </cell>
          <cell r="T259" t="str">
            <v>000000000004428</v>
          </cell>
        </row>
        <row r="260">
          <cell r="G260">
            <v>276</v>
          </cell>
          <cell r="J260" t="str">
            <v/>
          </cell>
          <cell r="O260">
            <v>1600</v>
          </cell>
          <cell r="T260" t="str">
            <v>000000000004428</v>
          </cell>
        </row>
        <row r="261">
          <cell r="B261" t="str">
            <v>+公差</v>
          </cell>
          <cell r="C261">
            <v>1600</v>
          </cell>
          <cell r="G261">
            <v>276</v>
          </cell>
          <cell r="J261" t="str">
            <v/>
          </cell>
          <cell r="O261">
            <v>320</v>
          </cell>
          <cell r="T261" t="str">
            <v>000000000004428</v>
          </cell>
        </row>
        <row r="262">
          <cell r="G262">
            <v>276</v>
          </cell>
          <cell r="J262" t="str">
            <v/>
          </cell>
          <cell r="O262">
            <v>0</v>
          </cell>
          <cell r="T262" t="str">
            <v>000000000004428</v>
          </cell>
        </row>
        <row r="263">
          <cell r="B263" t="str">
            <v>+1.5</v>
          </cell>
          <cell r="C263">
            <v>5</v>
          </cell>
          <cell r="G263">
            <v>276</v>
          </cell>
          <cell r="J263" t="str">
            <v/>
          </cell>
          <cell r="O263">
            <v>0</v>
          </cell>
          <cell r="T263" t="str">
            <v>000000000004428</v>
          </cell>
        </row>
        <row r="264">
          <cell r="B264" t="str">
            <v>使用数</v>
          </cell>
          <cell r="G264">
            <v>276</v>
          </cell>
          <cell r="J264" t="str">
            <v/>
          </cell>
          <cell r="T264" t="str">
            <v>000000000004428</v>
          </cell>
        </row>
        <row r="265">
          <cell r="B265">
            <v>0</v>
          </cell>
          <cell r="C265">
            <v>0</v>
          </cell>
          <cell r="G265">
            <v>276</v>
          </cell>
          <cell r="J265" t="str">
            <v/>
          </cell>
          <cell r="T265" t="str">
            <v>000000000004428</v>
          </cell>
        </row>
        <row r="266">
          <cell r="G266">
            <v>276</v>
          </cell>
          <cell r="J266" t="str">
            <v/>
          </cell>
          <cell r="P266">
            <v>0</v>
          </cell>
          <cell r="T266" t="str">
            <v>000000000004428</v>
          </cell>
        </row>
        <row r="267">
          <cell r="B267" t="str">
            <v>00762366</v>
          </cell>
          <cell r="C267" t="str">
            <v>PK-59827 L=500</v>
          </cell>
          <cell r="I267" t="str">
            <v/>
          </cell>
          <cell r="J267" t="str">
            <v/>
          </cell>
          <cell r="O267">
            <v>0</v>
          </cell>
          <cell r="T267" t="str">
            <v>000000000004207</v>
          </cell>
        </row>
        <row r="268">
          <cell r="G268" t="str">
            <v/>
          </cell>
          <cell r="J268" t="str">
            <v/>
          </cell>
          <cell r="O268">
            <v>716</v>
          </cell>
          <cell r="T268" t="str">
            <v>000000000004207</v>
          </cell>
        </row>
        <row r="269">
          <cell r="B269" t="str">
            <v>+公差</v>
          </cell>
          <cell r="C269">
            <v>716</v>
          </cell>
          <cell r="G269" t="str">
            <v/>
          </cell>
          <cell r="J269" t="str">
            <v/>
          </cell>
          <cell r="O269">
            <v>239</v>
          </cell>
          <cell r="T269" t="str">
            <v>000000000004207</v>
          </cell>
        </row>
        <row r="270">
          <cell r="G270" t="str">
            <v/>
          </cell>
          <cell r="J270" t="str">
            <v/>
          </cell>
          <cell r="O270">
            <v>0</v>
          </cell>
          <cell r="T270" t="str">
            <v>000000000004207</v>
          </cell>
        </row>
        <row r="271">
          <cell r="B271" t="str">
            <v>+1</v>
          </cell>
          <cell r="C271">
            <v>3</v>
          </cell>
          <cell r="G271" t="str">
            <v/>
          </cell>
          <cell r="J271" t="str">
            <v/>
          </cell>
          <cell r="O271">
            <v>0</v>
          </cell>
          <cell r="T271" t="str">
            <v>000000000004207</v>
          </cell>
        </row>
        <row r="272">
          <cell r="B272" t="str">
            <v>使用数</v>
          </cell>
          <cell r="C272" t="str">
            <v>PK-59827 L=500用</v>
          </cell>
          <cell r="G272" t="str">
            <v/>
          </cell>
          <cell r="J272" t="str">
            <v/>
          </cell>
          <cell r="T272" t="str">
            <v>000000000004207</v>
          </cell>
        </row>
        <row r="273">
          <cell r="B273">
            <v>0</v>
          </cell>
          <cell r="C273">
            <v>0</v>
          </cell>
          <cell r="G273" t="str">
            <v/>
          </cell>
          <cell r="J273" t="str">
            <v/>
          </cell>
          <cell r="T273" t="str">
            <v>000000000004207</v>
          </cell>
        </row>
        <row r="274">
          <cell r="G274" t="str">
            <v/>
          </cell>
          <cell r="J274" t="str">
            <v/>
          </cell>
          <cell r="P274">
            <v>0</v>
          </cell>
          <cell r="T274" t="str">
            <v>000000000004207</v>
          </cell>
        </row>
        <row r="275">
          <cell r="B275" t="str">
            <v>00762360</v>
          </cell>
          <cell r="C275" t="str">
            <v>灯具カバーPC IN 2460　L=1291</v>
          </cell>
          <cell r="I275" t="str">
            <v/>
          </cell>
          <cell r="J275" t="str">
            <v/>
          </cell>
          <cell r="O275">
            <v>0</v>
          </cell>
          <cell r="T275" t="str">
            <v>000000000004201</v>
          </cell>
        </row>
        <row r="276">
          <cell r="G276" t="str">
            <v/>
          </cell>
          <cell r="J276" t="str">
            <v/>
          </cell>
          <cell r="O276">
            <v>96</v>
          </cell>
          <cell r="T276" t="str">
            <v>000000000004201</v>
          </cell>
        </row>
        <row r="277">
          <cell r="B277" t="str">
            <v>+公差</v>
          </cell>
          <cell r="C277">
            <v>96</v>
          </cell>
          <cell r="G277" t="str">
            <v/>
          </cell>
          <cell r="J277" t="str">
            <v/>
          </cell>
          <cell r="O277">
            <v>96</v>
          </cell>
          <cell r="T277" t="str">
            <v>000000000004201</v>
          </cell>
        </row>
        <row r="278">
          <cell r="G278" t="str">
            <v/>
          </cell>
          <cell r="J278" t="str">
            <v/>
          </cell>
          <cell r="O278">
            <v>0</v>
          </cell>
          <cell r="T278" t="str">
            <v>000000000004201</v>
          </cell>
        </row>
        <row r="279">
          <cell r="B279" t="str">
            <v>+2</v>
          </cell>
          <cell r="C279">
            <v>1</v>
          </cell>
          <cell r="G279" t="str">
            <v/>
          </cell>
          <cell r="J279" t="str">
            <v/>
          </cell>
          <cell r="O279">
            <v>0</v>
          </cell>
          <cell r="T279" t="str">
            <v>000000000004201</v>
          </cell>
        </row>
        <row r="280">
          <cell r="B280" t="str">
            <v>使用数</v>
          </cell>
          <cell r="C280" t="str">
            <v>灯具-1　L=1370</v>
          </cell>
          <cell r="G280" t="str">
            <v/>
          </cell>
          <cell r="J280" t="str">
            <v/>
          </cell>
          <cell r="T280" t="str">
            <v>000000000004201</v>
          </cell>
        </row>
        <row r="281">
          <cell r="B281">
            <v>0</v>
          </cell>
          <cell r="C281">
            <v>0</v>
          </cell>
          <cell r="G281" t="str">
            <v/>
          </cell>
          <cell r="J281" t="str">
            <v/>
          </cell>
          <cell r="T281" t="str">
            <v>000000000004201</v>
          </cell>
        </row>
        <row r="282">
          <cell r="G282" t="str">
            <v/>
          </cell>
          <cell r="J282" t="str">
            <v/>
          </cell>
          <cell r="P282">
            <v>0</v>
          </cell>
          <cell r="T282" t="str">
            <v>000000000004201</v>
          </cell>
        </row>
        <row r="283">
          <cell r="B283" t="str">
            <v>00762363</v>
          </cell>
          <cell r="C283" t="str">
            <v>灯具カバーPC IN 2070　L=1966</v>
          </cell>
          <cell r="I283" t="str">
            <v/>
          </cell>
          <cell r="J283" t="str">
            <v/>
          </cell>
          <cell r="O283">
            <v>0</v>
          </cell>
          <cell r="T283" t="str">
            <v>000000000004204</v>
          </cell>
        </row>
        <row r="284">
          <cell r="G284" t="str">
            <v/>
          </cell>
          <cell r="J284" t="str">
            <v/>
          </cell>
          <cell r="O284">
            <v>96</v>
          </cell>
          <cell r="T284" t="str">
            <v>000000000004204</v>
          </cell>
        </row>
        <row r="285">
          <cell r="B285" t="str">
            <v>+公差</v>
          </cell>
          <cell r="C285">
            <v>96</v>
          </cell>
          <cell r="G285" t="str">
            <v/>
          </cell>
          <cell r="J285" t="str">
            <v/>
          </cell>
          <cell r="O285">
            <v>96</v>
          </cell>
          <cell r="T285" t="str">
            <v>000000000004204</v>
          </cell>
        </row>
        <row r="286">
          <cell r="G286" t="str">
            <v/>
          </cell>
          <cell r="J286" t="str">
            <v/>
          </cell>
          <cell r="O286">
            <v>0</v>
          </cell>
          <cell r="T286" t="str">
            <v>000000000004204</v>
          </cell>
        </row>
        <row r="287">
          <cell r="B287" t="str">
            <v>+2</v>
          </cell>
          <cell r="C287">
            <v>1</v>
          </cell>
          <cell r="G287" t="str">
            <v/>
          </cell>
          <cell r="J287" t="str">
            <v/>
          </cell>
          <cell r="O287">
            <v>0</v>
          </cell>
          <cell r="T287" t="str">
            <v>000000000004204</v>
          </cell>
        </row>
        <row r="288">
          <cell r="B288" t="str">
            <v>使用数</v>
          </cell>
          <cell r="C288" t="str">
            <v>灯具-2　L＝1996</v>
          </cell>
          <cell r="G288" t="str">
            <v/>
          </cell>
          <cell r="J288" t="str">
            <v/>
          </cell>
          <cell r="T288" t="str">
            <v>000000000004204</v>
          </cell>
        </row>
        <row r="289">
          <cell r="B289">
            <v>0</v>
          </cell>
          <cell r="C289">
            <v>0</v>
          </cell>
          <cell r="G289" t="str">
            <v/>
          </cell>
          <cell r="J289" t="str">
            <v/>
          </cell>
          <cell r="T289" t="str">
            <v>000000000004204</v>
          </cell>
        </row>
        <row r="290">
          <cell r="G290" t="str">
            <v/>
          </cell>
          <cell r="J290" t="str">
            <v/>
          </cell>
          <cell r="P290">
            <v>0</v>
          </cell>
          <cell r="T290" t="str">
            <v>000000000004204</v>
          </cell>
        </row>
        <row r="291">
          <cell r="B291" t="str">
            <v>00762361</v>
          </cell>
          <cell r="C291" t="str">
            <v>灯具カバーPC IN 2110　L=1815</v>
          </cell>
          <cell r="I291" t="str">
            <v/>
          </cell>
          <cell r="J291" t="str">
            <v/>
          </cell>
          <cell r="O291">
            <v>0</v>
          </cell>
          <cell r="T291" t="str">
            <v>000000000004202</v>
          </cell>
        </row>
        <row r="292">
          <cell r="G292" t="str">
            <v/>
          </cell>
          <cell r="J292" t="str">
            <v/>
          </cell>
          <cell r="O292">
            <v>192</v>
          </cell>
          <cell r="T292" t="str">
            <v>000000000004202</v>
          </cell>
        </row>
        <row r="293">
          <cell r="B293" t="str">
            <v>+公差</v>
          </cell>
          <cell r="C293">
            <v>192</v>
          </cell>
          <cell r="G293" t="str">
            <v/>
          </cell>
          <cell r="J293" t="str">
            <v/>
          </cell>
          <cell r="O293">
            <v>192</v>
          </cell>
          <cell r="T293" t="str">
            <v>000000000004202</v>
          </cell>
        </row>
        <row r="294">
          <cell r="G294" t="str">
            <v/>
          </cell>
          <cell r="J294" t="str">
            <v/>
          </cell>
          <cell r="O294">
            <v>0</v>
          </cell>
          <cell r="T294" t="str">
            <v>000000000004202</v>
          </cell>
        </row>
        <row r="295">
          <cell r="B295" t="str">
            <v>+2</v>
          </cell>
          <cell r="C295">
            <v>1</v>
          </cell>
          <cell r="G295" t="str">
            <v/>
          </cell>
          <cell r="J295" t="str">
            <v/>
          </cell>
          <cell r="O295">
            <v>0</v>
          </cell>
          <cell r="T295" t="str">
            <v>000000000004202</v>
          </cell>
        </row>
        <row r="296">
          <cell r="B296" t="str">
            <v>使用数</v>
          </cell>
          <cell r="C296" t="str">
            <v>灯具-2　L＝1996</v>
          </cell>
          <cell r="G296" t="str">
            <v/>
          </cell>
          <cell r="J296" t="str">
            <v/>
          </cell>
          <cell r="T296" t="str">
            <v>000000000004202</v>
          </cell>
        </row>
        <row r="297">
          <cell r="B297">
            <v>0</v>
          </cell>
          <cell r="C297">
            <v>0</v>
          </cell>
          <cell r="G297" t="str">
            <v/>
          </cell>
          <cell r="J297" t="str">
            <v/>
          </cell>
          <cell r="T297" t="str">
            <v>000000000004202</v>
          </cell>
        </row>
        <row r="298">
          <cell r="G298" t="str">
            <v/>
          </cell>
          <cell r="J298" t="str">
            <v/>
          </cell>
          <cell r="P298">
            <v>0</v>
          </cell>
          <cell r="T298" t="str">
            <v>000000000004202</v>
          </cell>
        </row>
        <row r="299">
          <cell r="B299" t="str">
            <v>00763937</v>
          </cell>
          <cell r="C299" t="str">
            <v>8FL281304 4810　L=297</v>
          </cell>
          <cell r="I299" t="str">
            <v/>
          </cell>
          <cell r="J299" t="str">
            <v/>
          </cell>
          <cell r="O299">
            <v>0</v>
          </cell>
          <cell r="T299" t="str">
            <v>000000000004402</v>
          </cell>
        </row>
        <row r="300">
          <cell r="G300" t="str">
            <v/>
          </cell>
          <cell r="J300" t="str">
            <v/>
          </cell>
          <cell r="O300">
            <v>300</v>
          </cell>
          <cell r="T300" t="str">
            <v>000000000004402</v>
          </cell>
        </row>
        <row r="301">
          <cell r="B301" t="str">
            <v>+公差</v>
          </cell>
          <cell r="C301">
            <v>300</v>
          </cell>
          <cell r="G301" t="str">
            <v/>
          </cell>
          <cell r="J301" t="str">
            <v/>
          </cell>
          <cell r="O301">
            <v>50</v>
          </cell>
          <cell r="T301" t="str">
            <v>000000000004402</v>
          </cell>
        </row>
        <row r="302">
          <cell r="G302" t="str">
            <v/>
          </cell>
          <cell r="J302" t="str">
            <v/>
          </cell>
          <cell r="O302">
            <v>0</v>
          </cell>
          <cell r="T302" t="str">
            <v>000000000004402</v>
          </cell>
        </row>
        <row r="303">
          <cell r="B303" t="str">
            <v>+0.5</v>
          </cell>
          <cell r="C303">
            <v>6</v>
          </cell>
          <cell r="G303" t="str">
            <v/>
          </cell>
          <cell r="J303" t="str">
            <v/>
          </cell>
          <cell r="O303">
            <v>0</v>
          </cell>
          <cell r="T303" t="str">
            <v>000000000004402</v>
          </cell>
        </row>
        <row r="304">
          <cell r="B304" t="str">
            <v>使用数</v>
          </cell>
          <cell r="C304" t="str">
            <v>LED-A300</v>
          </cell>
          <cell r="G304" t="str">
            <v/>
          </cell>
          <cell r="J304" t="str">
            <v/>
          </cell>
          <cell r="T304" t="str">
            <v>000000000004402</v>
          </cell>
        </row>
        <row r="305">
          <cell r="B305">
            <v>0</v>
          </cell>
          <cell r="C305">
            <v>0</v>
          </cell>
          <cell r="G305" t="str">
            <v/>
          </cell>
          <cell r="J305" t="str">
            <v/>
          </cell>
          <cell r="T305" t="str">
            <v>000000000004402</v>
          </cell>
        </row>
        <row r="306">
          <cell r="G306" t="str">
            <v/>
          </cell>
          <cell r="J306" t="str">
            <v/>
          </cell>
          <cell r="P306">
            <v>0</v>
          </cell>
          <cell r="T306" t="str">
            <v>000000000004402</v>
          </cell>
        </row>
        <row r="307">
          <cell r="B307" t="str">
            <v>00763936</v>
          </cell>
          <cell r="C307" t="str">
            <v>8FL281304 4810　L=297</v>
          </cell>
          <cell r="I307" t="str">
            <v/>
          </cell>
          <cell r="J307" t="str">
            <v/>
          </cell>
          <cell r="O307">
            <v>0</v>
          </cell>
          <cell r="T307" t="str">
            <v>000000000004401</v>
          </cell>
        </row>
        <row r="308">
          <cell r="G308" t="str">
            <v/>
          </cell>
          <cell r="J308" t="str">
            <v/>
          </cell>
          <cell r="O308">
            <v>300</v>
          </cell>
          <cell r="T308" t="str">
            <v>000000000004401</v>
          </cell>
        </row>
        <row r="309">
          <cell r="B309" t="str">
            <v>+公差</v>
          </cell>
          <cell r="C309">
            <v>300</v>
          </cell>
          <cell r="G309" t="str">
            <v/>
          </cell>
          <cell r="J309" t="str">
            <v/>
          </cell>
          <cell r="O309">
            <v>50</v>
          </cell>
          <cell r="T309" t="str">
            <v>000000000004401</v>
          </cell>
        </row>
        <row r="310">
          <cell r="G310" t="str">
            <v/>
          </cell>
          <cell r="J310" t="str">
            <v/>
          </cell>
          <cell r="O310">
            <v>0</v>
          </cell>
          <cell r="T310" t="str">
            <v>000000000004401</v>
          </cell>
        </row>
        <row r="311">
          <cell r="B311" t="str">
            <v>+0.5</v>
          </cell>
          <cell r="C311">
            <v>6</v>
          </cell>
          <cell r="G311" t="str">
            <v/>
          </cell>
          <cell r="J311" t="str">
            <v/>
          </cell>
          <cell r="O311">
            <v>0</v>
          </cell>
          <cell r="T311" t="str">
            <v>000000000004401</v>
          </cell>
        </row>
        <row r="312">
          <cell r="B312" t="str">
            <v>使用数</v>
          </cell>
          <cell r="C312" t="str">
            <v>LED-A300</v>
          </cell>
          <cell r="G312" t="str">
            <v/>
          </cell>
          <cell r="J312" t="str">
            <v/>
          </cell>
          <cell r="T312" t="str">
            <v>000000000004401</v>
          </cell>
        </row>
        <row r="313">
          <cell r="B313">
            <v>0</v>
          </cell>
          <cell r="C313">
            <v>0</v>
          </cell>
          <cell r="G313" t="str">
            <v/>
          </cell>
          <cell r="J313" t="str">
            <v/>
          </cell>
          <cell r="T313" t="str">
            <v>000000000004401</v>
          </cell>
        </row>
        <row r="314">
          <cell r="G314" t="str">
            <v/>
          </cell>
          <cell r="J314" t="str">
            <v/>
          </cell>
          <cell r="P314">
            <v>0</v>
          </cell>
          <cell r="T314" t="str">
            <v>000000000004401</v>
          </cell>
        </row>
        <row r="315">
          <cell r="B315" t="str">
            <v>00763941</v>
          </cell>
          <cell r="C315" t="str">
            <v>8FL281304 6110　L=1478</v>
          </cell>
          <cell r="I315" t="str">
            <v/>
          </cell>
          <cell r="J315" t="str">
            <v/>
          </cell>
          <cell r="O315">
            <v>0</v>
          </cell>
          <cell r="T315" t="str">
            <v>000000000004406</v>
          </cell>
        </row>
        <row r="316">
          <cell r="G316" t="str">
            <v/>
          </cell>
          <cell r="J316" t="str">
            <v/>
          </cell>
          <cell r="O316">
            <v>200</v>
          </cell>
          <cell r="T316" t="str">
            <v>000000000004406</v>
          </cell>
        </row>
        <row r="317">
          <cell r="B317" t="str">
            <v>+公差</v>
          </cell>
          <cell r="C317">
            <v>200</v>
          </cell>
          <cell r="G317" t="str">
            <v/>
          </cell>
          <cell r="J317" t="str">
            <v/>
          </cell>
          <cell r="O317">
            <v>200</v>
          </cell>
          <cell r="T317" t="str">
            <v>000000000004406</v>
          </cell>
        </row>
        <row r="318">
          <cell r="G318" t="str">
            <v/>
          </cell>
          <cell r="J318" t="str">
            <v/>
          </cell>
          <cell r="O318">
            <v>0</v>
          </cell>
          <cell r="T318" t="str">
            <v>000000000004406</v>
          </cell>
        </row>
        <row r="319">
          <cell r="B319" t="str">
            <v>+0.5</v>
          </cell>
          <cell r="C319">
            <v>1</v>
          </cell>
          <cell r="G319" t="str">
            <v/>
          </cell>
          <cell r="J319" t="str">
            <v/>
          </cell>
          <cell r="O319">
            <v>0</v>
          </cell>
          <cell r="T319" t="str">
            <v>000000000004406</v>
          </cell>
        </row>
        <row r="320">
          <cell r="B320" t="str">
            <v>使用数</v>
          </cell>
          <cell r="C320" t="str">
            <v>LED-A1478</v>
          </cell>
          <cell r="G320" t="str">
            <v/>
          </cell>
          <cell r="J320" t="str">
            <v/>
          </cell>
          <cell r="T320" t="str">
            <v>000000000004406</v>
          </cell>
        </row>
        <row r="321">
          <cell r="B321">
            <v>0</v>
          </cell>
          <cell r="C321">
            <v>0</v>
          </cell>
          <cell r="G321" t="str">
            <v/>
          </cell>
          <cell r="J321" t="str">
            <v/>
          </cell>
          <cell r="T321" t="str">
            <v>000000000004406</v>
          </cell>
        </row>
        <row r="322">
          <cell r="G322" t="str">
            <v/>
          </cell>
          <cell r="J322" t="str">
            <v/>
          </cell>
          <cell r="P322">
            <v>0</v>
          </cell>
          <cell r="T322" t="str">
            <v>000000000004406</v>
          </cell>
        </row>
        <row r="323">
          <cell r="B323" t="str">
            <v>00763940</v>
          </cell>
          <cell r="C323" t="str">
            <v>8FL281304 6110　L=1478</v>
          </cell>
          <cell r="I323" t="str">
            <v/>
          </cell>
          <cell r="J323" t="str">
            <v/>
          </cell>
          <cell r="O323">
            <v>0</v>
          </cell>
          <cell r="T323" t="str">
            <v>000000000004405</v>
          </cell>
        </row>
        <row r="324">
          <cell r="G324" t="str">
            <v/>
          </cell>
          <cell r="J324" t="str">
            <v/>
          </cell>
          <cell r="O324">
            <v>600</v>
          </cell>
          <cell r="T324" t="str">
            <v>000000000004405</v>
          </cell>
        </row>
        <row r="325">
          <cell r="B325" t="str">
            <v>+公差</v>
          </cell>
          <cell r="C325">
            <v>600</v>
          </cell>
          <cell r="G325" t="str">
            <v/>
          </cell>
          <cell r="J325" t="str">
            <v/>
          </cell>
          <cell r="O325">
            <v>600</v>
          </cell>
          <cell r="T325" t="str">
            <v>000000000004405</v>
          </cell>
        </row>
        <row r="326">
          <cell r="G326" t="str">
            <v/>
          </cell>
          <cell r="J326" t="str">
            <v/>
          </cell>
          <cell r="O326">
            <v>0</v>
          </cell>
          <cell r="T326" t="str">
            <v>000000000004405</v>
          </cell>
        </row>
        <row r="327">
          <cell r="B327" t="str">
            <v>+0.5</v>
          </cell>
          <cell r="C327">
            <v>1</v>
          </cell>
          <cell r="G327" t="str">
            <v/>
          </cell>
          <cell r="J327" t="str">
            <v/>
          </cell>
          <cell r="O327">
            <v>0</v>
          </cell>
          <cell r="T327" t="str">
            <v>000000000004405</v>
          </cell>
        </row>
        <row r="328">
          <cell r="B328" t="str">
            <v>使用数</v>
          </cell>
          <cell r="C328" t="str">
            <v>LED-A1478</v>
          </cell>
          <cell r="G328" t="str">
            <v/>
          </cell>
          <cell r="J328" t="str">
            <v/>
          </cell>
          <cell r="T328" t="str">
            <v>000000000004405</v>
          </cell>
        </row>
        <row r="329">
          <cell r="B329">
            <v>0</v>
          </cell>
          <cell r="C329">
            <v>0</v>
          </cell>
          <cell r="G329" t="str">
            <v/>
          </cell>
          <cell r="J329" t="str">
            <v/>
          </cell>
          <cell r="T329" t="str">
            <v>000000000004405</v>
          </cell>
        </row>
        <row r="330">
          <cell r="G330" t="str">
            <v/>
          </cell>
          <cell r="J330" t="str">
            <v/>
          </cell>
          <cell r="P330">
            <v>0</v>
          </cell>
          <cell r="T330" t="str">
            <v>000000000004405</v>
          </cell>
        </row>
        <row r="331">
          <cell r="B331" t="str">
            <v>00763939</v>
          </cell>
          <cell r="C331" t="str">
            <v>8FL281304 5010　L=888</v>
          </cell>
          <cell r="I331" t="str">
            <v/>
          </cell>
          <cell r="J331" t="str">
            <v/>
          </cell>
          <cell r="O331">
            <v>0</v>
          </cell>
          <cell r="T331" t="str">
            <v>000000000004404</v>
          </cell>
        </row>
        <row r="332">
          <cell r="G332" t="str">
            <v/>
          </cell>
          <cell r="J332" t="str">
            <v/>
          </cell>
          <cell r="O332">
            <v>600</v>
          </cell>
          <cell r="T332" t="str">
            <v>000000000004404</v>
          </cell>
        </row>
        <row r="333">
          <cell r="B333" t="str">
            <v>+公差</v>
          </cell>
          <cell r="C333">
            <v>600</v>
          </cell>
          <cell r="G333" t="str">
            <v/>
          </cell>
          <cell r="J333" t="str">
            <v/>
          </cell>
          <cell r="O333">
            <v>300</v>
          </cell>
          <cell r="T333" t="str">
            <v>000000000004404</v>
          </cell>
        </row>
        <row r="334">
          <cell r="G334" t="str">
            <v/>
          </cell>
          <cell r="J334" t="str">
            <v/>
          </cell>
          <cell r="O334">
            <v>0</v>
          </cell>
          <cell r="T334" t="str">
            <v>000000000004404</v>
          </cell>
        </row>
        <row r="335">
          <cell r="B335" t="str">
            <v>+0.5</v>
          </cell>
          <cell r="C335">
            <v>2</v>
          </cell>
          <cell r="G335" t="str">
            <v/>
          </cell>
          <cell r="J335" t="str">
            <v/>
          </cell>
          <cell r="O335">
            <v>0</v>
          </cell>
          <cell r="T335" t="str">
            <v>000000000004404</v>
          </cell>
        </row>
        <row r="336">
          <cell r="B336" t="str">
            <v>使用数</v>
          </cell>
          <cell r="C336" t="str">
            <v>LED-A888</v>
          </cell>
          <cell r="G336" t="str">
            <v/>
          </cell>
          <cell r="J336" t="str">
            <v/>
          </cell>
          <cell r="T336" t="str">
            <v>000000000004404</v>
          </cell>
        </row>
        <row r="337">
          <cell r="B337">
            <v>0</v>
          </cell>
          <cell r="C337">
            <v>0</v>
          </cell>
          <cell r="G337" t="str">
            <v/>
          </cell>
          <cell r="J337" t="str">
            <v/>
          </cell>
          <cell r="T337" t="str">
            <v>000000000004404</v>
          </cell>
        </row>
        <row r="338">
          <cell r="G338" t="str">
            <v/>
          </cell>
          <cell r="J338" t="str">
            <v/>
          </cell>
          <cell r="P338">
            <v>0</v>
          </cell>
          <cell r="T338" t="str">
            <v>000000000004404</v>
          </cell>
        </row>
        <row r="339">
          <cell r="B339" t="str">
            <v>00763938</v>
          </cell>
          <cell r="C339" t="str">
            <v>8FL281304 5010　L=888</v>
          </cell>
          <cell r="I339" t="str">
            <v/>
          </cell>
          <cell r="J339" t="str">
            <v/>
          </cell>
          <cell r="O339">
            <v>0</v>
          </cell>
          <cell r="T339" t="str">
            <v>000000000004403</v>
          </cell>
        </row>
        <row r="340">
          <cell r="G340" t="str">
            <v/>
          </cell>
          <cell r="J340" t="str">
            <v/>
          </cell>
          <cell r="O340">
            <v>700</v>
          </cell>
          <cell r="T340" t="str">
            <v>000000000004403</v>
          </cell>
        </row>
        <row r="341">
          <cell r="B341" t="str">
            <v>+公差</v>
          </cell>
          <cell r="C341">
            <v>700</v>
          </cell>
          <cell r="G341" t="str">
            <v/>
          </cell>
          <cell r="J341" t="str">
            <v/>
          </cell>
          <cell r="O341">
            <v>350</v>
          </cell>
          <cell r="T341" t="str">
            <v>000000000004403</v>
          </cell>
        </row>
        <row r="342">
          <cell r="G342" t="str">
            <v/>
          </cell>
          <cell r="J342" t="str">
            <v/>
          </cell>
          <cell r="O342">
            <v>0</v>
          </cell>
          <cell r="T342" t="str">
            <v>000000000004403</v>
          </cell>
        </row>
        <row r="343">
          <cell r="B343" t="str">
            <v>+0.5</v>
          </cell>
          <cell r="C343">
            <v>2</v>
          </cell>
          <cell r="G343" t="str">
            <v/>
          </cell>
          <cell r="J343" t="str">
            <v/>
          </cell>
          <cell r="O343">
            <v>0</v>
          </cell>
          <cell r="T343" t="str">
            <v>000000000004403</v>
          </cell>
        </row>
        <row r="344">
          <cell r="B344" t="str">
            <v>使用数</v>
          </cell>
          <cell r="C344" t="str">
            <v>LED-A888</v>
          </cell>
          <cell r="G344" t="str">
            <v/>
          </cell>
          <cell r="J344" t="str">
            <v/>
          </cell>
          <cell r="T344" t="str">
            <v>000000000004403</v>
          </cell>
        </row>
        <row r="345">
          <cell r="B345">
            <v>0</v>
          </cell>
          <cell r="C345">
            <v>0</v>
          </cell>
          <cell r="G345" t="str">
            <v/>
          </cell>
          <cell r="J345" t="str">
            <v/>
          </cell>
          <cell r="T345" t="str">
            <v>000000000004403</v>
          </cell>
        </row>
        <row r="346">
          <cell r="G346" t="str">
            <v/>
          </cell>
          <cell r="J346" t="str">
            <v/>
          </cell>
          <cell r="P346">
            <v>0</v>
          </cell>
          <cell r="T346" t="str">
            <v>000000000004403</v>
          </cell>
        </row>
        <row r="347">
          <cell r="B347" t="str">
            <v>00749886</v>
          </cell>
          <cell r="C347" t="str">
            <v>PK-59827 L=700</v>
          </cell>
          <cell r="I347" t="str">
            <v/>
          </cell>
          <cell r="J347" t="str">
            <v/>
          </cell>
          <cell r="O347">
            <v>0</v>
          </cell>
          <cell r="T347" t="str">
            <v>000000000002882</v>
          </cell>
        </row>
        <row r="348">
          <cell r="G348" t="str">
            <v/>
          </cell>
          <cell r="J348" t="str">
            <v/>
          </cell>
          <cell r="O348">
            <v>1020</v>
          </cell>
          <cell r="T348" t="str">
            <v>000000000002882</v>
          </cell>
        </row>
        <row r="349">
          <cell r="B349" t="str">
            <v>+公差</v>
          </cell>
          <cell r="C349">
            <v>1020</v>
          </cell>
          <cell r="G349" t="str">
            <v/>
          </cell>
          <cell r="J349" t="str">
            <v/>
          </cell>
          <cell r="O349">
            <v>510</v>
          </cell>
          <cell r="T349" t="str">
            <v>000000000002882</v>
          </cell>
        </row>
        <row r="350">
          <cell r="G350" t="str">
            <v/>
          </cell>
          <cell r="J350" t="str">
            <v/>
          </cell>
          <cell r="O350">
            <v>0</v>
          </cell>
          <cell r="T350" t="str">
            <v>000000000002882</v>
          </cell>
        </row>
        <row r="351">
          <cell r="B351" t="str">
            <v>+1</v>
          </cell>
          <cell r="C351">
            <v>2</v>
          </cell>
          <cell r="G351" t="str">
            <v/>
          </cell>
          <cell r="J351" t="str">
            <v/>
          </cell>
          <cell r="O351">
            <v>0</v>
          </cell>
          <cell r="T351" t="str">
            <v>000000000002882</v>
          </cell>
        </row>
        <row r="352">
          <cell r="B352" t="str">
            <v>使用数</v>
          </cell>
          <cell r="C352" t="str">
            <v>PK-59827 L=700用</v>
          </cell>
          <cell r="G352" t="str">
            <v/>
          </cell>
          <cell r="J352" t="str">
            <v/>
          </cell>
          <cell r="T352" t="str">
            <v>000000000002882</v>
          </cell>
        </row>
        <row r="353">
          <cell r="B353">
            <v>0</v>
          </cell>
          <cell r="C353">
            <v>0</v>
          </cell>
          <cell r="G353" t="str">
            <v/>
          </cell>
          <cell r="J353" t="str">
            <v/>
          </cell>
          <cell r="T353" t="str">
            <v>000000000002882</v>
          </cell>
        </row>
        <row r="354">
          <cell r="G354" t="str">
            <v/>
          </cell>
          <cell r="J354" t="str">
            <v/>
          </cell>
          <cell r="P354">
            <v>0</v>
          </cell>
          <cell r="T354" t="str">
            <v>000000000002882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品目コード</v>
          </cell>
          <cell r="B1" t="str">
            <v>品名</v>
          </cell>
        </row>
        <row r="2">
          <cell r="A2" t="str">
            <v>J1JAZZB05412100</v>
          </cell>
          <cell r="B2" t="str">
            <v>黒板灯ﾌﾟﾘｽﾞﾑｶﾊﾞｰ　L=1210</v>
          </cell>
        </row>
        <row r="3">
          <cell r="A3" t="str">
            <v>J1JAZZB07012100</v>
          </cell>
          <cell r="B3" t="str">
            <v>ｺﾝﾌｫｰﾄ用ﾌﾟﾘｽﾞﾑｶﾊﾞｰL1210</v>
          </cell>
        </row>
        <row r="4">
          <cell r="A4" t="str">
            <v>J1JAZZB10802970</v>
          </cell>
          <cell r="B4" t="str">
            <v>8FL281304 4810　L=297</v>
          </cell>
        </row>
        <row r="5">
          <cell r="A5" t="str">
            <v>J1JAZZB10804440</v>
          </cell>
          <cell r="B5" t="str">
            <v>8FL281304 8110　L=444</v>
          </cell>
        </row>
        <row r="6">
          <cell r="A6" t="str">
            <v>J1JAZZB10805920</v>
          </cell>
          <cell r="B6" t="str">
            <v>8FL281304 4910　L=592</v>
          </cell>
        </row>
        <row r="7">
          <cell r="A7" t="str">
            <v>J1JAZZB10807480</v>
          </cell>
          <cell r="B7" t="str">
            <v>8FL281304 8310　L=748</v>
          </cell>
        </row>
        <row r="8">
          <cell r="A8" t="str">
            <v>J1JAZZB10808880</v>
          </cell>
          <cell r="B8" t="str">
            <v>8FL281304 5010　L=888</v>
          </cell>
        </row>
        <row r="9">
          <cell r="A9" t="str">
            <v>J1JAZZB10811830</v>
          </cell>
          <cell r="B9" t="str">
            <v>8FL281304 5110　L=1183</v>
          </cell>
        </row>
        <row r="10">
          <cell r="A10" t="str">
            <v>J1JAZZB10813290</v>
          </cell>
          <cell r="B10" t="str">
            <v>8FL281304 8010　L=1329</v>
          </cell>
        </row>
        <row r="11">
          <cell r="A11" t="str">
            <v>J1JAZZB10814780</v>
          </cell>
          <cell r="B11" t="str">
            <v>8FL281304 6110　L=1478</v>
          </cell>
        </row>
        <row r="12">
          <cell r="A12" t="str">
            <v>J1JAZZB11805920</v>
          </cell>
          <cell r="B12" t="str">
            <v>8FL281304 4920　L=592　クリア</v>
          </cell>
        </row>
        <row r="13">
          <cell r="A13" t="str">
            <v>J1JAZZB11808880</v>
          </cell>
          <cell r="B13" t="str">
            <v>8FL281304 5020　L=888　クリア</v>
          </cell>
        </row>
        <row r="14">
          <cell r="A14" t="str">
            <v>J1JAZZB11811830</v>
          </cell>
          <cell r="B14" t="str">
            <v>8FL281304 5120　L=1183　クリア</v>
          </cell>
        </row>
        <row r="15">
          <cell r="A15" t="str">
            <v>J1JAZZB11814780</v>
          </cell>
          <cell r="B15" t="str">
            <v>8FL281304 6120　L=1478　クリア</v>
          </cell>
        </row>
        <row r="16">
          <cell r="A16" t="str">
            <v>J1JAZZB11411920</v>
          </cell>
          <cell r="B16" t="str">
            <v>NNN33000W</v>
          </cell>
        </row>
        <row r="17">
          <cell r="A17" t="str">
            <v>J1JAZZB11311920</v>
          </cell>
          <cell r="B17" t="str">
            <v>NNN35000W</v>
          </cell>
        </row>
        <row r="18">
          <cell r="A18" t="str">
            <v>J1JAZZB12514780</v>
          </cell>
          <cell r="B18" t="str">
            <v>NNN36500-3</v>
          </cell>
        </row>
        <row r="19">
          <cell r="A19" t="str">
            <v>J1JAZZB12511870</v>
          </cell>
          <cell r="B19" t="str">
            <v>NNN36500-3-2</v>
          </cell>
        </row>
        <row r="20">
          <cell r="A20" t="str">
            <v>J1JAZZB12508870</v>
          </cell>
          <cell r="B20" t="str">
            <v>NNN36500-3-3</v>
          </cell>
        </row>
        <row r="21">
          <cell r="A21" t="str">
            <v>J1JAZZB12505960</v>
          </cell>
          <cell r="B21" t="str">
            <v>NNN36500-3-4</v>
          </cell>
        </row>
        <row r="22">
          <cell r="A22" t="str">
            <v>J1ZAFJB00219660</v>
          </cell>
          <cell r="B22" t="str">
            <v>灯具カバーPC IN 2070　L=1966</v>
          </cell>
        </row>
        <row r="23">
          <cell r="A23" t="str">
            <v>J1ZAFJB00219230</v>
          </cell>
          <cell r="B23" t="str">
            <v>灯具カバーPC IN 2100　L=1923</v>
          </cell>
        </row>
        <row r="24">
          <cell r="A24" t="str">
            <v>J1ZAFJB00218150</v>
          </cell>
          <cell r="B24" t="str">
            <v>灯具カバーPC IN 2110　L=1815</v>
          </cell>
        </row>
        <row r="25">
          <cell r="A25" t="str">
            <v>J1ZAFJB00215400</v>
          </cell>
          <cell r="B25" t="str">
            <v>灯具カバーPC IN 2080　L=1540</v>
          </cell>
        </row>
        <row r="26">
          <cell r="A26" t="str">
            <v>J1ZAFJB00212585</v>
          </cell>
          <cell r="B26" t="str">
            <v>灯具カバーPC IN 2060　L=1258.5</v>
          </cell>
        </row>
        <row r="27">
          <cell r="A27" t="str">
            <v>J1ZAFJB00211835</v>
          </cell>
          <cell r="B27" t="str">
            <v>灯具カバーPC IN 2050　L=1183.5</v>
          </cell>
        </row>
        <row r="28">
          <cell r="A28" t="str">
            <v>J1ZAFJB00209080</v>
          </cell>
          <cell r="B28" t="str">
            <v>灯具カバーPC IN 2130　L=908</v>
          </cell>
        </row>
        <row r="29">
          <cell r="A29" t="str">
            <v>J1ZAFJB00208400</v>
          </cell>
          <cell r="B29" t="str">
            <v>灯具カバーPC IN 2090　L=840</v>
          </cell>
        </row>
        <row r="30">
          <cell r="A30" t="str">
            <v>J1ZAFJB00205470</v>
          </cell>
          <cell r="B30" t="str">
            <v>灯具カバーPC IN 2140　L=547</v>
          </cell>
        </row>
        <row r="31">
          <cell r="A31" t="str">
            <v>J1ZAFJB00212640</v>
          </cell>
          <cell r="B31" t="str">
            <v>灯具カバーPC IN 2490　L=1264</v>
          </cell>
        </row>
        <row r="32">
          <cell r="A32" t="str">
            <v>J1ZAFJB00212380</v>
          </cell>
          <cell r="B32" t="str">
            <v>灯具カバーPC IN 2500　L=1238</v>
          </cell>
        </row>
        <row r="33">
          <cell r="A33" t="str">
            <v>J1ZAFJB00212910</v>
          </cell>
          <cell r="B33" t="str">
            <v>灯具カバーPC IN 2460　L=1291</v>
          </cell>
        </row>
        <row r="34">
          <cell r="A34" t="str">
            <v>J1ZAFJB00216480</v>
          </cell>
          <cell r="B34" t="str">
            <v>灯具カバーPC IN 2470　L=1648</v>
          </cell>
        </row>
        <row r="35">
          <cell r="A35" t="str">
            <v>J1ZAFJB00209540</v>
          </cell>
          <cell r="B35" t="str">
            <v>灯具カバーPC IN 2480　L=954</v>
          </cell>
        </row>
        <row r="36">
          <cell r="A36" t="str">
            <v>J1ZAFJB00113340</v>
          </cell>
          <cell r="B36" t="str">
            <v>灯具カバーPC  　7520    L=1334</v>
          </cell>
        </row>
        <row r="37">
          <cell r="A37" t="str">
            <v>J1ZAFJB00113095</v>
          </cell>
          <cell r="B37" t="str">
            <v>灯具カバーPC  　2180    L=1309.5</v>
          </cell>
        </row>
        <row r="38">
          <cell r="A38" t="str">
            <v>J1ZAFJB00112790</v>
          </cell>
          <cell r="B38" t="str">
            <v>灯具カバーPC  　2170    L=1279</v>
          </cell>
        </row>
        <row r="39">
          <cell r="A39" t="str">
            <v>J1ZAFJB00112400</v>
          </cell>
          <cell r="B39" t="str">
            <v>灯具カバーPC  　2190    L=1240</v>
          </cell>
        </row>
        <row r="40">
          <cell r="A40" t="str">
            <v>J1ZAFJB00106133</v>
          </cell>
          <cell r="B40" t="str">
            <v>灯具カバーPC  　2160    L=613.3</v>
          </cell>
        </row>
        <row r="41">
          <cell r="A41" t="str">
            <v>J1ZAFJB00105650</v>
          </cell>
          <cell r="B41" t="str">
            <v>灯具カバーPC  　7530    L=565</v>
          </cell>
        </row>
        <row r="42">
          <cell r="A42" t="str">
            <v>J1ZAFJB00102218</v>
          </cell>
          <cell r="B42" t="str">
            <v>灯具カバーPC  　2200    L=221.8</v>
          </cell>
        </row>
        <row r="43">
          <cell r="A43" t="str">
            <v>J1JAPAB00319960</v>
          </cell>
          <cell r="B43" t="str">
            <v>採光ルーバーパネルA　L=1996</v>
          </cell>
        </row>
        <row r="44">
          <cell r="A44" t="str">
            <v>J1JAPAB00419960</v>
          </cell>
          <cell r="B44" t="str">
            <v>採光ルーバーパネルB　L=1996</v>
          </cell>
        </row>
        <row r="45">
          <cell r="A45" t="str">
            <v>J1AKZYB00205000</v>
          </cell>
          <cell r="B45" t="str">
            <v>PK-59827 L=500</v>
          </cell>
        </row>
        <row r="46">
          <cell r="A46" t="str">
            <v>J1AKZYB00207000</v>
          </cell>
          <cell r="B46" t="str">
            <v>PK-59827 L=700</v>
          </cell>
        </row>
        <row r="47">
          <cell r="A47" t="str">
            <v>J1EAZZB03102750</v>
          </cell>
          <cell r="B47" t="str">
            <v>ハーネスガイド部材　L=275</v>
          </cell>
        </row>
        <row r="48">
          <cell r="A48" t="str">
            <v>J1AAEDB00825740</v>
          </cell>
          <cell r="B48" t="str">
            <v>MDP-689B L4　L=2574</v>
          </cell>
        </row>
        <row r="49">
          <cell r="A49" t="str">
            <v>J1AAEDB02825740</v>
          </cell>
          <cell r="B49" t="str">
            <v>MDPQ-689B L4 　L=2574　　</v>
          </cell>
        </row>
        <row r="50">
          <cell r="A50" t="str">
            <v>J1AAEZB00705860</v>
          </cell>
          <cell r="B50" t="str">
            <v>SRG-60D　L=586</v>
          </cell>
        </row>
        <row r="51">
          <cell r="A51" t="str">
            <v>J1AAEZB00708860</v>
          </cell>
          <cell r="B51" t="str">
            <v>SRG-90D　L=860</v>
          </cell>
        </row>
        <row r="52">
          <cell r="A52" t="str">
            <v>J1AAEZB00805860</v>
          </cell>
          <cell r="B52" t="str">
            <v>SRG-60U　L=586</v>
          </cell>
        </row>
        <row r="53">
          <cell r="A53" t="str">
            <v>J1AAEZB00808860</v>
          </cell>
          <cell r="B53" t="str">
            <v>SRG-90U　L=860</v>
          </cell>
        </row>
        <row r="54">
          <cell r="A54" t="str">
            <v>J1DAEZB00203000</v>
          </cell>
          <cell r="B54" t="str">
            <v>ﾃﾝｹﾝｺｳ(上)　L=300</v>
          </cell>
        </row>
        <row r="55">
          <cell r="A55" t="str">
            <v>J1DAEZB00204980</v>
          </cell>
          <cell r="B55" t="str">
            <v>ﾃﾝｹﾝｺｳ(上)　L=498</v>
          </cell>
        </row>
        <row r="56">
          <cell r="A56" t="str">
            <v>J1DAEZB00211680</v>
          </cell>
          <cell r="B56" t="str">
            <v>ﾃﾝｹﾝｺｳ(上)　L=1168</v>
          </cell>
        </row>
        <row r="57">
          <cell r="A57" t="str">
            <v>J1EAFZB02008740</v>
          </cell>
          <cell r="B57" t="str">
            <v>ﾏｴｶﾊﾞｰ(17F09810A)　L=874</v>
          </cell>
        </row>
        <row r="58">
          <cell r="A58" t="str">
            <v>J1EAFZB02011840</v>
          </cell>
          <cell r="B58" t="str">
            <v>ﾏｴｶﾊﾞｰ(17F09810B)　L=1184</v>
          </cell>
        </row>
        <row r="59">
          <cell r="A59" t="str">
            <v>J1EAFZB02014940</v>
          </cell>
          <cell r="B59" t="str">
            <v>ﾏｴｶﾊﾞｰ(17F09810C)　L=1494</v>
          </cell>
        </row>
        <row r="60">
          <cell r="A60" t="str">
            <v>J1AAEDB01725700</v>
          </cell>
          <cell r="B60" t="str">
            <v>MDP-688A L4　L=2570</v>
          </cell>
        </row>
        <row r="61">
          <cell r="A61" t="str">
            <v>J1AAEDB02525700</v>
          </cell>
          <cell r="B61" t="str">
            <v>MDPQ-688A L4　L=2570</v>
          </cell>
        </row>
        <row r="62">
          <cell r="A62" t="str">
            <v>J1DAFZB00105500</v>
          </cell>
          <cell r="B62" t="str">
            <v>照明ｶﾊﾞｰS15　L=550</v>
          </cell>
        </row>
        <row r="63">
          <cell r="A63" t="str">
            <v>J1DAFZB00105604</v>
          </cell>
          <cell r="B63" t="str">
            <v>照明ｶﾊﾞｰS　L=560.4</v>
          </cell>
        </row>
        <row r="64">
          <cell r="A64" t="str">
            <v>J1DAFZB00108200</v>
          </cell>
          <cell r="B64" t="str">
            <v>照明ｶﾊﾞｰL15　L=820</v>
          </cell>
        </row>
        <row r="65">
          <cell r="A65" t="str">
            <v>J1DAFZB00108304</v>
          </cell>
          <cell r="B65" t="str">
            <v>照明ｶﾊﾞｰL　L=830.4</v>
          </cell>
        </row>
        <row r="66">
          <cell r="A66" t="str">
            <v>J1ECZZB00104200</v>
          </cell>
          <cell r="B66" t="str">
            <v>L型ｱﾝｸﾞﾙ　WT-28B　L=420</v>
          </cell>
        </row>
        <row r="67">
          <cell r="A67" t="str">
            <v>J1ECZZB00105200</v>
          </cell>
          <cell r="B67" t="str">
            <v>L型ｱﾝｸﾞﾙ　P-VH-42D　L=520</v>
          </cell>
        </row>
        <row r="68">
          <cell r="A68" t="str">
            <v>J1AAFAB01107305</v>
          </cell>
          <cell r="B68" t="str">
            <v>GA-770 BK(BD)　L=730.5</v>
          </cell>
        </row>
        <row r="69">
          <cell r="A69" t="str">
            <v>J1AAFAB01107455</v>
          </cell>
          <cell r="B69" t="str">
            <v>GA-770 BK(BD)　L=745.5</v>
          </cell>
        </row>
        <row r="70">
          <cell r="A70" t="str">
            <v>J1AAFAB01207305</v>
          </cell>
          <cell r="B70" t="str">
            <v>GA-770 BR　L=730.5</v>
          </cell>
        </row>
        <row r="71">
          <cell r="A71" t="str">
            <v>J1AAFAB01207455</v>
          </cell>
          <cell r="B71" t="str">
            <v>GA-770 BR　L=745.5</v>
          </cell>
        </row>
        <row r="72">
          <cell r="A72" t="str">
            <v>J1AAFAB02204090</v>
          </cell>
          <cell r="B72" t="str">
            <v>WD3104A KC L=409</v>
          </cell>
        </row>
        <row r="73">
          <cell r="A73" t="str">
            <v>J1AAFAB02205005</v>
          </cell>
          <cell r="B73" t="str">
            <v>WD3104A KC　L=500.5</v>
          </cell>
        </row>
        <row r="74">
          <cell r="A74" t="str">
            <v>J1AAFAB02304090</v>
          </cell>
          <cell r="B74" t="str">
            <v>WD3104A BK　L=409</v>
          </cell>
        </row>
        <row r="75">
          <cell r="A75" t="str">
            <v>J1AAFAB02305005</v>
          </cell>
          <cell r="B75" t="str">
            <v>WD3104A BR(BK)　L=500.5</v>
          </cell>
        </row>
        <row r="76">
          <cell r="A76" t="str">
            <v>J1AAFAB02309000</v>
          </cell>
          <cell r="B76" t="str">
            <v>WD3104A BR(BK)　L=900</v>
          </cell>
        </row>
        <row r="77">
          <cell r="A77" t="str">
            <v>J1AAFAB02306890</v>
          </cell>
          <cell r="B77" t="str">
            <v>WD3104A BR(BK)　L=689</v>
          </cell>
        </row>
        <row r="78">
          <cell r="A78" t="str">
            <v>J1ZFAAB00203360</v>
          </cell>
          <cell r="B78" t="str">
            <v>GA9344/PYTB554K　L=336</v>
          </cell>
        </row>
        <row r="79">
          <cell r="A79" t="str">
            <v>J1ZFAAB00203860</v>
          </cell>
          <cell r="B79" t="str">
            <v>GA9344/PYTB554K　L=386</v>
          </cell>
        </row>
        <row r="80">
          <cell r="A80" t="str">
            <v>J1HFHBB01407100</v>
          </cell>
          <cell r="B80" t="str">
            <v>ｼﾞｮｲﾝﾄﾁｭ-ﾌﾞ5号　L=710</v>
          </cell>
        </row>
        <row r="81">
          <cell r="A81" t="str">
            <v>J1HFHBB01603400</v>
          </cell>
          <cell r="B81" t="str">
            <v>ｼﾞｮｲﾝﾄﾁｭ-ﾌﾞ2号　L=340</v>
          </cell>
        </row>
        <row r="82">
          <cell r="A82" t="str">
            <v>J1HFHBB01704200</v>
          </cell>
          <cell r="B82" t="str">
            <v>ｼﾞｮｲﾝﾄﾁｭ-ﾌﾞ3号　L=420</v>
          </cell>
        </row>
        <row r="83">
          <cell r="A83" t="str">
            <v>J1HFHBB01802500</v>
          </cell>
          <cell r="B83" t="str">
            <v>ｼﾞｮｲﾝﾄﾁｭ-ﾌﾞ1号　L=250</v>
          </cell>
        </row>
        <row r="84">
          <cell r="A84" t="str">
            <v>J1ECZZB00105300</v>
          </cell>
          <cell r="B84" t="str">
            <v>L型ｱﾝｸﾞﾙ　P-VH-C　L=530</v>
          </cell>
        </row>
        <row r="85">
          <cell r="A85" t="str">
            <v>J1ECZZB00105900</v>
          </cell>
          <cell r="B85" t="str">
            <v>L型ｱﾝｸﾞﾙ　WT-42B　L=590</v>
          </cell>
        </row>
        <row r="86">
          <cell r="A86" t="str">
            <v>J1ECZZB00106000</v>
          </cell>
          <cell r="B86" t="str">
            <v>L型ｱﾝｸﾞﾙ　P-VH-E　L=600</v>
          </cell>
        </row>
        <row r="87">
          <cell r="A87" t="str">
            <v>J1ECZZB00106900</v>
          </cell>
          <cell r="B87" t="str">
            <v>L型ｱﾝｸﾞﾙ　P-VH-56D　L=690</v>
          </cell>
        </row>
        <row r="88">
          <cell r="A88" t="str">
            <v>J1ECZZB00107600</v>
          </cell>
          <cell r="B88" t="str">
            <v>L型ｱﾝｸﾞﾙ　WT-56B　L=760</v>
          </cell>
        </row>
        <row r="89">
          <cell r="A89" t="str">
            <v>J1ECZZB00110180</v>
          </cell>
          <cell r="B89" t="str">
            <v>L型ｱﾝｸﾞﾙ　P-VH-A　L=1018</v>
          </cell>
        </row>
        <row r="90">
          <cell r="A90" t="str">
            <v>J1AKACB01901980</v>
          </cell>
          <cell r="B90" t="str">
            <v>991HDP　198</v>
          </cell>
        </row>
        <row r="91">
          <cell r="A91" t="str">
            <v>J1AKACB02002640</v>
          </cell>
          <cell r="B91" t="str">
            <v>991GPK　264</v>
          </cell>
        </row>
        <row r="92">
          <cell r="A92" t="str">
            <v>J1AKACB02002680</v>
          </cell>
          <cell r="B92" t="str">
            <v>991GPK　268</v>
          </cell>
        </row>
        <row r="93">
          <cell r="A93" t="str">
            <v>J1AKACB02004140</v>
          </cell>
          <cell r="B93" t="str">
            <v>991GPK　414</v>
          </cell>
        </row>
        <row r="94">
          <cell r="A94" t="str">
            <v>J1AKACB02004180</v>
          </cell>
          <cell r="B94" t="str">
            <v>991GPK　418</v>
          </cell>
        </row>
        <row r="95">
          <cell r="A95" t="str">
            <v>J1AKACB02005650</v>
          </cell>
          <cell r="B95" t="str">
            <v>991GPK　565</v>
          </cell>
        </row>
        <row r="96">
          <cell r="A96" t="str">
            <v>J1AKACB02005680</v>
          </cell>
          <cell r="B96" t="str">
            <v>991GPK　568</v>
          </cell>
        </row>
        <row r="97">
          <cell r="A97" t="str">
            <v>J1AKACB02007150</v>
          </cell>
          <cell r="B97" t="str">
            <v>991GPK　715</v>
          </cell>
        </row>
        <row r="98">
          <cell r="A98" t="str">
            <v>J1AKACB02007180</v>
          </cell>
          <cell r="B98" t="str">
            <v>991GPK　718</v>
          </cell>
        </row>
        <row r="99">
          <cell r="A99" t="str">
            <v>J1AKACB02008650</v>
          </cell>
          <cell r="B99" t="str">
            <v>991GPK　865</v>
          </cell>
        </row>
        <row r="100">
          <cell r="A100" t="str">
            <v>J1AKACB02008680</v>
          </cell>
          <cell r="B100" t="str">
            <v>991GPK　868</v>
          </cell>
        </row>
        <row r="101">
          <cell r="A101" t="str">
            <v>J1AKACB02010150</v>
          </cell>
          <cell r="B101" t="str">
            <v>991GPK　1015</v>
          </cell>
        </row>
        <row r="102">
          <cell r="A102" t="str">
            <v>J1AKACB02010180</v>
          </cell>
          <cell r="B102" t="str">
            <v>991GPK　1018</v>
          </cell>
        </row>
        <row r="103">
          <cell r="A103" t="str">
            <v>J1AKACB03502640</v>
          </cell>
          <cell r="B103" t="str">
            <v>752GPSB　265</v>
          </cell>
        </row>
        <row r="104">
          <cell r="A104" t="str">
            <v>J1AKACB03504140</v>
          </cell>
          <cell r="B104" t="str">
            <v>752GPSB　415</v>
          </cell>
        </row>
        <row r="105">
          <cell r="A105" t="str">
            <v>J1AKACB03505640</v>
          </cell>
          <cell r="B105" t="str">
            <v>752GPSB　565</v>
          </cell>
        </row>
        <row r="106">
          <cell r="A106" t="str">
            <v>J1AKACB03506640</v>
          </cell>
          <cell r="B106" t="str">
            <v>752GPSB　665</v>
          </cell>
        </row>
        <row r="107">
          <cell r="A107" t="str">
            <v>J1AKACB03507140</v>
          </cell>
          <cell r="B107" t="str">
            <v>752GPSB　715</v>
          </cell>
        </row>
        <row r="108">
          <cell r="A108" t="str">
            <v>J1AKACB03508640</v>
          </cell>
          <cell r="B108" t="str">
            <v>752GPSB　865</v>
          </cell>
        </row>
        <row r="109">
          <cell r="A109" t="str">
            <v>J1EKACB10604140</v>
          </cell>
          <cell r="B109" t="str">
            <v>003GPDG　414</v>
          </cell>
        </row>
        <row r="110">
          <cell r="A110" t="str">
            <v>J1EKACB20305190</v>
          </cell>
          <cell r="B110" t="str">
            <v>002EGAW　519</v>
          </cell>
        </row>
        <row r="111">
          <cell r="A111" t="str">
            <v>J1EKACB20306310</v>
          </cell>
          <cell r="B111" t="str">
            <v>002EGAW　631</v>
          </cell>
        </row>
        <row r="112">
          <cell r="A112" t="str">
            <v>J1EKACB01302040</v>
          </cell>
          <cell r="B112" t="str">
            <v>002EGDG　204</v>
          </cell>
        </row>
        <row r="113">
          <cell r="A113" t="str">
            <v>J1EKACB20802690</v>
          </cell>
          <cell r="B113" t="str">
            <v>051GPW　269(ｽﾀ)　</v>
          </cell>
        </row>
        <row r="114">
          <cell r="A114" t="str">
            <v>J1EKACB20804190</v>
          </cell>
          <cell r="B114" t="str">
            <v>051GPW　419(ｽﾀ)</v>
          </cell>
        </row>
        <row r="115">
          <cell r="A115" t="str">
            <v>J1EKACB20805670</v>
          </cell>
          <cell r="B115" t="str">
            <v>051GPW　567(ｽﾀ)</v>
          </cell>
        </row>
        <row r="116">
          <cell r="A116" t="str">
            <v>J1EKACB20805690</v>
          </cell>
          <cell r="B116" t="str">
            <v>051GPW　569</v>
          </cell>
        </row>
        <row r="117">
          <cell r="A117" t="str">
            <v>J1EKACB20807150</v>
          </cell>
          <cell r="B117" t="str">
            <v>051GPW　715</v>
          </cell>
        </row>
        <row r="118">
          <cell r="A118" t="str">
            <v>J1EKACB20807190</v>
          </cell>
          <cell r="B118" t="str">
            <v>051GPW　719</v>
          </cell>
        </row>
        <row r="119">
          <cell r="A119" t="str">
            <v>J1EKACB20808680</v>
          </cell>
          <cell r="B119" t="str">
            <v>051GPW　868</v>
          </cell>
        </row>
        <row r="120">
          <cell r="A120" t="str">
            <v>J1EKACB20810140</v>
          </cell>
          <cell r="B120" t="str">
            <v>051GPW　1014</v>
          </cell>
        </row>
        <row r="121">
          <cell r="A121" t="str">
            <v>J1EKACB20810180</v>
          </cell>
          <cell r="B121" t="str">
            <v>051GPW　1018</v>
          </cell>
        </row>
        <row r="122">
          <cell r="A122" t="str">
            <v>J1EKACB20811640</v>
          </cell>
          <cell r="B122" t="str">
            <v>051GPW　1164</v>
          </cell>
        </row>
        <row r="123">
          <cell r="A123" t="str">
            <v>J1EKACB22204150</v>
          </cell>
          <cell r="B123" t="str">
            <v>001EGAW　415</v>
          </cell>
        </row>
        <row r="124">
          <cell r="A124" t="str">
            <v>J1EKACB22205080</v>
          </cell>
          <cell r="B124" t="str">
            <v>001EGAW　508</v>
          </cell>
        </row>
        <row r="125">
          <cell r="A125" t="str">
            <v>J1EKACB22205650</v>
          </cell>
          <cell r="B125" t="str">
            <v>001EGAW　565</v>
          </cell>
        </row>
        <row r="126">
          <cell r="A126" t="str">
            <v>J1EKACB22206330</v>
          </cell>
          <cell r="B126" t="str">
            <v>001EGAW　633</v>
          </cell>
        </row>
        <row r="127">
          <cell r="A127" t="str">
            <v>J1EKACB22206520</v>
          </cell>
          <cell r="B127" t="str">
            <v>001EGAW　652</v>
          </cell>
        </row>
        <row r="128">
          <cell r="A128" t="str">
            <v>J1EKACB22206650</v>
          </cell>
          <cell r="B128" t="str">
            <v>001EGAW　665</v>
          </cell>
        </row>
        <row r="129">
          <cell r="A129" t="str">
            <v>J1EKACB22207150</v>
          </cell>
          <cell r="B129" t="str">
            <v>001EGAW　715</v>
          </cell>
        </row>
        <row r="130">
          <cell r="A130" t="str">
            <v>J1AAEDB00816080</v>
          </cell>
          <cell r="B130" t="str">
            <v>MDP-689B L1　L=1608</v>
          </cell>
        </row>
        <row r="131">
          <cell r="A131" t="str">
            <v>J1AAEDB00816620</v>
          </cell>
          <cell r="B131" t="str">
            <v>MDP-689B L2　L=1662</v>
          </cell>
        </row>
        <row r="132">
          <cell r="A132" t="str">
            <v>J1AAEDB02816080</v>
          </cell>
          <cell r="B132" t="str">
            <v>MDPQ-689B L1　L=1608</v>
          </cell>
        </row>
        <row r="133">
          <cell r="A133" t="str">
            <v>J1AAEDB02816620</v>
          </cell>
          <cell r="B133" t="str">
            <v>MDPQ-689B L2　L=1662</v>
          </cell>
        </row>
        <row r="134">
          <cell r="A134" t="str">
            <v>J1AAEDB01716040</v>
          </cell>
          <cell r="B134" t="str">
            <v>MDP-688A L1　L=1604</v>
          </cell>
        </row>
        <row r="135">
          <cell r="A135" t="str">
            <v>J1AAEDB01716580</v>
          </cell>
          <cell r="B135" t="str">
            <v>MDP-688A L2　L=1658</v>
          </cell>
        </row>
        <row r="136">
          <cell r="A136" t="str">
            <v>J1AAEDB02516040</v>
          </cell>
          <cell r="B136" t="str">
            <v>MDPQ-688A L1　L=1604</v>
          </cell>
        </row>
        <row r="137">
          <cell r="A137" t="str">
            <v>J1AAEDB02516580</v>
          </cell>
          <cell r="B137" t="str">
            <v>MDPQ-688A L2　L=1658</v>
          </cell>
        </row>
        <row r="138">
          <cell r="A138" t="str">
            <v>J1AAZDB00301000</v>
          </cell>
          <cell r="B138" t="str">
            <v>BMPU-245　L=100</v>
          </cell>
        </row>
        <row r="139">
          <cell r="A139" t="str">
            <v>J1AAZDB00501000</v>
          </cell>
          <cell r="B139" t="str">
            <v>PRPU-418　L=100</v>
          </cell>
        </row>
        <row r="140">
          <cell r="A140" t="str">
            <v>J1AZLDB00122810</v>
          </cell>
          <cell r="B140" t="str">
            <v>QDNT-284A L2　L=2281</v>
          </cell>
        </row>
        <row r="141">
          <cell r="A141" t="str">
            <v>J1AZLDB00123150</v>
          </cell>
          <cell r="B141" t="str">
            <v>QDNT-284A L1　L=2315</v>
          </cell>
        </row>
        <row r="142">
          <cell r="A142" t="str">
            <v>J1AZLDB00123980</v>
          </cell>
          <cell r="B142" t="str">
            <v>QDNT-284A LT　L=2398</v>
          </cell>
        </row>
        <row r="143">
          <cell r="A143" t="str">
            <v>J1AZLDB00127400</v>
          </cell>
          <cell r="B143" t="str">
            <v>QDNT-284A LT2　L=2740</v>
          </cell>
        </row>
        <row r="144">
          <cell r="A144" t="str">
            <v>J1AZLDB00422660</v>
          </cell>
          <cell r="B144" t="str">
            <v>DHCT-147 L1　L=2266</v>
          </cell>
        </row>
        <row r="145">
          <cell r="A145" t="str">
            <v>J1AZLDB00422975</v>
          </cell>
          <cell r="B145" t="str">
            <v>DHCT-147 L3　L=2297.5</v>
          </cell>
        </row>
        <row r="146">
          <cell r="A146" t="str">
            <v>J1AZLDB00522670</v>
          </cell>
          <cell r="B146" t="str">
            <v>DHCT-136　L=2267</v>
          </cell>
        </row>
        <row r="147">
          <cell r="A147" t="str">
            <v>J1AZLDB00522985</v>
          </cell>
          <cell r="B147" t="str">
            <v>DHCT-136 L1　L=2298.5</v>
          </cell>
        </row>
        <row r="148">
          <cell r="A148" t="str">
            <v>J1AZLDB00719940</v>
          </cell>
          <cell r="B148" t="str">
            <v>DHCT-328RL1　L=1994</v>
          </cell>
        </row>
        <row r="149">
          <cell r="A149" t="str">
            <v>J1AZLDB00800790</v>
          </cell>
          <cell r="B149" t="str">
            <v>DHCT-329L1　L=79</v>
          </cell>
        </row>
        <row r="150">
          <cell r="A150" t="str">
            <v>J1AZLDB00901030</v>
          </cell>
          <cell r="B150" t="str">
            <v>DHCT-329L2　L=103</v>
          </cell>
        </row>
        <row r="151">
          <cell r="A151" t="str">
            <v>J1AZLDB01719950</v>
          </cell>
          <cell r="B151" t="str">
            <v>DHCT-397 L1　L=1995</v>
          </cell>
        </row>
        <row r="152">
          <cell r="A152" t="str">
            <v>J1AZLDB01818880</v>
          </cell>
          <cell r="B152" t="str">
            <v>DHCT-397 LL2　L=1888</v>
          </cell>
        </row>
        <row r="153">
          <cell r="A153" t="str">
            <v>J1AZLDB01900860</v>
          </cell>
          <cell r="B153" t="str">
            <v>DHCT-398　L=86</v>
          </cell>
        </row>
        <row r="154">
          <cell r="A154" t="str">
            <v>J1AZLDB02023080</v>
          </cell>
          <cell r="B154" t="str">
            <v>DHCT-409 L1　L=2308</v>
          </cell>
        </row>
        <row r="155">
          <cell r="A155" t="str">
            <v>J1AZLDB02118880</v>
          </cell>
          <cell r="B155" t="str">
            <v>DHCT-397 RL2　L=1888</v>
          </cell>
        </row>
        <row r="156">
          <cell r="A156" t="str">
            <v>J1AZLDB02600990</v>
          </cell>
          <cell r="B156" t="str">
            <v>DHCT-548L3　L=99</v>
          </cell>
        </row>
        <row r="157">
          <cell r="A157" t="str">
            <v>J1AZLDB02601075</v>
          </cell>
          <cell r="B157" t="str">
            <v>DHCT-548L1　L=107.5</v>
          </cell>
        </row>
        <row r="158">
          <cell r="A158" t="str">
            <v>J1AZLDB02601235</v>
          </cell>
          <cell r="B158" t="str">
            <v>DHCT-548L4　L=123.5</v>
          </cell>
        </row>
        <row r="159">
          <cell r="A159" t="str">
            <v>J1AZLDB02601320</v>
          </cell>
          <cell r="B159" t="str">
            <v>DHCT-548L2　L=132</v>
          </cell>
        </row>
        <row r="160">
          <cell r="A160" t="str">
            <v>J1AZLDB02603340</v>
          </cell>
          <cell r="B160" t="str">
            <v>DHCT-547L1　L=334</v>
          </cell>
        </row>
        <row r="161">
          <cell r="A161" t="str">
            <v>J1AZLDB02603460</v>
          </cell>
          <cell r="B161" t="str">
            <v>DHCT-547L2　L=346</v>
          </cell>
        </row>
        <row r="162">
          <cell r="A162" t="str">
            <v>J1AZLDB02702240</v>
          </cell>
          <cell r="B162" t="str">
            <v>DHCT-691 L1　L=224</v>
          </cell>
        </row>
        <row r="163">
          <cell r="A163" t="str">
            <v>J1AZLDB00523605</v>
          </cell>
          <cell r="B163" t="str">
            <v>DHDT-186　L=2360.5</v>
          </cell>
        </row>
        <row r="164">
          <cell r="A164" t="str">
            <v>J1AZLDB03201160</v>
          </cell>
          <cell r="B164" t="str">
            <v>QDQT-509 L1　L=116</v>
          </cell>
        </row>
        <row r="165">
          <cell r="A165" t="str">
            <v>J1AZLDB03202380</v>
          </cell>
          <cell r="B165" t="str">
            <v>QDQT-509 L2　L=238</v>
          </cell>
        </row>
        <row r="166">
          <cell r="A166" t="str">
            <v>J1AZLDB03300780</v>
          </cell>
          <cell r="B166" t="str">
            <v>QDQT-515 L3   L=78  　　</v>
          </cell>
        </row>
        <row r="167">
          <cell r="A167" t="str">
            <v>J1AZLDB03301280</v>
          </cell>
          <cell r="B167" t="str">
            <v>QDQT-515 L2   L=128     　　</v>
          </cell>
        </row>
        <row r="168">
          <cell r="A168" t="str">
            <v>J1AZLDB03305440</v>
          </cell>
          <cell r="B168" t="str">
            <v>QDQT-515 L1　L=544　</v>
          </cell>
        </row>
        <row r="169">
          <cell r="A169" t="str">
            <v>J1EAZDB00102000</v>
          </cell>
          <cell r="B169" t="str">
            <v>QDN-487　L=200</v>
          </cell>
        </row>
        <row r="170">
          <cell r="A170" t="str">
            <v>J4AAMWB01504140</v>
          </cell>
          <cell r="B170" t="str">
            <v>AM-O-0744-KC1　L=414</v>
          </cell>
        </row>
        <row r="171">
          <cell r="A171" t="str">
            <v>J4AAMWB02707690</v>
          </cell>
          <cell r="B171" t="str">
            <v>AM-O-0807-KC1　L=769</v>
          </cell>
        </row>
        <row r="172">
          <cell r="A172" t="str">
            <v>J1AEFZB00205250</v>
          </cell>
          <cell r="B172" t="str">
            <v>脚ﾊﾟｲﾌﾟPVC　L=525</v>
          </cell>
        </row>
        <row r="173">
          <cell r="A173" t="str">
            <v>J1AEFZB00205750</v>
          </cell>
          <cell r="B173" t="str">
            <v>脚ﾊﾟｲﾌﾟPVC　L=575</v>
          </cell>
        </row>
        <row r="174">
          <cell r="A174" t="str">
            <v>J1AAFAB01299999</v>
          </cell>
          <cell r="B174" t="str">
            <v>GA-770 (特注)BR</v>
          </cell>
        </row>
        <row r="175">
          <cell r="A175" t="str">
            <v>J1AAFAB01199999</v>
          </cell>
          <cell r="B175" t="str">
            <v>GA-770 (特注)BK</v>
          </cell>
        </row>
        <row r="176">
          <cell r="A176" t="str">
            <v>J1JAZZB05605540</v>
          </cell>
          <cell r="B176" t="str">
            <v>ランプシェード　SL-600</v>
          </cell>
        </row>
        <row r="177">
          <cell r="A177" t="str">
            <v>zz001</v>
          </cell>
          <cell r="B177" t="str">
            <v>灯具カバーPC  　特注　 L=503</v>
          </cell>
        </row>
        <row r="178">
          <cell r="A178" t="str">
            <v>zz002</v>
          </cell>
          <cell r="B178" t="str">
            <v>灯具カバーPC  　特注　 L=669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37" workbookViewId="0">
      <selection activeCell="D43" sqref="D43:D44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2"/>
      <c r="B1" s="140" t="s">
        <v>0</v>
      </c>
      <c r="C1" s="80"/>
      <c r="D1" s="80"/>
      <c r="E1" s="12"/>
      <c r="F1" s="12"/>
      <c r="G1" s="12"/>
      <c r="H1" s="12"/>
      <c r="I1" s="12"/>
      <c r="J1" s="12"/>
    </row>
    <row r="2" spans="1:10" ht="14.25" customHeight="1" thickTop="1">
      <c r="A2" s="13"/>
      <c r="B2" s="80"/>
      <c r="C2" s="80"/>
      <c r="D2" s="80"/>
      <c r="E2" s="13"/>
      <c r="F2" s="13"/>
      <c r="G2" s="13"/>
      <c r="H2" s="13"/>
      <c r="I2" s="13"/>
      <c r="J2" s="13"/>
    </row>
    <row r="3" spans="1:10" ht="14.25" customHeight="1">
      <c r="A3" s="86" t="s">
        <v>1</v>
      </c>
      <c r="B3" s="86" t="s">
        <v>2</v>
      </c>
      <c r="C3" s="86" t="s">
        <v>3</v>
      </c>
      <c r="D3" s="137">
        <v>520</v>
      </c>
      <c r="E3" s="86" t="s">
        <v>4</v>
      </c>
      <c r="F3" s="135" t="s">
        <v>5</v>
      </c>
      <c r="G3" s="80"/>
      <c r="H3" s="97"/>
      <c r="I3" s="14" t="s">
        <v>6</v>
      </c>
      <c r="J3" s="14" t="s">
        <v>7</v>
      </c>
    </row>
    <row r="4" spans="1:10" ht="14.25" customHeight="1">
      <c r="A4" s="80"/>
      <c r="B4" s="80"/>
      <c r="C4" s="80"/>
      <c r="D4" s="80"/>
      <c r="E4" s="80"/>
      <c r="F4" s="80"/>
      <c r="G4" s="80"/>
      <c r="H4" s="97"/>
      <c r="I4" s="94"/>
      <c r="J4" s="94"/>
    </row>
    <row r="5" spans="1:10" ht="17.45" customHeight="1">
      <c r="A5" s="83" t="s">
        <v>8</v>
      </c>
      <c r="B5" s="83" t="s">
        <v>9</v>
      </c>
      <c r="E5" s="83" t="s">
        <v>10</v>
      </c>
      <c r="F5" s="96" t="s">
        <v>11</v>
      </c>
      <c r="G5" s="80"/>
      <c r="H5" s="97"/>
      <c r="I5" s="95"/>
      <c r="J5" s="95"/>
    </row>
    <row r="6" spans="1:10" ht="17.45" customHeight="1">
      <c r="A6" s="80"/>
      <c r="B6" s="80"/>
      <c r="E6" s="80"/>
      <c r="F6" s="80"/>
      <c r="G6" s="80"/>
      <c r="H6" s="97"/>
      <c r="I6" s="15"/>
      <c r="J6" s="15"/>
    </row>
    <row r="7" spans="1:10" ht="17.45" customHeight="1">
      <c r="A7" s="83" t="s">
        <v>12</v>
      </c>
      <c r="B7" s="83" t="s">
        <v>13</v>
      </c>
      <c r="E7" s="2" t="s">
        <v>14</v>
      </c>
      <c r="F7" s="102" t="s">
        <v>15</v>
      </c>
      <c r="G7" s="80"/>
      <c r="H7" s="22"/>
    </row>
    <row r="8" spans="1:10" ht="17.45" customHeight="1">
      <c r="A8" s="80"/>
      <c r="B8" s="80"/>
      <c r="E8" s="2" t="s">
        <v>16</v>
      </c>
      <c r="F8" s="22" t="s">
        <v>17</v>
      </c>
      <c r="G8" s="22"/>
      <c r="H8" s="22"/>
    </row>
    <row r="9" spans="1:10" ht="17.45" customHeight="1">
      <c r="A9" s="2" t="s">
        <v>18</v>
      </c>
      <c r="B9" s="4">
        <v>45835</v>
      </c>
      <c r="E9" s="2" t="s">
        <v>19</v>
      </c>
      <c r="F9" s="85">
        <v>100</v>
      </c>
      <c r="G9" s="80"/>
      <c r="H9" s="22"/>
    </row>
    <row r="10" spans="1:10" ht="17.45" customHeight="1">
      <c r="A10" s="2" t="s">
        <v>20</v>
      </c>
      <c r="B10" s="4">
        <v>45835</v>
      </c>
      <c r="E10" s="2" t="s">
        <v>21</v>
      </c>
      <c r="F10" s="22">
        <v>4</v>
      </c>
      <c r="G10" s="98" t="s">
        <v>22</v>
      </c>
      <c r="H10" s="103">
        <v>400</v>
      </c>
      <c r="I10" s="104"/>
      <c r="J10" s="105"/>
    </row>
    <row r="11" spans="1:10" ht="17.45" customHeight="1">
      <c r="A11" s="20"/>
      <c r="B11" s="21"/>
      <c r="C11" s="21"/>
      <c r="D11" s="21"/>
      <c r="E11" s="2" t="s">
        <v>23</v>
      </c>
      <c r="F11" s="22" t="s">
        <v>24</v>
      </c>
      <c r="G11" s="99"/>
      <c r="H11" s="99"/>
      <c r="I11" s="106"/>
      <c r="J11" s="107"/>
    </row>
    <row r="12" spans="1:10" ht="13.5" customHeight="1">
      <c r="A12" s="133" t="s">
        <v>25</v>
      </c>
      <c r="B12" s="80"/>
      <c r="C12" s="80"/>
      <c r="D12" s="21"/>
      <c r="F12" s="3"/>
      <c r="G12" s="100" t="s">
        <v>26</v>
      </c>
      <c r="H12" s="141" t="s">
        <v>27</v>
      </c>
      <c r="I12" s="142" t="s">
        <v>28</v>
      </c>
      <c r="J12" s="97"/>
    </row>
    <row r="13" spans="1:10" ht="13.5" customHeight="1">
      <c r="A13" s="80"/>
      <c r="B13" s="80"/>
      <c r="C13" s="80"/>
      <c r="D13" s="21"/>
      <c r="F13" s="3"/>
      <c r="G13" s="101"/>
      <c r="H13" s="101"/>
      <c r="I13" s="106"/>
      <c r="J13" s="107"/>
    </row>
    <row r="14" spans="1:10" ht="13.5" customHeight="1">
      <c r="A14" s="1" t="s">
        <v>29</v>
      </c>
    </row>
    <row r="15" spans="1:10" ht="63" customHeight="1" thickBot="1">
      <c r="A15" s="138"/>
      <c r="B15" s="139"/>
      <c r="C15" s="139"/>
      <c r="D15" s="139"/>
      <c r="E15" s="139"/>
      <c r="F15" s="139"/>
      <c r="G15" s="139"/>
      <c r="H15" s="139"/>
      <c r="I15" s="139"/>
      <c r="J15" s="139"/>
    </row>
    <row r="16" spans="1:10" ht="18.75">
      <c r="A16" s="24" t="s">
        <v>30</v>
      </c>
      <c r="B16" s="17" t="s">
        <v>31</v>
      </c>
      <c r="C16" s="88" t="s">
        <v>32</v>
      </c>
      <c r="D16" s="89"/>
      <c r="E16" s="17" t="s">
        <v>33</v>
      </c>
      <c r="F16" s="88" t="s">
        <v>34</v>
      </c>
      <c r="G16" s="89"/>
      <c r="H16" s="89"/>
      <c r="I16" s="136" t="s">
        <v>35</v>
      </c>
      <c r="J16" s="89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3">
        <v>1</v>
      </c>
      <c r="B18" s="25" t="s">
        <v>36</v>
      </c>
      <c r="C18" s="79" t="s">
        <v>37</v>
      </c>
      <c r="D18" s="92"/>
      <c r="E18" s="25" t="s">
        <v>38</v>
      </c>
      <c r="F18" s="79" t="s">
        <v>39</v>
      </c>
      <c r="G18" s="92"/>
      <c r="H18" s="92"/>
      <c r="I18" s="90"/>
      <c r="J18" s="92"/>
    </row>
    <row r="19" spans="1:10" s="7" customFormat="1" ht="16.5" customHeight="1">
      <c r="A19" s="23">
        <v>1</v>
      </c>
      <c r="B19" s="26" t="s">
        <v>36</v>
      </c>
      <c r="C19" s="79" t="s">
        <v>37</v>
      </c>
      <c r="D19" s="92"/>
      <c r="E19" s="25" t="s">
        <v>40</v>
      </c>
      <c r="F19" s="79" t="s">
        <v>41</v>
      </c>
      <c r="G19" s="92"/>
      <c r="H19" s="92"/>
      <c r="I19" s="90"/>
      <c r="J19" s="92"/>
    </row>
    <row r="20" spans="1:10" s="7" customFormat="1" ht="16.5" customHeight="1">
      <c r="A20" s="23"/>
      <c r="B20" s="26"/>
      <c r="C20" s="79"/>
      <c r="D20" s="92"/>
      <c r="E20" s="25"/>
      <c r="F20" s="79"/>
      <c r="G20" s="92"/>
      <c r="H20" s="92"/>
      <c r="I20" s="90"/>
      <c r="J20" s="92"/>
    </row>
    <row r="21" spans="1:10" s="7" customFormat="1" ht="16.5" customHeight="1">
      <c r="A21" s="23"/>
      <c r="B21" s="26"/>
      <c r="C21" s="79"/>
      <c r="D21" s="92"/>
      <c r="E21" s="25"/>
      <c r="F21" s="79"/>
      <c r="G21" s="92"/>
      <c r="H21" s="92"/>
      <c r="I21" s="90"/>
      <c r="J21" s="92"/>
    </row>
    <row r="22" spans="1:10" s="7" customFormat="1" ht="16.5" customHeight="1">
      <c r="A22" s="23"/>
      <c r="B22" s="26"/>
      <c r="C22" s="79"/>
      <c r="D22" s="92"/>
      <c r="E22" s="25"/>
      <c r="F22" s="79"/>
      <c r="G22" s="92"/>
      <c r="H22" s="92"/>
      <c r="I22" s="90"/>
      <c r="J22" s="92"/>
    </row>
    <row r="23" spans="1:10" s="7" customFormat="1" ht="16.5" customHeight="1">
      <c r="A23" s="23"/>
      <c r="B23" s="26"/>
      <c r="C23" s="79"/>
      <c r="D23" s="92"/>
      <c r="E23" s="25"/>
      <c r="F23" s="79"/>
      <c r="G23" s="92"/>
      <c r="H23" s="92"/>
      <c r="I23" s="90"/>
      <c r="J23" s="92"/>
    </row>
    <row r="24" spans="1:10" ht="16.5" customHeight="1" thickBot="1">
      <c r="A24" s="16"/>
      <c r="B24" s="16"/>
      <c r="C24" s="16"/>
      <c r="D24" s="16"/>
      <c r="E24" s="16"/>
      <c r="F24" s="16"/>
      <c r="G24" s="16"/>
      <c r="H24" s="16"/>
      <c r="I24" s="16"/>
      <c r="J24" s="16"/>
    </row>
    <row r="25" spans="1:10" ht="18.75">
      <c r="A25" s="81" t="s">
        <v>42</v>
      </c>
      <c r="B25" s="82"/>
      <c r="C25" s="81" t="s">
        <v>43</v>
      </c>
      <c r="D25" s="82"/>
      <c r="E25" s="82"/>
      <c r="F25" s="18" t="s">
        <v>44</v>
      </c>
      <c r="G25" s="81" t="s">
        <v>45</v>
      </c>
      <c r="H25" s="82"/>
      <c r="I25" s="81" t="s">
        <v>46</v>
      </c>
      <c r="J25" s="82"/>
    </row>
    <row r="26" spans="1:10" ht="14.25" customHeight="1">
      <c r="A26" s="8"/>
      <c r="B26" s="19"/>
      <c r="C26" s="134" t="s">
        <v>47</v>
      </c>
      <c r="D26" s="106"/>
      <c r="E26" s="19"/>
      <c r="F26" s="134" t="s">
        <v>29</v>
      </c>
      <c r="G26" s="106"/>
      <c r="H26" s="106"/>
      <c r="I26" s="106"/>
      <c r="J26" s="106"/>
    </row>
    <row r="27" spans="1:10">
      <c r="A27" s="9"/>
      <c r="C27" s="7"/>
      <c r="D27" s="7"/>
      <c r="E27" s="7"/>
    </row>
    <row r="28" spans="1:10" s="5" customFormat="1" ht="14.25" customHeight="1">
      <c r="A28" s="79" t="s">
        <v>48</v>
      </c>
      <c r="B28" s="91"/>
      <c r="C28" s="79" t="s">
        <v>49</v>
      </c>
      <c r="D28" s="91"/>
      <c r="E28" s="91"/>
      <c r="F28" s="27" t="s">
        <v>50</v>
      </c>
      <c r="G28" s="87">
        <v>130</v>
      </c>
      <c r="H28" s="91"/>
      <c r="I28" s="87">
        <v>1.3</v>
      </c>
      <c r="J28" s="91"/>
    </row>
    <row r="29" spans="1:10" s="7" customFormat="1" ht="24.95" customHeight="1">
      <c r="A29" s="84" t="s">
        <v>51</v>
      </c>
      <c r="B29" s="92"/>
      <c r="C29" s="79" t="s">
        <v>11</v>
      </c>
      <c r="D29" s="92"/>
      <c r="E29" s="92"/>
      <c r="F29" s="79"/>
      <c r="G29" s="92"/>
      <c r="H29" s="92"/>
      <c r="I29" s="92"/>
      <c r="J29" s="92"/>
    </row>
    <row r="30" spans="1:10" s="5" customFormat="1" ht="14.25" customHeight="1">
      <c r="A30" s="93" t="s">
        <v>85</v>
      </c>
      <c r="B30" s="91"/>
      <c r="C30" s="79" t="s">
        <v>53</v>
      </c>
      <c r="D30" s="91"/>
      <c r="E30" s="91"/>
      <c r="F30" s="27" t="s">
        <v>27</v>
      </c>
      <c r="G30" s="87">
        <v>4</v>
      </c>
      <c r="H30" s="91"/>
      <c r="I30" s="87">
        <v>0.04</v>
      </c>
      <c r="J30" s="91"/>
    </row>
    <row r="31" spans="1:10" s="7" customFormat="1" ht="24.95" customHeight="1">
      <c r="A31" s="84" t="s">
        <v>54</v>
      </c>
      <c r="B31" s="92"/>
      <c r="C31" s="79"/>
      <c r="D31" s="92"/>
      <c r="E31" s="92"/>
      <c r="F31" s="79"/>
      <c r="G31" s="92"/>
      <c r="H31" s="92"/>
      <c r="I31" s="92"/>
      <c r="J31" s="92"/>
    </row>
    <row r="32" spans="1:10" s="5" customFormat="1" ht="14.25" customHeight="1">
      <c r="A32" s="79"/>
      <c r="B32" s="91"/>
      <c r="C32" s="79"/>
      <c r="D32" s="91"/>
      <c r="E32" s="91"/>
      <c r="F32" s="27"/>
      <c r="G32" s="87"/>
      <c r="H32" s="91"/>
      <c r="I32" s="87"/>
      <c r="J32" s="91"/>
    </row>
    <row r="33" spans="1:14" s="7" customFormat="1" ht="24.95" customHeight="1">
      <c r="A33" s="84"/>
      <c r="B33" s="92"/>
      <c r="C33" s="79"/>
      <c r="D33" s="92"/>
      <c r="E33" s="92"/>
      <c r="F33" s="79"/>
      <c r="G33" s="92"/>
      <c r="H33" s="92"/>
      <c r="I33" s="92"/>
      <c r="J33" s="92"/>
    </row>
    <row r="34" spans="1:14" s="5" customFormat="1" ht="14.25" customHeight="1">
      <c r="A34" s="79"/>
      <c r="B34" s="91"/>
      <c r="C34" s="79"/>
      <c r="D34" s="91"/>
      <c r="E34" s="91"/>
      <c r="F34" s="27"/>
      <c r="G34" s="87"/>
      <c r="H34" s="91"/>
      <c r="I34" s="87"/>
      <c r="J34" s="91"/>
    </row>
    <row r="35" spans="1:14" s="7" customFormat="1" ht="24.95" customHeight="1">
      <c r="A35" s="84"/>
      <c r="B35" s="92"/>
      <c r="C35" s="79"/>
      <c r="D35" s="92"/>
      <c r="E35" s="92"/>
      <c r="F35" s="79"/>
      <c r="G35" s="92"/>
      <c r="H35" s="92"/>
      <c r="I35" s="92"/>
      <c r="J35" s="92"/>
    </row>
    <row r="36" spans="1:14" s="5" customFormat="1" ht="14.25" customHeight="1">
      <c r="A36" s="79"/>
      <c r="B36" s="91"/>
      <c r="C36" s="79"/>
      <c r="D36" s="91"/>
      <c r="E36" s="91"/>
      <c r="F36" s="27"/>
      <c r="G36" s="87"/>
      <c r="H36" s="91"/>
      <c r="I36" s="87"/>
      <c r="J36" s="91"/>
    </row>
    <row r="37" spans="1:14" s="7" customFormat="1" ht="24.95" customHeight="1" thickBot="1">
      <c r="A37" s="84"/>
      <c r="B37" s="92"/>
      <c r="C37" s="79"/>
      <c r="D37" s="92"/>
      <c r="E37" s="92"/>
      <c r="F37" s="79"/>
      <c r="G37" s="92"/>
      <c r="H37" s="92"/>
      <c r="I37" s="92"/>
      <c r="J37" s="92"/>
    </row>
    <row r="38" spans="1:14" s="5" customFormat="1" ht="18" customHeight="1">
      <c r="A38" s="108" t="s">
        <v>88</v>
      </c>
      <c r="B38" s="109"/>
      <c r="C38" s="109"/>
      <c r="D38" s="110"/>
      <c r="E38" s="111" t="s">
        <v>89</v>
      </c>
      <c r="F38" s="112"/>
      <c r="G38" s="28"/>
      <c r="H38" s="113" t="s">
        <v>90</v>
      </c>
      <c r="I38" s="114"/>
      <c r="J38" s="29" t="s">
        <v>91</v>
      </c>
    </row>
    <row r="39" spans="1:14" s="7" customFormat="1" ht="18" customHeight="1">
      <c r="A39" s="115" t="str">
        <f>_xlfn.XLOOKUP(B3,[1]VFDB2!A:A,[1]VFDB2!B:B)</f>
        <v>L型ｱﾝｸﾞﾙ　P-VH-42D　L=520</v>
      </c>
      <c r="B39" s="116"/>
      <c r="C39" s="116"/>
      <c r="D39" s="117"/>
      <c r="E39" s="121" t="str" cm="1">
        <f t="array" ref="E39">IFERROR(IF(ISBLANK(INDEX(_xlfn._xlws.FILTER([1]加工記録２!$C$3:$C$445, [1]加工記録２!$T$3:$T$445=B5), 6)), "", INDEX(_xlfn._xlws.FILTER([1]加工記録２!$C$3:$C$445, [1]加工記録２!$T$3:$T$445=B5), 6)),"")</f>
        <v>S-30</v>
      </c>
      <c r="F39" s="122"/>
      <c r="G39" s="125" cm="1">
        <f t="array" ref="G39">IFERROR(IF(ISBLANK(INDEX(_xlfn._xlws.FILTER([1]加工記録２!$B$3:$B$445, [1]加工記録２!$T$3:$T$445=B5), 7)), "", INDEX(_xlfn._xlws.FILTER([1]加工記録２!$B$3:$B$445, [1]加工記録２!$T$3:$T$445=B5), 7)),"")</f>
        <v>4</v>
      </c>
      <c r="H39" s="30" t="s">
        <v>92</v>
      </c>
      <c r="I39" s="31" cm="1">
        <f t="array" ref="I39:J39">IFERROR(IF(ISBLANK(INDEX(_xlfn._xlws.FILTER([1]加工記録２!$O$3:$P$445, [1]加工記録２!$T$3:$T$445=B5), 1)), "", INDEX(_xlfn._xlws.FILTER([1]加工記録２!$O$3:$P$445, [1]加工記録２!$T$3:$T$445=B5), 1)),"")</f>
        <v>45828</v>
      </c>
      <c r="J39" s="32" t="str">
        <v/>
      </c>
    </row>
    <row r="40" spans="1:14" s="5" customFormat="1" ht="18" customHeight="1">
      <c r="A40" s="118"/>
      <c r="B40" s="119"/>
      <c r="C40" s="119"/>
      <c r="D40" s="120"/>
      <c r="E40" s="123"/>
      <c r="F40" s="124"/>
      <c r="G40" s="126"/>
      <c r="H40" s="30" t="s">
        <v>93</v>
      </c>
      <c r="I40" s="33" cm="1">
        <f t="array" ref="I40:J40">IFERROR(IF(ISBLANK(INDEX(_xlfn._xlws.FILTER([1]加工記録２!$O$3:$P$445, [1]加工記録２!$T$3:$T$445=B5), 2)), "", INDEX(_xlfn._xlws.FILTER([1]加工記録２!$O$3:$P$445, [1]加工記録２!$T$3:$T$445=B5), 2)),"")</f>
        <v>400</v>
      </c>
      <c r="J40" s="34" t="str">
        <v/>
      </c>
      <c r="K40" s="35"/>
    </row>
    <row r="41" spans="1:14" s="7" customFormat="1" ht="18" customHeight="1">
      <c r="A41" s="127" t="s">
        <v>94</v>
      </c>
      <c r="B41" s="129" t="str">
        <f>_xlfn.XLOOKUP(B3,[1]!テーブル5[品目コード],[1]!テーブル5[温度換算],,)</f>
        <v>-</v>
      </c>
      <c r="C41" s="131" t="s">
        <v>95</v>
      </c>
      <c r="D41" s="149">
        <v>3</v>
      </c>
      <c r="E41" s="121">
        <f>_xlfn.XLOOKUP(B3,[1]!テーブル5[品目コード],[1]!テーブル5[備考１],,)</f>
        <v>0</v>
      </c>
      <c r="F41" s="151"/>
      <c r="G41" s="152"/>
      <c r="H41" s="36" t="s">
        <v>96</v>
      </c>
      <c r="I41" s="33" cm="1">
        <f t="array" ref="I41:J41">IFERROR(IF(ISBLANK(INDEX(_xlfn._xlws.FILTER([1]加工記録２!$O$3:$P$445, [1]加工記録２!$T$3:$T$445=B5), 3)), "", INDEX(_xlfn._xlws.FILTER([1]加工記録２!$O$3:$P$445, [1]加工記録２!$T$3:$T$445=B5), 3)),"")</f>
        <v>134</v>
      </c>
      <c r="J41" s="37" t="str">
        <v/>
      </c>
      <c r="K41" s="38"/>
    </row>
    <row r="42" spans="1:14" s="5" customFormat="1" ht="18" customHeight="1">
      <c r="A42" s="128"/>
      <c r="B42" s="130"/>
      <c r="C42" s="132"/>
      <c r="D42" s="150"/>
      <c r="E42" s="123"/>
      <c r="F42" s="153"/>
      <c r="G42" s="154"/>
      <c r="H42" s="36" t="s">
        <v>97</v>
      </c>
      <c r="I42" s="33" cm="1">
        <f t="array" ref="I42:J42">IFERROR(IF(ISBLANK(INDEX(_xlfn._xlws.FILTER([1]加工記録２!$O$3:$P$445, [1]加工記録２!$T$3:$T$445=B5), 4)), "", INDEX(_xlfn._xlws.FILTER([1]加工記録２!$O$3:$P$445, [1]加工記録２!$T$3:$T$445=B5), 4)),"")</f>
        <v>0</v>
      </c>
      <c r="J42" s="39" t="str">
        <v/>
      </c>
      <c r="K42" s="35"/>
    </row>
    <row r="43" spans="1:14" s="7" customFormat="1" ht="18" customHeight="1">
      <c r="A43" s="155" t="s">
        <v>98</v>
      </c>
      <c r="B43" s="143">
        <f>D3</f>
        <v>520</v>
      </c>
      <c r="C43" s="145" t="s">
        <v>99</v>
      </c>
      <c r="D43" s="147">
        <f>_xlfn.XLOOKUP(B3,[1]!テーブル5[品目コード],[1]!テーブル5[上限公差],,)</f>
        <v>0</v>
      </c>
      <c r="E43" s="121" t="str">
        <f>_xlfn.XLOOKUP(B3,[1]!テーブル5[品目コード],[1]!テーブル5[備考２],,)</f>
        <v>※使用基材、取数は依頼書にて確認</v>
      </c>
      <c r="F43" s="151"/>
      <c r="G43" s="152"/>
      <c r="H43" s="36" t="s">
        <v>100</v>
      </c>
      <c r="I43" s="33" cm="1">
        <f t="array" ref="I43:J43">IFERROR(IF(ISBLANK(INDEX(_xlfn._xlws.FILTER([1]加工記録２!$O$3:$P$445, [1]加工記録２!$T$3:$T$445=B5), 5)), "", INDEX(_xlfn._xlws.FILTER([1]加工記録２!$O$3:$P$445, [1]加工記録２!$T$3:$T$445=B5), 5)),"")</f>
        <v>0</v>
      </c>
      <c r="J43" s="40" t="str">
        <v/>
      </c>
      <c r="K43" s="38"/>
    </row>
    <row r="44" spans="1:14" s="5" customFormat="1" ht="18" customHeight="1">
      <c r="A44" s="156"/>
      <c r="B44" s="144"/>
      <c r="C44" s="146"/>
      <c r="D44" s="148"/>
      <c r="E44" s="123"/>
      <c r="F44" s="153"/>
      <c r="G44" s="154"/>
      <c r="H44" s="36" t="s">
        <v>101</v>
      </c>
      <c r="I44" s="33" t="str" cm="1">
        <f t="array" ref="I44:J44">IFERROR(IF(ISBLANK(INDEX(_xlfn._xlws.FILTER([1]加工記録２!$O$3:$P$445, [1]加工記録２!$T$3:$T$445=B5), 6)), "", INDEX(_xlfn._xlws.FILTER([1]加工記録２!$O$3:$P$445, [1]加工記録２!$T$3:$T$445=B5), 6)),"")</f>
        <v/>
      </c>
      <c r="J44" s="41" t="str">
        <v/>
      </c>
      <c r="K44" s="35"/>
    </row>
    <row r="45" spans="1:14" s="7" customFormat="1" ht="18" customHeight="1">
      <c r="A45" s="127" t="s">
        <v>102</v>
      </c>
      <c r="B45" s="158">
        <f>_xlfn.XLOOKUP(B3,[1]!テーブル5[品目コード],[1]!テーブル5[切断寸法],,)</f>
        <v>519</v>
      </c>
      <c r="C45" s="160" t="s">
        <v>103</v>
      </c>
      <c r="D45" s="147">
        <f>_xlfn.XLOOKUP(B3,[1]!テーブル5[品目コード],[1]!テーブル5[下限公差],,)</f>
        <v>-3</v>
      </c>
      <c r="E45" s="121" t="str">
        <f>_xlfn.XLOOKUP(B3,[1]!テーブル5[品目コード],[1]!テーブル5[梱包方法],,)</f>
        <v>ラベル２枚　長手有　鉢巻無</v>
      </c>
      <c r="F45" s="151"/>
      <c r="G45" s="152"/>
      <c r="H45" s="36" t="s">
        <v>104</v>
      </c>
      <c r="I45" s="33" t="str" cm="1">
        <f t="array" ref="I45:J45">IFERROR(IF(ISBLANK(INDEX(_xlfn._xlws.FILTER([1]加工記録２!$O$3:$P$445, [1]加工記録２!$T$3:$T$445=B5), 7)), "", INDEX(_xlfn._xlws.FILTER([1]加工記録２!$O$3:$P$445, [1]加工記録２!$T$3:$T$445=B5), 7)),"")</f>
        <v>富田・水野</v>
      </c>
      <c r="J45" s="42" t="str">
        <v/>
      </c>
      <c r="K45" s="38"/>
    </row>
    <row r="46" spans="1:14" s="5" customFormat="1" ht="18" customHeight="1" thickBot="1">
      <c r="A46" s="157"/>
      <c r="B46" s="159"/>
      <c r="C46" s="161"/>
      <c r="D46" s="162"/>
      <c r="E46" s="163"/>
      <c r="F46" s="164"/>
      <c r="G46" s="165"/>
      <c r="H46" s="43" t="s">
        <v>105</v>
      </c>
      <c r="I46" s="44" t="str" cm="1">
        <f t="array" ref="I46:J46">IFERROR(IF(ISBLANK(INDEX(_xlfn._xlws.FILTER([1]加工記録２!$O$3:$P$445, [1]加工記録２!$T$3:$T$445=B5), 8)), "", INDEX(_xlfn._xlws.FILTER([1]加工記録２!$O$3:$P$445, [1]加工記録２!$T$3:$T$445=B5), 8)),"")</f>
        <v/>
      </c>
      <c r="J46" s="45">
        <v>0</v>
      </c>
    </row>
    <row r="47" spans="1:14" s="56" customFormat="1" ht="18.95" customHeight="1">
      <c r="A47" s="46" t="s">
        <v>106</v>
      </c>
      <c r="B47" s="47" t="s">
        <v>107</v>
      </c>
      <c r="C47" s="48" t="s">
        <v>108</v>
      </c>
      <c r="D47" s="48" t="s">
        <v>109</v>
      </c>
      <c r="E47" s="49" t="s">
        <v>110</v>
      </c>
      <c r="F47" s="50" t="s">
        <v>111</v>
      </c>
      <c r="G47" s="51" t="s">
        <v>112</v>
      </c>
      <c r="H47" s="52" t="s">
        <v>113</v>
      </c>
      <c r="I47" s="53" t="s">
        <v>114</v>
      </c>
      <c r="J47" s="54" t="s">
        <v>115</v>
      </c>
      <c r="K47" s="55"/>
      <c r="L47" s="55"/>
      <c r="M47" s="55"/>
      <c r="N47" s="55"/>
    </row>
    <row r="48" spans="1:14" s="67" customFormat="1" ht="18.95" customHeight="1">
      <c r="A48" s="57" t="str" cm="1">
        <f t="array" ref="A48:J48">IFERROR(IF(ISBLANK(INDEX(_xlfn._xlws.FILTER([1]加工記録２!$D$3:$M$445, [1]加工記録２!$T$3:$T$445=B5), 1)), "", INDEX(_xlfn._xlws.FILTER([1]加工記録２!$D$3:$M$445, [1]加工記録２!$T$3:$T$445=B5), 1)),"")</f>
        <v/>
      </c>
      <c r="B48" s="58" t="str">
        <v/>
      </c>
      <c r="C48" s="59" t="str">
        <v/>
      </c>
      <c r="D48" s="59" t="str">
        <v/>
      </c>
      <c r="E48" s="60" t="str">
        <v/>
      </c>
      <c r="F48" s="61" t="str">
        <v>25F11B</v>
      </c>
      <c r="G48" s="62">
        <v>402</v>
      </c>
      <c r="H48" s="63">
        <v>134</v>
      </c>
      <c r="I48" s="64">
        <v>45828</v>
      </c>
      <c r="J48" s="65">
        <v>4</v>
      </c>
      <c r="K48" s="66"/>
      <c r="L48" s="66"/>
      <c r="M48" s="66"/>
      <c r="N48" s="66"/>
    </row>
    <row r="49" spans="1:14" s="67" customFormat="1" ht="18.95" customHeight="1">
      <c r="A49" s="57" cm="1">
        <f t="array" ref="A49:J49">IFERROR(IF(ISBLANK(INDEX(_xlfn._xlws.FILTER([1]加工記録２!$D$3:$M$445, [1]加工記録２!$T$3:$T$445=B5), 2)), "", INDEX(_xlfn._xlws.FILTER([1]加工記録２!$D$3:$M$445, [1]加工記録２!$T$3:$T$445=B5), 2)),"")</f>
        <v>45828</v>
      </c>
      <c r="B49" s="62" t="str">
        <v>25F11B</v>
      </c>
      <c r="C49" s="62" t="str">
        <v/>
      </c>
      <c r="D49" s="62">
        <v>520</v>
      </c>
      <c r="E49" s="68">
        <v>519.51</v>
      </c>
      <c r="F49" s="61" t="str">
        <v/>
      </c>
      <c r="G49" s="62" t="str">
        <v/>
      </c>
      <c r="H49" s="63" t="str">
        <v/>
      </c>
      <c r="I49" s="64" t="str">
        <v/>
      </c>
      <c r="J49" s="65" t="str">
        <v/>
      </c>
      <c r="K49" s="66"/>
      <c r="L49" s="66"/>
      <c r="M49" s="66"/>
      <c r="N49" s="66"/>
    </row>
    <row r="50" spans="1:14" s="67" customFormat="1" ht="18.95" customHeight="1">
      <c r="A50" s="57" cm="1">
        <f t="array" ref="A50:J50">IFERROR(IF(ISBLANK(INDEX(_xlfn._xlws.FILTER([1]加工記録２!$D$3:$M$445, [1]加工記録２!$T$3:$T$445=B5), 3)), "", INDEX(_xlfn._xlws.FILTER([1]加工記録２!$D$3:$M$445, [1]加工記録２!$T$3:$T$445=B5), 3)),"")</f>
        <v>45828</v>
      </c>
      <c r="B50" s="62" t="str">
        <v>25F11B</v>
      </c>
      <c r="C50" s="62" t="str">
        <v/>
      </c>
      <c r="D50" s="62">
        <v>520</v>
      </c>
      <c r="E50" s="68">
        <v>519.61</v>
      </c>
      <c r="F50" s="61" t="str">
        <v/>
      </c>
      <c r="G50" s="62" t="str">
        <v/>
      </c>
      <c r="H50" s="63" t="str">
        <v/>
      </c>
      <c r="I50" s="64" t="str">
        <v/>
      </c>
      <c r="J50" s="65" t="str">
        <v/>
      </c>
      <c r="K50" s="66"/>
      <c r="L50" s="66"/>
      <c r="M50" s="66"/>
      <c r="N50" s="66"/>
    </row>
    <row r="51" spans="1:14" s="67" customFormat="1" ht="18.95" customHeight="1">
      <c r="A51" s="57" t="str" cm="1">
        <f t="array" ref="A51:J51">IFERROR(IF(ISBLANK(INDEX(_xlfn._xlws.FILTER([1]加工記録２!$D$3:$M$445, [1]加工記録２!$T$3:$T$445=B5), 4)), "", INDEX(_xlfn._xlws.FILTER([1]加工記録２!$D$3:$M$445, [1]加工記録２!$T$3:$T$445=B5), 4)),"")</f>
        <v/>
      </c>
      <c r="B51" s="62" t="str">
        <v/>
      </c>
      <c r="C51" s="62" t="str">
        <v/>
      </c>
      <c r="D51" s="62" t="str">
        <v/>
      </c>
      <c r="E51" s="68" t="str">
        <v/>
      </c>
      <c r="F51" s="61" t="str">
        <v/>
      </c>
      <c r="G51" s="62" t="str">
        <v/>
      </c>
      <c r="H51" s="63" t="str">
        <v/>
      </c>
      <c r="I51" s="64" t="str">
        <v/>
      </c>
      <c r="J51" s="65" t="str">
        <v/>
      </c>
      <c r="K51" s="66"/>
      <c r="L51" s="66"/>
      <c r="M51" s="66"/>
      <c r="N51" s="66"/>
    </row>
    <row r="52" spans="1:14" s="67" customFormat="1" ht="18.95" customHeight="1">
      <c r="A52" s="57" t="str" cm="1">
        <f t="array" ref="A52:J52">IFERROR(IF(ISBLANK(INDEX(_xlfn._xlws.FILTER([1]加工記録２!$D$3:$M$445, [1]加工記録２!$T$3:$T$445=B5), 5)), "", INDEX(_xlfn._xlws.FILTER([1]加工記録２!$D$3:$M$445, [1]加工記録２!$T$3:$T$445=B5), 5)),"")</f>
        <v/>
      </c>
      <c r="B52" s="62" t="str">
        <v/>
      </c>
      <c r="C52" s="62" t="str">
        <v/>
      </c>
      <c r="D52" s="62" t="str">
        <v/>
      </c>
      <c r="E52" s="68" t="str">
        <v/>
      </c>
      <c r="F52" s="61" t="str">
        <v/>
      </c>
      <c r="G52" s="62" t="str">
        <v/>
      </c>
      <c r="H52" s="63" t="str">
        <v/>
      </c>
      <c r="I52" s="69" t="str">
        <v/>
      </c>
      <c r="J52" s="70" t="str">
        <v/>
      </c>
      <c r="K52" s="66"/>
      <c r="L52" s="66"/>
      <c r="M52" s="66"/>
      <c r="N52" s="66"/>
    </row>
    <row r="53" spans="1:14" s="67" customFormat="1" ht="18.95" customHeight="1">
      <c r="A53" s="57" t="str" cm="1">
        <f t="array" ref="A53:J53">IFERROR(IF(ISBLANK(INDEX(_xlfn._xlws.FILTER([1]加工記録２!$D$3:$M$445, [1]加工記録２!$T$3:$T$445=B5), 6)), "", INDEX(_xlfn._xlws.FILTER([1]加工記録２!$D$3:$M$445, [1]加工記録２!$T$3:$T$445=B5), 6)),"")</f>
        <v/>
      </c>
      <c r="B53" s="62" t="str">
        <v/>
      </c>
      <c r="C53" s="62" t="str">
        <v/>
      </c>
      <c r="D53" s="62" t="str">
        <v/>
      </c>
      <c r="E53" s="68" t="str">
        <v/>
      </c>
      <c r="F53" s="61" t="str">
        <v/>
      </c>
      <c r="G53" s="62" t="str">
        <v/>
      </c>
      <c r="H53" s="71" t="str">
        <v/>
      </c>
      <c r="I53" s="69" t="str">
        <v/>
      </c>
      <c r="J53" s="70" t="str">
        <v/>
      </c>
      <c r="K53" s="66"/>
      <c r="L53" s="66"/>
      <c r="M53" s="66"/>
      <c r="N53" s="66"/>
    </row>
    <row r="54" spans="1:14" s="67" customFormat="1" ht="18.95" customHeight="1">
      <c r="A54" s="57" t="str" cm="1">
        <f t="array" ref="A54:J54">IFERROR(IF(ISBLANK(INDEX(_xlfn._xlws.FILTER([1]加工記録２!$D$3:$M$445, [1]加工記録２!$T$3:$T$445=B5), 7)), "", INDEX(_xlfn._xlws.FILTER([1]加工記録２!$D$3:$M$445, [1]加工記録２!$T$3:$T$445=B5), 7)),"")</f>
        <v/>
      </c>
      <c r="B54" s="62" t="str">
        <v/>
      </c>
      <c r="C54" s="62" t="str">
        <v/>
      </c>
      <c r="D54" s="62" t="str">
        <v/>
      </c>
      <c r="E54" s="68" t="str">
        <v/>
      </c>
      <c r="F54" s="61" t="str">
        <v/>
      </c>
      <c r="G54" s="62" t="str">
        <v/>
      </c>
      <c r="H54" s="71" t="str">
        <v/>
      </c>
      <c r="I54" s="69" t="str">
        <v/>
      </c>
      <c r="J54" s="70" t="str">
        <v/>
      </c>
      <c r="K54" s="66"/>
      <c r="L54" s="66"/>
      <c r="M54" s="66"/>
      <c r="N54" s="66"/>
    </row>
    <row r="55" spans="1:14" s="67" customFormat="1" ht="18.95" customHeight="1" thickBot="1">
      <c r="A55" s="72" t="str" cm="1">
        <f t="array" aca="1" ref="A55" ca="1">IFERROR(F(ISBLANK(INDEX(_xlfn._xlws.FILTER([1]加工記録２!$D$3:$M$445, [1]加工記録２!$T$3:$T$445=B5), 8)), "", INDEX(_xlfn._xlws.FILTER([1]加工記録２!$D$3:$M$445, [1]加工記録２!$T$3:$T$445=B5), 8)),"")</f>
        <v/>
      </c>
      <c r="B55" s="73"/>
      <c r="C55" s="73"/>
      <c r="D55" s="73"/>
      <c r="E55" s="74"/>
      <c r="F55" s="75"/>
      <c r="G55" s="73"/>
      <c r="H55" s="76"/>
      <c r="I55" s="77"/>
      <c r="J55" s="78"/>
      <c r="K55" s="66"/>
      <c r="L55" s="66"/>
      <c r="M55" s="66"/>
      <c r="N55" s="66"/>
    </row>
    <row r="56" spans="1:14" ht="13.5" customHeight="1" thickBot="1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2"/>
      <c r="B58" s="140" t="s">
        <v>0</v>
      </c>
      <c r="C58" s="80"/>
      <c r="D58" s="80"/>
      <c r="E58" s="12"/>
      <c r="F58" s="12"/>
      <c r="G58" s="12"/>
      <c r="H58" s="12"/>
      <c r="I58" s="12"/>
      <c r="J58" s="12"/>
    </row>
    <row r="59" spans="1:14" ht="14.25" customHeight="1">
      <c r="A59" s="13"/>
      <c r="B59" s="80"/>
      <c r="C59" s="80"/>
      <c r="D59" s="80"/>
      <c r="E59" s="13"/>
      <c r="F59" s="13"/>
      <c r="G59" s="13"/>
      <c r="H59" s="13"/>
      <c r="I59" s="13"/>
      <c r="J59" s="13"/>
    </row>
    <row r="60" spans="1:14" ht="14.25" customHeight="1">
      <c r="A60" s="86" t="s">
        <v>1</v>
      </c>
      <c r="B60" s="86" t="s">
        <v>55</v>
      </c>
      <c r="C60" s="86" t="s">
        <v>3</v>
      </c>
      <c r="D60" s="137">
        <v>530</v>
      </c>
      <c r="E60" s="86" t="s">
        <v>4</v>
      </c>
      <c r="F60" s="135" t="s">
        <v>56</v>
      </c>
      <c r="G60" s="80"/>
      <c r="H60" s="97"/>
      <c r="I60" s="14" t="s">
        <v>6</v>
      </c>
      <c r="J60" s="14" t="s">
        <v>7</v>
      </c>
    </row>
    <row r="61" spans="1:14" ht="14.25" customHeight="1">
      <c r="A61" s="80"/>
      <c r="B61" s="80"/>
      <c r="C61" s="80"/>
      <c r="D61" s="80"/>
      <c r="E61" s="80"/>
      <c r="F61" s="80"/>
      <c r="G61" s="80"/>
      <c r="H61" s="97"/>
      <c r="I61" s="94"/>
      <c r="J61" s="94"/>
    </row>
    <row r="62" spans="1:14" ht="17.45" customHeight="1">
      <c r="A62" s="83" t="s">
        <v>8</v>
      </c>
      <c r="B62" s="83" t="s">
        <v>57</v>
      </c>
      <c r="E62" s="83" t="s">
        <v>10</v>
      </c>
      <c r="F62" s="96" t="s">
        <v>11</v>
      </c>
      <c r="G62" s="80"/>
      <c r="H62" s="97"/>
      <c r="I62" s="95"/>
      <c r="J62" s="95"/>
    </row>
    <row r="63" spans="1:14" ht="17.45" customHeight="1">
      <c r="A63" s="80"/>
      <c r="B63" s="80"/>
      <c r="E63" s="80"/>
      <c r="F63" s="80"/>
      <c r="G63" s="80"/>
      <c r="H63" s="97"/>
      <c r="I63" s="15"/>
      <c r="J63" s="15"/>
    </row>
    <row r="64" spans="1:14" ht="17.45" customHeight="1">
      <c r="A64" s="83" t="s">
        <v>12</v>
      </c>
      <c r="B64" s="83" t="s">
        <v>58</v>
      </c>
      <c r="E64" s="2" t="s">
        <v>14</v>
      </c>
      <c r="F64" s="102" t="s">
        <v>15</v>
      </c>
      <c r="G64" s="80"/>
      <c r="H64" s="22"/>
    </row>
    <row r="65" spans="1:10" ht="17.45" customHeight="1">
      <c r="A65" s="80"/>
      <c r="B65" s="80"/>
      <c r="E65" s="2" t="s">
        <v>16</v>
      </c>
      <c r="F65" s="22" t="s">
        <v>17</v>
      </c>
      <c r="G65" s="22"/>
      <c r="H65" s="22"/>
    </row>
    <row r="66" spans="1:10" ht="17.45" customHeight="1">
      <c r="A66" s="2" t="s">
        <v>18</v>
      </c>
      <c r="B66" s="4">
        <v>45835</v>
      </c>
      <c r="E66" s="2" t="s">
        <v>19</v>
      </c>
      <c r="F66" s="85">
        <v>100</v>
      </c>
      <c r="G66" s="80"/>
      <c r="H66" s="22"/>
    </row>
    <row r="67" spans="1:10" ht="17.45" customHeight="1">
      <c r="A67" s="2" t="s">
        <v>20</v>
      </c>
      <c r="B67" s="4">
        <v>45835</v>
      </c>
      <c r="E67" s="2" t="s">
        <v>21</v>
      </c>
      <c r="F67" s="22">
        <v>8</v>
      </c>
      <c r="G67" s="98" t="s">
        <v>22</v>
      </c>
      <c r="H67" s="103">
        <v>800</v>
      </c>
      <c r="I67" s="104"/>
      <c r="J67" s="105"/>
    </row>
    <row r="68" spans="1:10" ht="17.45" customHeight="1">
      <c r="A68" s="20"/>
      <c r="B68" s="21"/>
      <c r="C68" s="21"/>
      <c r="D68" s="21"/>
      <c r="E68" s="2" t="s">
        <v>23</v>
      </c>
      <c r="F68" s="22" t="s">
        <v>24</v>
      </c>
      <c r="G68" s="99"/>
      <c r="H68" s="99"/>
      <c r="I68" s="106"/>
      <c r="J68" s="107"/>
    </row>
    <row r="69" spans="1:10" ht="13.5" customHeight="1">
      <c r="A69" s="133" t="s">
        <v>59</v>
      </c>
      <c r="B69" s="80"/>
      <c r="C69" s="80"/>
      <c r="D69" s="21"/>
      <c r="F69" s="3"/>
      <c r="G69" s="100" t="s">
        <v>26</v>
      </c>
      <c r="H69" s="141" t="s">
        <v>27</v>
      </c>
      <c r="I69" s="142" t="s">
        <v>28</v>
      </c>
      <c r="J69" s="97"/>
    </row>
    <row r="70" spans="1:10" ht="13.5" customHeight="1">
      <c r="A70" s="80"/>
      <c r="B70" s="80"/>
      <c r="C70" s="80"/>
      <c r="D70" s="21"/>
      <c r="F70" s="3"/>
      <c r="G70" s="101"/>
      <c r="H70" s="101"/>
      <c r="I70" s="106"/>
      <c r="J70" s="107"/>
    </row>
    <row r="71" spans="1:10" ht="13.5" customHeight="1">
      <c r="A71" s="1" t="s">
        <v>29</v>
      </c>
    </row>
    <row r="72" spans="1:10" ht="63" customHeight="1">
      <c r="A72" s="138"/>
      <c r="B72" s="139"/>
      <c r="C72" s="139"/>
      <c r="D72" s="139"/>
      <c r="E72" s="139"/>
      <c r="F72" s="139"/>
      <c r="G72" s="139"/>
      <c r="H72" s="139"/>
      <c r="I72" s="139"/>
      <c r="J72" s="139"/>
    </row>
    <row r="73" spans="1:10" ht="18.75">
      <c r="A73" s="24" t="s">
        <v>30</v>
      </c>
      <c r="B73" s="17" t="s">
        <v>31</v>
      </c>
      <c r="C73" s="88" t="s">
        <v>32</v>
      </c>
      <c r="D73" s="89"/>
      <c r="E73" s="17" t="s">
        <v>33</v>
      </c>
      <c r="F73" s="88" t="s">
        <v>34</v>
      </c>
      <c r="G73" s="89"/>
      <c r="H73" s="89"/>
      <c r="I73" s="136" t="s">
        <v>35</v>
      </c>
      <c r="J73" s="89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3">
        <v>1</v>
      </c>
      <c r="B75" s="25" t="s">
        <v>36</v>
      </c>
      <c r="C75" s="79" t="s">
        <v>37</v>
      </c>
      <c r="D75" s="80"/>
      <c r="E75" s="25" t="s">
        <v>38</v>
      </c>
      <c r="F75" s="79" t="s">
        <v>39</v>
      </c>
      <c r="G75" s="80"/>
      <c r="H75" s="80"/>
      <c r="I75" s="90"/>
      <c r="J75" s="80"/>
    </row>
    <row r="76" spans="1:10" ht="16.5" customHeight="1">
      <c r="A76" s="23">
        <v>1</v>
      </c>
      <c r="B76" s="26" t="s">
        <v>36</v>
      </c>
      <c r="C76" s="79" t="s">
        <v>37</v>
      </c>
      <c r="D76" s="80"/>
      <c r="E76" s="25" t="s">
        <v>40</v>
      </c>
      <c r="F76" s="79" t="s">
        <v>41</v>
      </c>
      <c r="G76" s="80"/>
      <c r="H76" s="80"/>
      <c r="I76" s="90"/>
      <c r="J76" s="80"/>
    </row>
    <row r="77" spans="1:10" ht="16.5" customHeight="1">
      <c r="A77" s="23"/>
      <c r="B77" s="26"/>
      <c r="C77" s="79"/>
      <c r="D77" s="80"/>
      <c r="E77" s="25"/>
      <c r="F77" s="79"/>
      <c r="G77" s="80"/>
      <c r="H77" s="80"/>
      <c r="I77" s="90"/>
      <c r="J77" s="80"/>
    </row>
    <row r="78" spans="1:10" ht="16.5" customHeight="1">
      <c r="A78" s="23"/>
      <c r="B78" s="26"/>
      <c r="C78" s="79"/>
      <c r="D78" s="80"/>
      <c r="E78" s="25"/>
      <c r="F78" s="79"/>
      <c r="G78" s="80"/>
      <c r="H78" s="80"/>
      <c r="I78" s="90"/>
      <c r="J78" s="80"/>
    </row>
    <row r="79" spans="1:10" ht="16.5" customHeight="1">
      <c r="A79" s="23"/>
      <c r="B79" s="26"/>
      <c r="C79" s="79"/>
      <c r="D79" s="80"/>
      <c r="E79" s="25"/>
      <c r="F79" s="79"/>
      <c r="G79" s="80"/>
      <c r="H79" s="80"/>
      <c r="I79" s="90"/>
      <c r="J79" s="80"/>
    </row>
    <row r="80" spans="1:10" ht="16.5" customHeight="1">
      <c r="A80" s="23"/>
      <c r="B80" s="26"/>
      <c r="C80" s="79"/>
      <c r="D80" s="80"/>
      <c r="E80" s="25"/>
      <c r="F80" s="79"/>
      <c r="G80" s="80"/>
      <c r="H80" s="80"/>
      <c r="I80" s="90"/>
      <c r="J80" s="80"/>
    </row>
    <row r="81" spans="1:10" ht="16.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</row>
    <row r="82" spans="1:10" ht="18.75">
      <c r="A82" s="81" t="s">
        <v>42</v>
      </c>
      <c r="B82" s="82"/>
      <c r="C82" s="81" t="s">
        <v>43</v>
      </c>
      <c r="D82" s="82"/>
      <c r="E82" s="82"/>
      <c r="F82" s="18" t="s">
        <v>44</v>
      </c>
      <c r="G82" s="81" t="s">
        <v>45</v>
      </c>
      <c r="H82" s="82"/>
      <c r="I82" s="81" t="s">
        <v>46</v>
      </c>
      <c r="J82" s="82"/>
    </row>
    <row r="83" spans="1:10" ht="14.25" customHeight="1">
      <c r="A83" s="8"/>
      <c r="B83" s="19"/>
      <c r="C83" s="134" t="s">
        <v>47</v>
      </c>
      <c r="D83" s="106"/>
      <c r="E83" s="19"/>
      <c r="F83" s="134" t="s">
        <v>29</v>
      </c>
      <c r="G83" s="106"/>
      <c r="H83" s="106"/>
      <c r="I83" s="106"/>
      <c r="J83" s="106"/>
    </row>
    <row r="84" spans="1:10">
      <c r="A84" s="9"/>
      <c r="C84" s="7"/>
      <c r="D84" s="7"/>
      <c r="E84" s="7"/>
    </row>
    <row r="85" spans="1:10" ht="14.25" customHeight="1">
      <c r="A85" s="79" t="s">
        <v>48</v>
      </c>
      <c r="B85" s="80"/>
      <c r="C85" s="79" t="s">
        <v>49</v>
      </c>
      <c r="D85" s="80"/>
      <c r="E85" s="80"/>
      <c r="F85" s="27" t="s">
        <v>50</v>
      </c>
      <c r="G85" s="87">
        <v>284.8</v>
      </c>
      <c r="H85" s="80"/>
      <c r="I85" s="87">
        <v>2.8479999999999999</v>
      </c>
      <c r="J85" s="80"/>
    </row>
    <row r="86" spans="1:10" ht="24.95" customHeight="1">
      <c r="A86" s="84" t="s">
        <v>51</v>
      </c>
      <c r="B86" s="80"/>
      <c r="C86" s="79" t="s">
        <v>11</v>
      </c>
      <c r="D86" s="80"/>
      <c r="E86" s="80"/>
      <c r="F86" s="79"/>
      <c r="G86" s="80"/>
      <c r="H86" s="80"/>
      <c r="I86" s="80"/>
      <c r="J86" s="80"/>
    </row>
    <row r="87" spans="1:10" ht="14.25" customHeight="1">
      <c r="A87" s="79" t="s">
        <v>52</v>
      </c>
      <c r="B87" s="80"/>
      <c r="C87" s="79" t="s">
        <v>53</v>
      </c>
      <c r="D87" s="80"/>
      <c r="E87" s="80"/>
      <c r="F87" s="27" t="s">
        <v>27</v>
      </c>
      <c r="G87" s="87">
        <v>8</v>
      </c>
      <c r="H87" s="80"/>
      <c r="I87" s="87">
        <v>0.08</v>
      </c>
      <c r="J87" s="80"/>
    </row>
    <row r="88" spans="1:10" ht="24.95" customHeight="1">
      <c r="A88" s="84" t="s">
        <v>54</v>
      </c>
      <c r="B88" s="80"/>
      <c r="C88" s="79"/>
      <c r="D88" s="80"/>
      <c r="E88" s="80"/>
      <c r="F88" s="79"/>
      <c r="G88" s="80"/>
      <c r="H88" s="80"/>
      <c r="I88" s="80"/>
      <c r="J88" s="80"/>
    </row>
    <row r="89" spans="1:10" ht="14.25" customHeight="1">
      <c r="A89" s="79"/>
      <c r="B89" s="80"/>
      <c r="C89" s="79"/>
      <c r="D89" s="80"/>
      <c r="E89" s="80"/>
      <c r="F89" s="27"/>
      <c r="G89" s="87"/>
      <c r="H89" s="80"/>
      <c r="I89" s="87"/>
      <c r="J89" s="80"/>
    </row>
    <row r="90" spans="1:10" ht="24.95" customHeight="1">
      <c r="A90" s="84"/>
      <c r="B90" s="80"/>
      <c r="C90" s="79"/>
      <c r="D90" s="80"/>
      <c r="E90" s="80"/>
      <c r="F90" s="79"/>
      <c r="G90" s="80"/>
      <c r="H90" s="80"/>
      <c r="I90" s="80"/>
      <c r="J90" s="80"/>
    </row>
    <row r="91" spans="1:10" ht="14.25" customHeight="1">
      <c r="A91" s="79"/>
      <c r="B91" s="80"/>
      <c r="C91" s="79"/>
      <c r="D91" s="80"/>
      <c r="E91" s="80"/>
      <c r="F91" s="27"/>
      <c r="G91" s="87"/>
      <c r="H91" s="80"/>
      <c r="I91" s="87"/>
      <c r="J91" s="80"/>
    </row>
    <row r="92" spans="1:10" ht="24.95" customHeight="1">
      <c r="A92" s="84"/>
      <c r="B92" s="80"/>
      <c r="C92" s="79"/>
      <c r="D92" s="80"/>
      <c r="E92" s="80"/>
      <c r="F92" s="79"/>
      <c r="G92" s="80"/>
      <c r="H92" s="80"/>
      <c r="I92" s="80"/>
      <c r="J92" s="80"/>
    </row>
    <row r="93" spans="1:10" ht="14.25" customHeight="1">
      <c r="A93" s="79"/>
      <c r="B93" s="80"/>
      <c r="C93" s="79"/>
      <c r="D93" s="80"/>
      <c r="E93" s="80"/>
      <c r="F93" s="27"/>
      <c r="G93" s="87"/>
      <c r="H93" s="80"/>
      <c r="I93" s="87"/>
      <c r="J93" s="80"/>
    </row>
    <row r="94" spans="1:10" ht="24.95" customHeight="1" thickBot="1">
      <c r="A94" s="84"/>
      <c r="B94" s="80"/>
      <c r="C94" s="79"/>
      <c r="D94" s="80"/>
      <c r="E94" s="80"/>
      <c r="F94" s="79"/>
      <c r="G94" s="80"/>
      <c r="H94" s="80"/>
      <c r="I94" s="80"/>
      <c r="J94" s="80"/>
    </row>
    <row r="95" spans="1:10" s="5" customFormat="1" ht="18" customHeight="1">
      <c r="A95" s="108" t="s">
        <v>88</v>
      </c>
      <c r="B95" s="109"/>
      <c r="C95" s="109"/>
      <c r="D95" s="110"/>
      <c r="E95" s="111" t="s">
        <v>89</v>
      </c>
      <c r="F95" s="112"/>
      <c r="G95" s="28"/>
      <c r="H95" s="113" t="s">
        <v>90</v>
      </c>
      <c r="I95" s="114"/>
      <c r="J95" s="29" t="s">
        <v>91</v>
      </c>
    </row>
    <row r="96" spans="1:10" s="7" customFormat="1" ht="18" customHeight="1">
      <c r="A96" s="115" t="str">
        <f>_xlfn.XLOOKUP(B60,[1]VFDB2!A:A,[1]VFDB2!B:B)</f>
        <v>L型ｱﾝｸﾞﾙ　P-VH-C　L=530</v>
      </c>
      <c r="B96" s="116"/>
      <c r="C96" s="116"/>
      <c r="D96" s="117"/>
      <c r="E96" s="121" t="str" cm="1">
        <f t="array" ref="E96">IFERROR(IF(ISBLANK(INDEX(_xlfn._xlws.FILTER([1]加工記録２!$C$3:$C$445, [1]加工記録２!$T$3:$T$445=B62), 6)), "", INDEX(_xlfn._xlws.FILTER([1]加工記録２!$C$3:$C$445, [1]加工記録２!$T$3:$T$445=B62), 6)),"")</f>
        <v>S-30</v>
      </c>
      <c r="F96" s="122"/>
      <c r="G96" s="125" cm="1">
        <f t="array" ref="G96">IFERROR(IF(ISBLANK(INDEX(_xlfn._xlws.FILTER([1]加工記録２!$B$3:$B$445, [1]加工記録２!$T$3:$T$445=B62), 7)), "", INDEX(_xlfn._xlws.FILTER([1]加工記録２!$B$3:$B$445, [1]加工記録２!$T$3:$T$445=B62), 7)),"")</f>
        <v>8</v>
      </c>
      <c r="H96" s="30" t="s">
        <v>92</v>
      </c>
      <c r="I96" s="31" cm="1">
        <f t="array" ref="I96:J96">IFERROR(IF(ISBLANK(INDEX(_xlfn._xlws.FILTER([1]加工記録２!$O$3:$P$445, [1]加工記録２!$T$3:$T$445=B62), 1)), "", INDEX(_xlfn._xlws.FILTER([1]加工記録２!$O$3:$P$445, [1]加工記録２!$T$3:$T$445=B62), 1)),"")</f>
        <v>45828</v>
      </c>
      <c r="J96" s="32" t="str">
        <v/>
      </c>
    </row>
    <row r="97" spans="1:14" s="5" customFormat="1" ht="18" customHeight="1">
      <c r="A97" s="118"/>
      <c r="B97" s="119"/>
      <c r="C97" s="119"/>
      <c r="D97" s="120"/>
      <c r="E97" s="123"/>
      <c r="F97" s="124"/>
      <c r="G97" s="126"/>
      <c r="H97" s="30" t="s">
        <v>93</v>
      </c>
      <c r="I97" s="33" cm="1">
        <f t="array" ref="I97:J97">IFERROR(IF(ISBLANK(INDEX(_xlfn._xlws.FILTER([1]加工記録２!$O$3:$P$445, [1]加工記録２!$T$3:$T$445=B62), 2)), "", INDEX(_xlfn._xlws.FILTER([1]加工記録２!$O$3:$P$445, [1]加工記録２!$T$3:$T$445=B62), 2)),"")</f>
        <v>800</v>
      </c>
      <c r="J97" s="34" t="str">
        <v/>
      </c>
      <c r="K97" s="35"/>
    </row>
    <row r="98" spans="1:14" s="7" customFormat="1" ht="18" customHeight="1">
      <c r="A98" s="127" t="s">
        <v>94</v>
      </c>
      <c r="B98" s="129" t="str">
        <f>_xlfn.XLOOKUP(B60,[1]!テーブル5[品目コード],[1]!テーブル5[温度換算],,)</f>
        <v>-</v>
      </c>
      <c r="C98" s="131" t="s">
        <v>95</v>
      </c>
      <c r="D98" s="149">
        <v>3</v>
      </c>
      <c r="E98" s="121">
        <f>_xlfn.XLOOKUP(B60,[1]!テーブル5[品目コード],[1]!テーブル5[備考１],,)</f>
        <v>0</v>
      </c>
      <c r="F98" s="151"/>
      <c r="G98" s="152"/>
      <c r="H98" s="36" t="s">
        <v>96</v>
      </c>
      <c r="I98" s="33" cm="1">
        <f t="array" ref="I98:J98">IFERROR(IF(ISBLANK(INDEX(_xlfn._xlws.FILTER([1]加工記録２!$O$3:$P$445, [1]加工記録２!$T$3:$T$445=B62), 3)), "", INDEX(_xlfn._xlws.FILTER([1]加工記録２!$O$3:$P$445, [1]加工記録２!$T$3:$T$445=B62), 3)),"")</f>
        <v>266</v>
      </c>
      <c r="J98" s="37" t="str">
        <v/>
      </c>
      <c r="K98" s="38"/>
    </row>
    <row r="99" spans="1:14" s="5" customFormat="1" ht="18" customHeight="1">
      <c r="A99" s="128"/>
      <c r="B99" s="130"/>
      <c r="C99" s="132"/>
      <c r="D99" s="150"/>
      <c r="E99" s="123"/>
      <c r="F99" s="153"/>
      <c r="G99" s="154"/>
      <c r="H99" s="36" t="s">
        <v>97</v>
      </c>
      <c r="I99" s="33" cm="1">
        <f t="array" ref="I99:J99">IFERROR(IF(ISBLANK(INDEX(_xlfn._xlws.FILTER([1]加工記録２!$O$3:$P$445, [1]加工記録２!$T$3:$T$445=B62), 4)), "", INDEX(_xlfn._xlws.FILTER([1]加工記録２!$O$3:$P$445, [1]加工記録２!$T$3:$T$445=B62), 4)),"")</f>
        <v>0</v>
      </c>
      <c r="J99" s="39" t="str">
        <v/>
      </c>
      <c r="K99" s="35"/>
    </row>
    <row r="100" spans="1:14" s="7" customFormat="1" ht="18" customHeight="1">
      <c r="A100" s="155" t="s">
        <v>98</v>
      </c>
      <c r="B100" s="143">
        <f>D60</f>
        <v>530</v>
      </c>
      <c r="C100" s="145" t="s">
        <v>99</v>
      </c>
      <c r="D100" s="147">
        <f>_xlfn.XLOOKUP(B60,[1]!テーブル5[品目コード],[1]!テーブル5[上限公差],,)</f>
        <v>0</v>
      </c>
      <c r="E100" s="121" t="str">
        <f>_xlfn.XLOOKUP(B60,[1]!テーブル5[品目コード],[1]!テーブル5[備考２],,)</f>
        <v>※使用基材、取数は依頼書にて確認</v>
      </c>
      <c r="F100" s="151"/>
      <c r="G100" s="152"/>
      <c r="H100" s="36" t="s">
        <v>100</v>
      </c>
      <c r="I100" s="33" cm="1">
        <f t="array" ref="I100:J100">IFERROR(IF(ISBLANK(INDEX(_xlfn._xlws.FILTER([1]加工記録２!$O$3:$P$445, [1]加工記録２!$T$3:$T$445=B62), 5)), "", INDEX(_xlfn._xlws.FILTER([1]加工記録２!$O$3:$P$445, [1]加工記録２!$T$3:$T$445=B62), 5)),"")</f>
        <v>0</v>
      </c>
      <c r="J100" s="40" t="str">
        <v/>
      </c>
      <c r="K100" s="38"/>
    </row>
    <row r="101" spans="1:14" s="5" customFormat="1" ht="18" customHeight="1">
      <c r="A101" s="156"/>
      <c r="B101" s="144"/>
      <c r="C101" s="146"/>
      <c r="D101" s="148"/>
      <c r="E101" s="123"/>
      <c r="F101" s="153"/>
      <c r="G101" s="154"/>
      <c r="H101" s="36" t="s">
        <v>101</v>
      </c>
      <c r="I101" s="33" t="str" cm="1">
        <f t="array" ref="I101:J101">IFERROR(IF(ISBLANK(INDEX(_xlfn._xlws.FILTER([1]加工記録２!$O$3:$P$445, [1]加工記録２!$T$3:$T$445=B62), 6)), "", INDEX(_xlfn._xlws.FILTER([1]加工記録２!$O$3:$P$445, [1]加工記録２!$T$3:$T$445=B62), 6)),"")</f>
        <v/>
      </c>
      <c r="J101" s="41" t="str">
        <v/>
      </c>
      <c r="K101" s="35"/>
    </row>
    <row r="102" spans="1:14" s="7" customFormat="1" ht="18" customHeight="1">
      <c r="A102" s="127" t="s">
        <v>102</v>
      </c>
      <c r="B102" s="158">
        <f>_xlfn.XLOOKUP(B60,[1]!テーブル5[品目コード],[1]!テーブル5[切断寸法],,)</f>
        <v>529</v>
      </c>
      <c r="C102" s="160" t="s">
        <v>103</v>
      </c>
      <c r="D102" s="147">
        <f>_xlfn.XLOOKUP(B60,[1]!テーブル5[品目コード],[1]!テーブル5[下限公差],,)</f>
        <v>-3</v>
      </c>
      <c r="E102" s="121" t="str">
        <f>_xlfn.XLOOKUP(B60,[1]!テーブル5[品目コード],[1]!テーブル5[梱包方法],,)</f>
        <v>ラベル２枚　長手有　鉢巻無</v>
      </c>
      <c r="F102" s="151"/>
      <c r="G102" s="152"/>
      <c r="H102" s="36" t="s">
        <v>104</v>
      </c>
      <c r="I102" s="33" t="str" cm="1">
        <f t="array" ref="I102:J102">IFERROR(IF(ISBLANK(INDEX(_xlfn._xlws.FILTER([1]加工記録２!$O$3:$P$445, [1]加工記録２!$T$3:$T$445=B62), 7)), "", INDEX(_xlfn._xlws.FILTER([1]加工記録２!$O$3:$P$445, [1]加工記録２!$T$3:$T$445=B62), 7)),"")</f>
        <v>富田・水野</v>
      </c>
      <c r="J102" s="42" t="str">
        <v/>
      </c>
      <c r="K102" s="38"/>
    </row>
    <row r="103" spans="1:14" s="5" customFormat="1" ht="18" customHeight="1" thickBot="1">
      <c r="A103" s="157"/>
      <c r="B103" s="159"/>
      <c r="C103" s="161"/>
      <c r="D103" s="162"/>
      <c r="E103" s="163"/>
      <c r="F103" s="164"/>
      <c r="G103" s="165"/>
      <c r="H103" s="43" t="s">
        <v>105</v>
      </c>
      <c r="I103" s="44" t="str" cm="1">
        <f t="array" ref="I103:J103">IFERROR(IF(ISBLANK(INDEX(_xlfn._xlws.FILTER([1]加工記録２!$O$3:$P$445, [1]加工記録２!$T$3:$T$445=B62), 8)), "", INDEX(_xlfn._xlws.FILTER([1]加工記録２!$O$3:$P$445, [1]加工記録２!$T$3:$T$445=B62), 8)),"")</f>
        <v/>
      </c>
      <c r="J103" s="45">
        <v>0</v>
      </c>
    </row>
    <row r="104" spans="1:14" s="56" customFormat="1" ht="18.95" customHeight="1">
      <c r="A104" s="46" t="s">
        <v>106</v>
      </c>
      <c r="B104" s="47" t="s">
        <v>107</v>
      </c>
      <c r="C104" s="48" t="s">
        <v>108</v>
      </c>
      <c r="D104" s="48" t="s">
        <v>109</v>
      </c>
      <c r="E104" s="49" t="s">
        <v>110</v>
      </c>
      <c r="F104" s="50" t="s">
        <v>111</v>
      </c>
      <c r="G104" s="51" t="s">
        <v>112</v>
      </c>
      <c r="H104" s="52" t="s">
        <v>113</v>
      </c>
      <c r="I104" s="53" t="s">
        <v>114</v>
      </c>
      <c r="J104" s="54" t="s">
        <v>115</v>
      </c>
      <c r="K104" s="55"/>
      <c r="L104" s="55"/>
      <c r="M104" s="55"/>
      <c r="N104" s="55"/>
    </row>
    <row r="105" spans="1:14" s="67" customFormat="1" ht="18.95" customHeight="1">
      <c r="A105" s="57" t="str" cm="1">
        <f t="array" ref="A105:J105">IFERROR(IF(ISBLANK(INDEX(_xlfn._xlws.FILTER([1]加工記録２!$D$3:$M$445, [1]加工記録２!$T$3:$T$445=B62), 1)), "", INDEX(_xlfn._xlws.FILTER([1]加工記録２!$D$3:$M$445, [1]加工記録２!$T$3:$T$445=B62), 1)),"")</f>
        <v/>
      </c>
      <c r="B105" s="58" t="str">
        <v/>
      </c>
      <c r="C105" s="59" t="str">
        <v/>
      </c>
      <c r="D105" s="59" t="str">
        <v/>
      </c>
      <c r="E105" s="60" t="str">
        <v/>
      </c>
      <c r="F105" s="61" t="str">
        <v>25F11B</v>
      </c>
      <c r="G105" s="62">
        <v>48</v>
      </c>
      <c r="H105" s="63">
        <v>16</v>
      </c>
      <c r="I105" s="64">
        <v>45828</v>
      </c>
      <c r="J105" s="65">
        <v>8</v>
      </c>
      <c r="K105" s="66"/>
      <c r="L105" s="66"/>
      <c r="M105" s="66"/>
      <c r="N105" s="66"/>
    </row>
    <row r="106" spans="1:14" s="67" customFormat="1" ht="18.95" customHeight="1">
      <c r="A106" s="57" cm="1">
        <f t="array" ref="A106:J106">IFERROR(IF(ISBLANK(INDEX(_xlfn._xlws.FILTER([1]加工記録２!$D$3:$M$445, [1]加工記録２!$T$3:$T$445=B62), 2)), "", INDEX(_xlfn._xlws.FILTER([1]加工記録２!$D$3:$M$445, [1]加工記録２!$T$3:$T$445=B62), 2)),"")</f>
        <v>45828</v>
      </c>
      <c r="B106" s="62" t="str">
        <v>25F11B</v>
      </c>
      <c r="C106" s="62" t="str">
        <v/>
      </c>
      <c r="D106" s="62">
        <v>530</v>
      </c>
      <c r="E106" s="68">
        <v>529.71</v>
      </c>
      <c r="F106" s="61" t="str">
        <v>25F10B</v>
      </c>
      <c r="G106" s="62">
        <v>726</v>
      </c>
      <c r="H106" s="63">
        <v>242</v>
      </c>
      <c r="I106" s="64" t="str">
        <v/>
      </c>
      <c r="J106" s="65" t="str">
        <v/>
      </c>
      <c r="K106" s="66"/>
      <c r="L106" s="66"/>
      <c r="M106" s="66"/>
      <c r="N106" s="66"/>
    </row>
    <row r="107" spans="1:14" s="67" customFormat="1" ht="18.95" customHeight="1">
      <c r="A107" s="57" cm="1">
        <f t="array" ref="A107:J107">IFERROR(IF(ISBLANK(INDEX(_xlfn._xlws.FILTER([1]加工記録２!$D$3:$M$445, [1]加工記録２!$T$3:$T$445=B62), 3)), "", INDEX(_xlfn._xlws.FILTER([1]加工記録２!$D$3:$M$445, [1]加工記録２!$T$3:$T$445=B62), 3)),"")</f>
        <v>45828</v>
      </c>
      <c r="B107" s="62" t="str">
        <v>25F10B</v>
      </c>
      <c r="C107" s="62" t="str">
        <v/>
      </c>
      <c r="D107" s="62">
        <v>530</v>
      </c>
      <c r="E107" s="68" t="str">
        <v/>
      </c>
      <c r="F107" s="61" t="str">
        <v>25C05B</v>
      </c>
      <c r="G107" s="62">
        <v>24</v>
      </c>
      <c r="H107" s="63">
        <v>8</v>
      </c>
      <c r="I107" s="64" t="str">
        <v/>
      </c>
      <c r="J107" s="65" t="str">
        <v/>
      </c>
      <c r="K107" s="66"/>
      <c r="L107" s="66"/>
      <c r="M107" s="66"/>
      <c r="N107" s="66"/>
    </row>
    <row r="108" spans="1:14" s="67" customFormat="1" ht="18.95" customHeight="1">
      <c r="A108" s="57" cm="1">
        <f t="array" ref="A108:J108">IFERROR(IF(ISBLANK(INDEX(_xlfn._xlws.FILTER([1]加工記録２!$D$3:$M$445, [1]加工記録２!$T$3:$T$445=B62), 4)), "", INDEX(_xlfn._xlws.FILTER([1]加工記録２!$D$3:$M$445, [1]加工記録２!$T$3:$T$445=B62), 4)),"")</f>
        <v>45828</v>
      </c>
      <c r="B108" s="62" t="str">
        <v>25C05B</v>
      </c>
      <c r="C108" s="62" t="str">
        <v/>
      </c>
      <c r="D108" s="62">
        <v>530</v>
      </c>
      <c r="E108" s="68">
        <v>529.66999999999996</v>
      </c>
      <c r="F108" s="61" t="str">
        <v/>
      </c>
      <c r="G108" s="62" t="str">
        <v/>
      </c>
      <c r="H108" s="63" t="str">
        <v/>
      </c>
      <c r="I108" s="64" t="str">
        <v/>
      </c>
      <c r="J108" s="65" t="str">
        <v/>
      </c>
      <c r="K108" s="66"/>
      <c r="L108" s="66"/>
      <c r="M108" s="66"/>
      <c r="N108" s="66"/>
    </row>
    <row r="109" spans="1:14" s="67" customFormat="1" ht="18.95" customHeight="1">
      <c r="A109" s="57" t="str" cm="1">
        <f t="array" ref="A109:J109">IFERROR(IF(ISBLANK(INDEX(_xlfn._xlws.FILTER([1]加工記録２!$D$3:$M$445, [1]加工記録２!$T$3:$T$445=B62), 5)), "", INDEX(_xlfn._xlws.FILTER([1]加工記録２!$D$3:$M$445, [1]加工記録２!$T$3:$T$445=B62), 5)),"")</f>
        <v/>
      </c>
      <c r="B109" s="62" t="str">
        <v/>
      </c>
      <c r="C109" s="62" t="str">
        <v/>
      </c>
      <c r="D109" s="62" t="str">
        <v/>
      </c>
      <c r="E109" s="68" t="str">
        <v/>
      </c>
      <c r="F109" s="61" t="str">
        <v/>
      </c>
      <c r="G109" s="62" t="str">
        <v/>
      </c>
      <c r="H109" s="63" t="str">
        <v/>
      </c>
      <c r="I109" s="69" t="str">
        <v/>
      </c>
      <c r="J109" s="70" t="str">
        <v/>
      </c>
      <c r="K109" s="66"/>
      <c r="L109" s="66"/>
      <c r="M109" s="66"/>
      <c r="N109" s="66"/>
    </row>
    <row r="110" spans="1:14" s="67" customFormat="1" ht="18.95" customHeight="1">
      <c r="A110" s="57" t="str" cm="1">
        <f t="array" ref="A110:J110">IFERROR(IF(ISBLANK(INDEX(_xlfn._xlws.FILTER([1]加工記録２!$D$3:$M$445, [1]加工記録２!$T$3:$T$445=B62), 6)), "", INDEX(_xlfn._xlws.FILTER([1]加工記録２!$D$3:$M$445, [1]加工記録２!$T$3:$T$445=B62), 6)),"")</f>
        <v/>
      </c>
      <c r="B110" s="62" t="str">
        <v/>
      </c>
      <c r="C110" s="62" t="str">
        <v/>
      </c>
      <c r="D110" s="62" t="str">
        <v/>
      </c>
      <c r="E110" s="68" t="str">
        <v/>
      </c>
      <c r="F110" s="61" t="str">
        <v/>
      </c>
      <c r="G110" s="62" t="str">
        <v/>
      </c>
      <c r="H110" s="71" t="str">
        <v/>
      </c>
      <c r="I110" s="69" t="str">
        <v/>
      </c>
      <c r="J110" s="70" t="str">
        <v/>
      </c>
      <c r="K110" s="66"/>
      <c r="L110" s="66"/>
      <c r="M110" s="66"/>
      <c r="N110" s="66"/>
    </row>
    <row r="111" spans="1:14" s="67" customFormat="1" ht="18.95" customHeight="1">
      <c r="A111" s="57" t="str" cm="1">
        <f t="array" ref="A111:J111">IFERROR(IF(ISBLANK(INDEX(_xlfn._xlws.FILTER([1]加工記録２!$D$3:$M$445, [1]加工記録２!$T$3:$T$445=B62), 7)), "", INDEX(_xlfn._xlws.FILTER([1]加工記録２!$D$3:$M$445, [1]加工記録２!$T$3:$T$445=B62), 7)),"")</f>
        <v/>
      </c>
      <c r="B111" s="62" t="str">
        <v/>
      </c>
      <c r="C111" s="62" t="str">
        <v/>
      </c>
      <c r="D111" s="62" t="str">
        <v/>
      </c>
      <c r="E111" s="68" t="str">
        <v/>
      </c>
      <c r="F111" s="61" t="str">
        <v/>
      </c>
      <c r="G111" s="62" t="str">
        <v/>
      </c>
      <c r="H111" s="71" t="str">
        <v/>
      </c>
      <c r="I111" s="69" t="str">
        <v/>
      </c>
      <c r="J111" s="70" t="str">
        <v/>
      </c>
      <c r="K111" s="66"/>
      <c r="L111" s="66"/>
      <c r="M111" s="66"/>
      <c r="N111" s="66"/>
    </row>
    <row r="112" spans="1:14" s="67" customFormat="1" ht="18.95" customHeight="1" thickBot="1">
      <c r="A112" s="72" t="str" cm="1">
        <f t="array" aca="1" ref="A112" ca="1">IFERROR(F(ISBLANK(INDEX(_xlfn._xlws.FILTER([1]加工記録２!$D$3:$M$445, [1]加工記録２!$T$3:$T$445=B62), 8)), "", INDEX(_xlfn._xlws.FILTER([1]加工記録２!$D$3:$M$445, [1]加工記録２!$T$3:$T$445=B62), 8)),"")</f>
        <v/>
      </c>
      <c r="B112" s="73"/>
      <c r="C112" s="73"/>
      <c r="D112" s="73"/>
      <c r="E112" s="74"/>
      <c r="F112" s="75"/>
      <c r="G112" s="73"/>
      <c r="H112" s="76"/>
      <c r="I112" s="77"/>
      <c r="J112" s="78"/>
      <c r="K112" s="66"/>
      <c r="L112" s="66"/>
      <c r="M112" s="66"/>
      <c r="N112" s="66"/>
    </row>
    <row r="113" spans="1:10" ht="13.5" customHeight="1" thickBo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</row>
    <row r="114" spans="1:10" ht="6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2"/>
      <c r="B115" s="140" t="s">
        <v>0</v>
      </c>
      <c r="C115" s="80"/>
      <c r="D115" s="80"/>
      <c r="E115" s="12"/>
      <c r="F115" s="12"/>
      <c r="G115" s="12"/>
      <c r="H115" s="12"/>
      <c r="I115" s="12"/>
      <c r="J115" s="12"/>
    </row>
    <row r="116" spans="1:10" ht="14.25" customHeight="1">
      <c r="A116" s="13"/>
      <c r="B116" s="80"/>
      <c r="C116" s="80"/>
      <c r="D116" s="80"/>
      <c r="E116" s="13"/>
      <c r="F116" s="13"/>
      <c r="G116" s="13"/>
      <c r="H116" s="13"/>
      <c r="I116" s="13"/>
      <c r="J116" s="13"/>
    </row>
    <row r="117" spans="1:10" ht="14.25" customHeight="1">
      <c r="A117" s="86" t="s">
        <v>1</v>
      </c>
      <c r="B117" s="86" t="s">
        <v>60</v>
      </c>
      <c r="C117" s="86" t="s">
        <v>3</v>
      </c>
      <c r="D117" s="137">
        <v>590</v>
      </c>
      <c r="E117" s="86" t="s">
        <v>4</v>
      </c>
      <c r="F117" s="135" t="s">
        <v>61</v>
      </c>
      <c r="G117" s="80"/>
      <c r="H117" s="97"/>
      <c r="I117" s="14" t="s">
        <v>6</v>
      </c>
      <c r="J117" s="14" t="s">
        <v>7</v>
      </c>
    </row>
    <row r="118" spans="1:10" ht="14.25" customHeight="1">
      <c r="A118" s="80"/>
      <c r="B118" s="80"/>
      <c r="C118" s="80"/>
      <c r="D118" s="80"/>
      <c r="E118" s="80"/>
      <c r="F118" s="80"/>
      <c r="G118" s="80"/>
      <c r="H118" s="97"/>
      <c r="I118" s="94"/>
      <c r="J118" s="94"/>
    </row>
    <row r="119" spans="1:10" ht="17.45" customHeight="1">
      <c r="A119" s="83" t="s">
        <v>8</v>
      </c>
      <c r="B119" s="83" t="s">
        <v>62</v>
      </c>
      <c r="E119" s="83" t="s">
        <v>10</v>
      </c>
      <c r="F119" s="96" t="s">
        <v>11</v>
      </c>
      <c r="G119" s="80"/>
      <c r="H119" s="97"/>
      <c r="I119" s="95"/>
      <c r="J119" s="95"/>
    </row>
    <row r="120" spans="1:10" ht="17.45" customHeight="1">
      <c r="A120" s="80"/>
      <c r="B120" s="80"/>
      <c r="E120" s="80"/>
      <c r="F120" s="80"/>
      <c r="G120" s="80"/>
      <c r="H120" s="97"/>
      <c r="I120" s="15"/>
      <c r="J120" s="15"/>
    </row>
    <row r="121" spans="1:10" ht="17.45" customHeight="1">
      <c r="A121" s="83" t="s">
        <v>12</v>
      </c>
      <c r="B121" s="83" t="s">
        <v>63</v>
      </c>
      <c r="E121" s="2" t="s">
        <v>14</v>
      </c>
      <c r="F121" s="102" t="s">
        <v>15</v>
      </c>
      <c r="G121" s="80"/>
      <c r="H121" s="22"/>
    </row>
    <row r="122" spans="1:10" ht="17.45" customHeight="1">
      <c r="A122" s="80"/>
      <c r="B122" s="80"/>
      <c r="E122" s="2" t="s">
        <v>16</v>
      </c>
      <c r="F122" s="22" t="s">
        <v>17</v>
      </c>
      <c r="G122" s="22"/>
      <c r="H122" s="22"/>
    </row>
    <row r="123" spans="1:10" ht="17.45" customHeight="1">
      <c r="A123" s="2" t="s">
        <v>18</v>
      </c>
      <c r="B123" s="4">
        <v>45835</v>
      </c>
      <c r="E123" s="2" t="s">
        <v>19</v>
      </c>
      <c r="F123" s="85">
        <v>100</v>
      </c>
      <c r="G123" s="80"/>
      <c r="H123" s="22"/>
    </row>
    <row r="124" spans="1:10" ht="17.45" customHeight="1">
      <c r="A124" s="2" t="s">
        <v>20</v>
      </c>
      <c r="B124" s="4">
        <v>45835</v>
      </c>
      <c r="E124" s="2" t="s">
        <v>21</v>
      </c>
      <c r="F124" s="22">
        <v>4</v>
      </c>
      <c r="G124" s="98" t="s">
        <v>22</v>
      </c>
      <c r="H124" s="103">
        <v>400</v>
      </c>
      <c r="I124" s="104"/>
      <c r="J124" s="105"/>
    </row>
    <row r="125" spans="1:10" ht="17.45" customHeight="1">
      <c r="A125" s="20"/>
      <c r="B125" s="21"/>
      <c r="C125" s="21"/>
      <c r="D125" s="21"/>
      <c r="E125" s="2" t="s">
        <v>23</v>
      </c>
      <c r="F125" s="22" t="s">
        <v>24</v>
      </c>
      <c r="G125" s="99"/>
      <c r="H125" s="99"/>
      <c r="I125" s="106"/>
      <c r="J125" s="107"/>
    </row>
    <row r="126" spans="1:10" ht="13.5" customHeight="1">
      <c r="A126" s="133" t="s">
        <v>64</v>
      </c>
      <c r="B126" s="80"/>
      <c r="C126" s="80"/>
      <c r="D126" s="21"/>
      <c r="F126" s="3"/>
      <c r="G126" s="100" t="s">
        <v>26</v>
      </c>
      <c r="H126" s="141" t="s">
        <v>27</v>
      </c>
      <c r="I126" s="142" t="s">
        <v>28</v>
      </c>
      <c r="J126" s="97"/>
    </row>
    <row r="127" spans="1:10" ht="13.5" customHeight="1">
      <c r="A127" s="80"/>
      <c r="B127" s="80"/>
      <c r="C127" s="80"/>
      <c r="D127" s="21"/>
      <c r="F127" s="3"/>
      <c r="G127" s="101"/>
      <c r="H127" s="101"/>
      <c r="I127" s="106"/>
      <c r="J127" s="107"/>
    </row>
    <row r="128" spans="1:10" ht="13.5" customHeight="1">
      <c r="A128" s="1" t="s">
        <v>29</v>
      </c>
    </row>
    <row r="129" spans="1:10" ht="63" customHeight="1">
      <c r="A129" s="138"/>
      <c r="B129" s="139"/>
      <c r="C129" s="139"/>
      <c r="D129" s="139"/>
      <c r="E129" s="139"/>
      <c r="F129" s="139"/>
      <c r="G129" s="139"/>
      <c r="H129" s="139"/>
      <c r="I129" s="139"/>
      <c r="J129" s="139"/>
    </row>
    <row r="130" spans="1:10" ht="18.75">
      <c r="A130" s="24" t="s">
        <v>30</v>
      </c>
      <c r="B130" s="17" t="s">
        <v>31</v>
      </c>
      <c r="C130" s="88" t="s">
        <v>32</v>
      </c>
      <c r="D130" s="89"/>
      <c r="E130" s="17" t="s">
        <v>33</v>
      </c>
      <c r="F130" s="88" t="s">
        <v>34</v>
      </c>
      <c r="G130" s="89"/>
      <c r="H130" s="89"/>
      <c r="I130" s="136" t="s">
        <v>35</v>
      </c>
      <c r="J130" s="89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3">
        <v>1</v>
      </c>
      <c r="B132" s="25" t="s">
        <v>36</v>
      </c>
      <c r="C132" s="79" t="s">
        <v>37</v>
      </c>
      <c r="D132" s="80"/>
      <c r="E132" s="25" t="s">
        <v>38</v>
      </c>
      <c r="F132" s="79" t="s">
        <v>39</v>
      </c>
      <c r="G132" s="80"/>
      <c r="H132" s="80"/>
      <c r="I132" s="90"/>
      <c r="J132" s="80"/>
    </row>
    <row r="133" spans="1:10" ht="16.5" customHeight="1">
      <c r="A133" s="23">
        <v>1</v>
      </c>
      <c r="B133" s="26" t="s">
        <v>36</v>
      </c>
      <c r="C133" s="79" t="s">
        <v>37</v>
      </c>
      <c r="D133" s="80"/>
      <c r="E133" s="25" t="s">
        <v>40</v>
      </c>
      <c r="F133" s="79" t="s">
        <v>41</v>
      </c>
      <c r="G133" s="80"/>
      <c r="H133" s="80"/>
      <c r="I133" s="90"/>
      <c r="J133" s="80"/>
    </row>
    <row r="134" spans="1:10" ht="16.5" customHeight="1">
      <c r="A134" s="23"/>
      <c r="B134" s="26"/>
      <c r="C134" s="79"/>
      <c r="D134" s="80"/>
      <c r="E134" s="25"/>
      <c r="F134" s="79"/>
      <c r="G134" s="80"/>
      <c r="H134" s="80"/>
      <c r="I134" s="90"/>
      <c r="J134" s="80"/>
    </row>
    <row r="135" spans="1:10" ht="16.5" customHeight="1">
      <c r="A135" s="23"/>
      <c r="B135" s="26"/>
      <c r="C135" s="79"/>
      <c r="D135" s="80"/>
      <c r="E135" s="25"/>
      <c r="F135" s="79"/>
      <c r="G135" s="80"/>
      <c r="H135" s="80"/>
      <c r="I135" s="90"/>
      <c r="J135" s="80"/>
    </row>
    <row r="136" spans="1:10" ht="16.5" customHeight="1">
      <c r="A136" s="23"/>
      <c r="B136" s="26"/>
      <c r="C136" s="79"/>
      <c r="D136" s="80"/>
      <c r="E136" s="25"/>
      <c r="F136" s="79"/>
      <c r="G136" s="80"/>
      <c r="H136" s="80"/>
      <c r="I136" s="90"/>
      <c r="J136" s="80"/>
    </row>
    <row r="137" spans="1:10" ht="16.5" customHeight="1">
      <c r="A137" s="23"/>
      <c r="B137" s="26"/>
      <c r="C137" s="79"/>
      <c r="D137" s="80"/>
      <c r="E137" s="25"/>
      <c r="F137" s="79"/>
      <c r="G137" s="80"/>
      <c r="H137" s="80"/>
      <c r="I137" s="90"/>
      <c r="J137" s="80"/>
    </row>
    <row r="138" spans="1:10" ht="16.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</row>
    <row r="139" spans="1:10" ht="18.75">
      <c r="A139" s="81" t="s">
        <v>42</v>
      </c>
      <c r="B139" s="82"/>
      <c r="C139" s="81" t="s">
        <v>43</v>
      </c>
      <c r="D139" s="82"/>
      <c r="E139" s="82"/>
      <c r="F139" s="18" t="s">
        <v>44</v>
      </c>
      <c r="G139" s="81" t="s">
        <v>45</v>
      </c>
      <c r="H139" s="82"/>
      <c r="I139" s="81" t="s">
        <v>46</v>
      </c>
      <c r="J139" s="82"/>
    </row>
    <row r="140" spans="1:10" ht="14.25" customHeight="1">
      <c r="A140" s="8"/>
      <c r="B140" s="19"/>
      <c r="C140" s="134" t="s">
        <v>47</v>
      </c>
      <c r="D140" s="106"/>
      <c r="E140" s="19"/>
      <c r="F140" s="134" t="s">
        <v>29</v>
      </c>
      <c r="G140" s="106"/>
      <c r="H140" s="106"/>
      <c r="I140" s="106"/>
      <c r="J140" s="106"/>
    </row>
    <row r="141" spans="1:10">
      <c r="A141" s="9"/>
      <c r="C141" s="7"/>
      <c r="D141" s="7"/>
      <c r="E141" s="7"/>
    </row>
    <row r="142" spans="1:10" ht="14.25" customHeight="1">
      <c r="A142" s="79" t="s">
        <v>48</v>
      </c>
      <c r="B142" s="80"/>
      <c r="C142" s="79" t="s">
        <v>49</v>
      </c>
      <c r="D142" s="80"/>
      <c r="E142" s="80"/>
      <c r="F142" s="27" t="s">
        <v>50</v>
      </c>
      <c r="G142" s="87">
        <v>149.19999999999999</v>
      </c>
      <c r="H142" s="80"/>
      <c r="I142" s="87">
        <v>1.492</v>
      </c>
      <c r="J142" s="80"/>
    </row>
    <row r="143" spans="1:10" ht="24.95" customHeight="1">
      <c r="A143" s="84" t="s">
        <v>51</v>
      </c>
      <c r="B143" s="80"/>
      <c r="C143" s="79" t="s">
        <v>11</v>
      </c>
      <c r="D143" s="80"/>
      <c r="E143" s="80"/>
      <c r="F143" s="79"/>
      <c r="G143" s="80"/>
      <c r="H143" s="80"/>
      <c r="I143" s="80"/>
      <c r="J143" s="80"/>
    </row>
    <row r="144" spans="1:10" ht="14.25" customHeight="1">
      <c r="A144" s="79" t="s">
        <v>52</v>
      </c>
      <c r="B144" s="80"/>
      <c r="C144" s="79" t="s">
        <v>53</v>
      </c>
      <c r="D144" s="80"/>
      <c r="E144" s="80"/>
      <c r="F144" s="27" t="s">
        <v>27</v>
      </c>
      <c r="G144" s="87">
        <v>4</v>
      </c>
      <c r="H144" s="80"/>
      <c r="I144" s="87">
        <v>0.04</v>
      </c>
      <c r="J144" s="80"/>
    </row>
    <row r="145" spans="1:11" ht="24.95" customHeight="1">
      <c r="A145" s="84" t="s">
        <v>54</v>
      </c>
      <c r="B145" s="80"/>
      <c r="C145" s="79"/>
      <c r="D145" s="80"/>
      <c r="E145" s="80"/>
      <c r="F145" s="79"/>
      <c r="G145" s="80"/>
      <c r="H145" s="80"/>
      <c r="I145" s="80"/>
      <c r="J145" s="80"/>
    </row>
    <row r="146" spans="1:11" ht="14.25" customHeight="1">
      <c r="A146" s="79"/>
      <c r="B146" s="80"/>
      <c r="C146" s="79"/>
      <c r="D146" s="80"/>
      <c r="E146" s="80"/>
      <c r="F146" s="27"/>
      <c r="G146" s="87"/>
      <c r="H146" s="80"/>
      <c r="I146" s="87"/>
      <c r="J146" s="80"/>
    </row>
    <row r="147" spans="1:11" ht="24.95" customHeight="1">
      <c r="A147" s="84"/>
      <c r="B147" s="80"/>
      <c r="C147" s="79"/>
      <c r="D147" s="80"/>
      <c r="E147" s="80"/>
      <c r="F147" s="79"/>
      <c r="G147" s="80"/>
      <c r="H147" s="80"/>
      <c r="I147" s="80"/>
      <c r="J147" s="80"/>
    </row>
    <row r="148" spans="1:11" ht="14.25" customHeight="1">
      <c r="A148" s="79"/>
      <c r="B148" s="80"/>
      <c r="C148" s="79"/>
      <c r="D148" s="80"/>
      <c r="E148" s="80"/>
      <c r="F148" s="27"/>
      <c r="G148" s="87"/>
      <c r="H148" s="80"/>
      <c r="I148" s="87"/>
      <c r="J148" s="80"/>
    </row>
    <row r="149" spans="1:11" ht="24.95" customHeight="1">
      <c r="A149" s="84"/>
      <c r="B149" s="80"/>
      <c r="C149" s="79"/>
      <c r="D149" s="80"/>
      <c r="E149" s="80"/>
      <c r="F149" s="79"/>
      <c r="G149" s="80"/>
      <c r="H149" s="80"/>
      <c r="I149" s="80"/>
      <c r="J149" s="80"/>
    </row>
    <row r="150" spans="1:11" ht="14.25" customHeight="1">
      <c r="A150" s="79"/>
      <c r="B150" s="80"/>
      <c r="C150" s="79"/>
      <c r="D150" s="80"/>
      <c r="E150" s="80"/>
      <c r="F150" s="27"/>
      <c r="G150" s="87"/>
      <c r="H150" s="80"/>
      <c r="I150" s="87"/>
      <c r="J150" s="80"/>
    </row>
    <row r="151" spans="1:11" ht="24.95" customHeight="1" thickBot="1">
      <c r="A151" s="84"/>
      <c r="B151" s="80"/>
      <c r="C151" s="79"/>
      <c r="D151" s="80"/>
      <c r="E151" s="80"/>
      <c r="F151" s="79"/>
      <c r="G151" s="80"/>
      <c r="H151" s="80"/>
      <c r="I151" s="80"/>
      <c r="J151" s="80"/>
    </row>
    <row r="152" spans="1:11" s="5" customFormat="1" ht="18" customHeight="1">
      <c r="A152" s="108" t="s">
        <v>88</v>
      </c>
      <c r="B152" s="109"/>
      <c r="C152" s="109"/>
      <c r="D152" s="110"/>
      <c r="E152" s="111" t="s">
        <v>89</v>
      </c>
      <c r="F152" s="112"/>
      <c r="G152" s="28"/>
      <c r="H152" s="113" t="s">
        <v>90</v>
      </c>
      <c r="I152" s="114"/>
      <c r="J152" s="29" t="s">
        <v>91</v>
      </c>
    </row>
    <row r="153" spans="1:11" s="7" customFormat="1" ht="18" customHeight="1">
      <c r="A153" s="115" t="str">
        <f>_xlfn.XLOOKUP(B117,[1]VFDB2!A:A,[1]VFDB2!B:B)</f>
        <v>L型ｱﾝｸﾞﾙ　WT-42B　L=590</v>
      </c>
      <c r="B153" s="116"/>
      <c r="C153" s="116"/>
      <c r="D153" s="117"/>
      <c r="E153" s="121" t="str" cm="1">
        <f t="array" ref="E153">IFERROR(IF(ISBLANK(INDEX(_xlfn._xlws.FILTER([1]加工記録２!$C$3:$C$445, [1]加工記録２!$T$3:$T$445=B119), 6)), "", INDEX(_xlfn._xlws.FILTER([1]加工記録２!$C$3:$C$445, [1]加工記録２!$T$3:$T$445=B119), 6)),"")</f>
        <v>S-30</v>
      </c>
      <c r="F153" s="122"/>
      <c r="G153" s="125" cm="1">
        <f t="array" ref="G153">IFERROR(IF(ISBLANK(INDEX(_xlfn._xlws.FILTER([1]加工記録２!$B$3:$B$445, [1]加工記録２!$T$3:$T$445=B119), 7)), "", INDEX(_xlfn._xlws.FILTER([1]加工記録２!$B$3:$B$445, [1]加工記録２!$T$3:$T$445=B119), 7)),"")</f>
        <v>4</v>
      </c>
      <c r="H153" s="30" t="s">
        <v>92</v>
      </c>
      <c r="I153" s="31" cm="1">
        <f t="array" ref="I153:J153">IFERROR(IF(ISBLANK(INDEX(_xlfn._xlws.FILTER([1]加工記録２!$O$3:$P$445, [1]加工記録２!$T$3:$T$445=B119), 1)), "", INDEX(_xlfn._xlws.FILTER([1]加工記録２!$O$3:$P$445, [1]加工記録２!$T$3:$T$445=B119), 1)),"")</f>
        <v>45831</v>
      </c>
      <c r="J153" s="32" t="str">
        <v/>
      </c>
    </row>
    <row r="154" spans="1:11" s="5" customFormat="1" ht="18" customHeight="1">
      <c r="A154" s="118"/>
      <c r="B154" s="119"/>
      <c r="C154" s="119"/>
      <c r="D154" s="120"/>
      <c r="E154" s="123"/>
      <c r="F154" s="124"/>
      <c r="G154" s="126"/>
      <c r="H154" s="30" t="s">
        <v>93</v>
      </c>
      <c r="I154" s="33" cm="1">
        <f t="array" ref="I154:J154">IFERROR(IF(ISBLANK(INDEX(_xlfn._xlws.FILTER([1]加工記録２!$O$3:$P$445, [1]加工記録２!$T$3:$T$445=B119), 2)), "", INDEX(_xlfn._xlws.FILTER([1]加工記録２!$O$3:$P$445, [1]加工記録２!$T$3:$T$445=B119), 2)),"")</f>
        <v>400</v>
      </c>
      <c r="J154" s="34" t="str">
        <v/>
      </c>
      <c r="K154" s="35"/>
    </row>
    <row r="155" spans="1:11" s="7" customFormat="1" ht="18" customHeight="1">
      <c r="A155" s="127" t="s">
        <v>94</v>
      </c>
      <c r="B155" s="129" t="str">
        <f>_xlfn.XLOOKUP(B117,[1]!テーブル5[品目コード],[1]!テーブル5[温度換算],,)</f>
        <v>-</v>
      </c>
      <c r="C155" s="131" t="s">
        <v>95</v>
      </c>
      <c r="D155" s="149">
        <v>3</v>
      </c>
      <c r="E155" s="121">
        <f>_xlfn.XLOOKUP(B117,[1]!テーブル5[品目コード],[1]!テーブル5[備考１],,)</f>
        <v>0</v>
      </c>
      <c r="F155" s="151"/>
      <c r="G155" s="152"/>
      <c r="H155" s="36" t="s">
        <v>96</v>
      </c>
      <c r="I155" s="33" cm="1">
        <f t="array" ref="I155:J155">IFERROR(IF(ISBLANK(INDEX(_xlfn._xlws.FILTER([1]加工記録２!$O$3:$P$445, [1]加工記録２!$T$3:$T$445=B119), 3)), "", INDEX(_xlfn._xlws.FILTER([1]加工記録２!$O$3:$P$445, [1]加工記録２!$T$3:$T$445=B119), 3)),"")</f>
        <v>100</v>
      </c>
      <c r="J155" s="37" t="str">
        <v/>
      </c>
      <c r="K155" s="38"/>
    </row>
    <row r="156" spans="1:11" s="5" customFormat="1" ht="18" customHeight="1">
      <c r="A156" s="128"/>
      <c r="B156" s="130"/>
      <c r="C156" s="132"/>
      <c r="D156" s="150"/>
      <c r="E156" s="123"/>
      <c r="F156" s="153"/>
      <c r="G156" s="154"/>
      <c r="H156" s="36" t="s">
        <v>97</v>
      </c>
      <c r="I156" s="33" cm="1">
        <f t="array" ref="I156:J156">IFERROR(IF(ISBLANK(INDEX(_xlfn._xlws.FILTER([1]加工記録２!$O$3:$P$445, [1]加工記録２!$T$3:$T$445=B119), 4)), "", INDEX(_xlfn._xlws.FILTER([1]加工記録２!$O$3:$P$445, [1]加工記録２!$T$3:$T$445=B119), 4)),"")</f>
        <v>0</v>
      </c>
      <c r="J156" s="39" t="str">
        <v/>
      </c>
      <c r="K156" s="35"/>
    </row>
    <row r="157" spans="1:11" s="7" customFormat="1" ht="18" customHeight="1">
      <c r="A157" s="155" t="s">
        <v>98</v>
      </c>
      <c r="B157" s="143">
        <f>D117</f>
        <v>590</v>
      </c>
      <c r="C157" s="145" t="s">
        <v>99</v>
      </c>
      <c r="D157" s="147">
        <f>_xlfn.XLOOKUP(B117,[1]!テーブル5[品目コード],[1]!テーブル5[上限公差],,)</f>
        <v>0</v>
      </c>
      <c r="E157" s="121" t="str">
        <f>_xlfn.XLOOKUP(B117,[1]!テーブル5[品目コード],[1]!テーブル5[備考２],,)</f>
        <v>※使用基材、取数は依頼書にて確認</v>
      </c>
      <c r="F157" s="151"/>
      <c r="G157" s="152"/>
      <c r="H157" s="36" t="s">
        <v>100</v>
      </c>
      <c r="I157" s="33" cm="1">
        <f t="array" ref="I157:J157">IFERROR(IF(ISBLANK(INDEX(_xlfn._xlws.FILTER([1]加工記録２!$O$3:$P$445, [1]加工記録２!$T$3:$T$445=B119), 5)), "", INDEX(_xlfn._xlws.FILTER([1]加工記録２!$O$3:$P$445, [1]加工記録２!$T$3:$T$445=B119), 5)),"")</f>
        <v>0</v>
      </c>
      <c r="J157" s="40" t="str">
        <v/>
      </c>
      <c r="K157" s="38"/>
    </row>
    <row r="158" spans="1:11" s="5" customFormat="1" ht="18" customHeight="1">
      <c r="A158" s="156"/>
      <c r="B158" s="144"/>
      <c r="C158" s="146"/>
      <c r="D158" s="148"/>
      <c r="E158" s="123"/>
      <c r="F158" s="153"/>
      <c r="G158" s="154"/>
      <c r="H158" s="36" t="s">
        <v>101</v>
      </c>
      <c r="I158" s="33" cm="1">
        <f t="array" ref="I158:J158">IFERROR(IF(ISBLANK(INDEX(_xlfn._xlws.FILTER([1]加工記録２!$O$3:$P$445, [1]加工記録２!$T$3:$T$445=B119), 6)), "", INDEX(_xlfn._xlws.FILTER([1]加工記録２!$O$3:$P$445, [1]加工記録２!$T$3:$T$445=B119), 6)),"")</f>
        <v>100</v>
      </c>
      <c r="J158" s="41" t="str">
        <v/>
      </c>
      <c r="K158" s="35"/>
    </row>
    <row r="159" spans="1:11" s="7" customFormat="1" ht="18" customHeight="1">
      <c r="A159" s="127" t="s">
        <v>102</v>
      </c>
      <c r="B159" s="158">
        <f>_xlfn.XLOOKUP(B117,[1]!テーブル5[品目コード],[1]!テーブル5[切断寸法],,)</f>
        <v>589</v>
      </c>
      <c r="C159" s="160" t="s">
        <v>103</v>
      </c>
      <c r="D159" s="147">
        <f>_xlfn.XLOOKUP(B117,[1]!テーブル5[品目コード],[1]!テーブル5[下限公差],,)</f>
        <v>-3</v>
      </c>
      <c r="E159" s="121" t="str">
        <f>_xlfn.XLOOKUP(B117,[1]!テーブル5[品目コード],[1]!テーブル5[梱包方法],,)</f>
        <v>ラベル２枚　長手有　鉢巻無</v>
      </c>
      <c r="F159" s="151"/>
      <c r="G159" s="152"/>
      <c r="H159" s="36" t="s">
        <v>104</v>
      </c>
      <c r="I159" s="33" t="str" cm="1">
        <f t="array" ref="I159:J159">IFERROR(IF(ISBLANK(INDEX(_xlfn._xlws.FILTER([1]加工記録２!$O$3:$P$445, [1]加工記録２!$T$3:$T$445=B119), 7)), "", INDEX(_xlfn._xlws.FILTER([1]加工記録２!$O$3:$P$445, [1]加工記録２!$T$3:$T$445=B119), 7)),"")</f>
        <v>水野・富田</v>
      </c>
      <c r="J159" s="42" t="str">
        <v/>
      </c>
      <c r="K159" s="38"/>
    </row>
    <row r="160" spans="1:11" s="5" customFormat="1" ht="18" customHeight="1" thickBot="1">
      <c r="A160" s="157"/>
      <c r="B160" s="159"/>
      <c r="C160" s="161"/>
      <c r="D160" s="162"/>
      <c r="E160" s="163"/>
      <c r="F160" s="164"/>
      <c r="G160" s="165"/>
      <c r="H160" s="43" t="s">
        <v>105</v>
      </c>
      <c r="I160" s="44" t="str" cm="1">
        <f t="array" ref="I160:J160">IFERROR(IF(ISBLANK(INDEX(_xlfn._xlws.FILTER([1]加工記録２!$O$3:$P$445, [1]加工記録２!$T$3:$T$445=B119), 8)), "", INDEX(_xlfn._xlws.FILTER([1]加工記録２!$O$3:$P$445, [1]加工記録２!$T$3:$T$445=B119), 8)),"")</f>
        <v/>
      </c>
      <c r="J160" s="45">
        <v>0</v>
      </c>
    </row>
    <row r="161" spans="1:14" s="56" customFormat="1" ht="18.95" customHeight="1">
      <c r="A161" s="46" t="s">
        <v>106</v>
      </c>
      <c r="B161" s="47" t="s">
        <v>107</v>
      </c>
      <c r="C161" s="48" t="s">
        <v>108</v>
      </c>
      <c r="D161" s="48" t="s">
        <v>109</v>
      </c>
      <c r="E161" s="49" t="s">
        <v>110</v>
      </c>
      <c r="F161" s="50" t="s">
        <v>111</v>
      </c>
      <c r="G161" s="51" t="s">
        <v>112</v>
      </c>
      <c r="H161" s="52" t="s">
        <v>113</v>
      </c>
      <c r="I161" s="53" t="s">
        <v>114</v>
      </c>
      <c r="J161" s="54" t="s">
        <v>115</v>
      </c>
      <c r="K161" s="55"/>
      <c r="L161" s="55"/>
      <c r="M161" s="55"/>
      <c r="N161" s="55"/>
    </row>
    <row r="162" spans="1:14" s="67" customFormat="1" ht="18.95" customHeight="1">
      <c r="A162" s="57" t="str" cm="1">
        <f t="array" ref="A162:J162">IFERROR(IF(ISBLANK(INDEX(_xlfn._xlws.FILTER([1]加工記録２!$D$3:$M$445, [1]加工記録２!$T$3:$T$445=B119), 1)), "", INDEX(_xlfn._xlws.FILTER([1]加工記録２!$D$3:$M$445, [1]加工記録２!$T$3:$T$445=B119), 1)),"")</f>
        <v/>
      </c>
      <c r="B162" s="58" t="str">
        <v/>
      </c>
      <c r="C162" s="59" t="str">
        <v/>
      </c>
      <c r="D162" s="59" t="str">
        <v/>
      </c>
      <c r="E162" s="60" t="str">
        <v/>
      </c>
      <c r="F162" s="61" t="str">
        <v>25F12B</v>
      </c>
      <c r="G162" s="62" t="str">
        <v/>
      </c>
      <c r="H162" s="63">
        <v>0</v>
      </c>
      <c r="I162" s="64">
        <v>45831</v>
      </c>
      <c r="J162" s="65">
        <v>4</v>
      </c>
      <c r="K162" s="66"/>
      <c r="L162" s="66"/>
      <c r="M162" s="66"/>
      <c r="N162" s="66"/>
    </row>
    <row r="163" spans="1:14" s="67" customFormat="1" ht="18.95" customHeight="1">
      <c r="A163" s="57" cm="1">
        <f t="array" ref="A163:J163">IFERROR(IF(ISBLANK(INDEX(_xlfn._xlws.FILTER([1]加工記録２!$D$3:$M$445, [1]加工記録２!$T$3:$T$445=B119), 2)), "", INDEX(_xlfn._xlws.FILTER([1]加工記録２!$D$3:$M$445, [1]加工記録２!$T$3:$T$445=B119), 2)),"")</f>
        <v>45831</v>
      </c>
      <c r="B163" s="62" t="str">
        <v>25F12B</v>
      </c>
      <c r="C163" s="62" t="str">
        <v/>
      </c>
      <c r="D163" s="62">
        <v>590</v>
      </c>
      <c r="E163" s="68">
        <v>589.57000000000005</v>
      </c>
      <c r="F163" s="61" t="str">
        <v>25C05B</v>
      </c>
      <c r="G163" s="62">
        <v>200</v>
      </c>
      <c r="H163" s="63">
        <v>100</v>
      </c>
      <c r="I163" s="64" t="str">
        <v/>
      </c>
      <c r="J163" s="65" t="str">
        <v/>
      </c>
      <c r="K163" s="66"/>
      <c r="L163" s="66"/>
      <c r="M163" s="66"/>
      <c r="N163" s="66"/>
    </row>
    <row r="164" spans="1:14" s="67" customFormat="1" ht="18.95" customHeight="1">
      <c r="A164" s="57" cm="1">
        <f t="array" ref="A164:J164">IFERROR(IF(ISBLANK(INDEX(_xlfn._xlws.FILTER([1]加工記録２!$D$3:$M$445, [1]加工記録２!$T$3:$T$445=B119), 3)), "", INDEX(_xlfn._xlws.FILTER([1]加工記録２!$D$3:$M$445, [1]加工記録２!$T$3:$T$445=B119), 3)),"")</f>
        <v>45831</v>
      </c>
      <c r="B164" s="62" t="str">
        <v>25C05B</v>
      </c>
      <c r="C164" s="62" t="str">
        <v/>
      </c>
      <c r="D164" s="62">
        <v>590</v>
      </c>
      <c r="E164" s="68">
        <v>589.55999999999995</v>
      </c>
      <c r="F164" s="61" t="str">
        <v/>
      </c>
      <c r="G164" s="62" t="str">
        <v/>
      </c>
      <c r="H164" s="63" t="str">
        <v/>
      </c>
      <c r="I164" s="64" t="str">
        <v/>
      </c>
      <c r="J164" s="65" t="str">
        <v/>
      </c>
      <c r="K164" s="66"/>
      <c r="L164" s="66"/>
      <c r="M164" s="66"/>
      <c r="N164" s="66"/>
    </row>
    <row r="165" spans="1:14" s="67" customFormat="1" ht="18.95" customHeight="1">
      <c r="A165" s="57" t="str" cm="1">
        <f t="array" ref="A165:J165">IFERROR(IF(ISBLANK(INDEX(_xlfn._xlws.FILTER([1]加工記録２!$D$3:$M$445, [1]加工記録２!$T$3:$T$445=B119), 4)), "", INDEX(_xlfn._xlws.FILTER([1]加工記録２!$D$3:$M$445, [1]加工記録２!$T$3:$T$445=B119), 4)),"")</f>
        <v/>
      </c>
      <c r="B165" s="62" t="str">
        <v/>
      </c>
      <c r="C165" s="62" t="str">
        <v/>
      </c>
      <c r="D165" s="62" t="str">
        <v/>
      </c>
      <c r="E165" s="68" t="str">
        <v/>
      </c>
      <c r="F165" s="61" t="str">
        <v/>
      </c>
      <c r="G165" s="62" t="str">
        <v/>
      </c>
      <c r="H165" s="63" t="str">
        <v/>
      </c>
      <c r="I165" s="64" t="str">
        <v/>
      </c>
      <c r="J165" s="65" t="str">
        <v/>
      </c>
      <c r="K165" s="66"/>
      <c r="L165" s="66"/>
      <c r="M165" s="66"/>
      <c r="N165" s="66"/>
    </row>
    <row r="166" spans="1:14" s="67" customFormat="1" ht="18.95" customHeight="1">
      <c r="A166" s="57" t="str" cm="1">
        <f t="array" ref="A166:J166">IFERROR(IF(ISBLANK(INDEX(_xlfn._xlws.FILTER([1]加工記録２!$D$3:$M$445, [1]加工記録２!$T$3:$T$445=B119), 5)), "", INDEX(_xlfn._xlws.FILTER([1]加工記録２!$D$3:$M$445, [1]加工記録２!$T$3:$T$445=B119), 5)),"")</f>
        <v/>
      </c>
      <c r="B166" s="62" t="str">
        <v/>
      </c>
      <c r="C166" s="62" t="str">
        <v/>
      </c>
      <c r="D166" s="62" t="str">
        <v/>
      </c>
      <c r="E166" s="68" t="str">
        <v/>
      </c>
      <c r="F166" s="61" t="str">
        <v/>
      </c>
      <c r="G166" s="62" t="str">
        <v/>
      </c>
      <c r="H166" s="63" t="str">
        <v/>
      </c>
      <c r="I166" s="69" t="str">
        <v/>
      </c>
      <c r="J166" s="70" t="str">
        <v/>
      </c>
      <c r="K166" s="66"/>
      <c r="L166" s="66"/>
      <c r="M166" s="66"/>
      <c r="N166" s="66"/>
    </row>
    <row r="167" spans="1:14" s="67" customFormat="1" ht="18.95" customHeight="1">
      <c r="A167" s="57" t="str" cm="1">
        <f t="array" ref="A167:J167">IFERROR(IF(ISBLANK(INDEX(_xlfn._xlws.FILTER([1]加工記録２!$D$3:$M$445, [1]加工記録２!$T$3:$T$445=B119), 6)), "", INDEX(_xlfn._xlws.FILTER([1]加工記録２!$D$3:$M$445, [1]加工記録２!$T$3:$T$445=B119), 6)),"")</f>
        <v/>
      </c>
      <c r="B167" s="62" t="str">
        <v/>
      </c>
      <c r="C167" s="62" t="str">
        <v/>
      </c>
      <c r="D167" s="62" t="str">
        <v/>
      </c>
      <c r="E167" s="68" t="str">
        <v/>
      </c>
      <c r="F167" s="61" t="str">
        <v/>
      </c>
      <c r="G167" s="62" t="str">
        <v/>
      </c>
      <c r="H167" s="71" t="str">
        <v/>
      </c>
      <c r="I167" s="69" t="str">
        <v/>
      </c>
      <c r="J167" s="70" t="str">
        <v/>
      </c>
      <c r="K167" s="66"/>
      <c r="L167" s="66"/>
      <c r="M167" s="66"/>
      <c r="N167" s="66"/>
    </row>
    <row r="168" spans="1:14" s="67" customFormat="1" ht="18.95" customHeight="1">
      <c r="A168" s="57" t="str" cm="1">
        <f t="array" ref="A168:J168">IFERROR(IF(ISBLANK(INDEX(_xlfn._xlws.FILTER([1]加工記録２!$D$3:$M$445, [1]加工記録２!$T$3:$T$445=B119), 7)), "", INDEX(_xlfn._xlws.FILTER([1]加工記録２!$D$3:$M$445, [1]加工記録２!$T$3:$T$445=B119), 7)),"")</f>
        <v/>
      </c>
      <c r="B168" s="62" t="str">
        <v/>
      </c>
      <c r="C168" s="62" t="str">
        <v/>
      </c>
      <c r="D168" s="62" t="str">
        <v/>
      </c>
      <c r="E168" s="68" t="str">
        <v/>
      </c>
      <c r="F168" s="61" t="str">
        <v/>
      </c>
      <c r="G168" s="62" t="str">
        <v/>
      </c>
      <c r="H168" s="71" t="str">
        <v/>
      </c>
      <c r="I168" s="69" t="str">
        <v/>
      </c>
      <c r="J168" s="70" t="str">
        <v/>
      </c>
      <c r="K168" s="66"/>
      <c r="L168" s="66"/>
      <c r="M168" s="66"/>
      <c r="N168" s="66"/>
    </row>
    <row r="169" spans="1:14" s="67" customFormat="1" ht="18.95" customHeight="1" thickBot="1">
      <c r="A169" s="72" t="str" cm="1">
        <f t="array" aca="1" ref="A169" ca="1">IFERROR(F(ISBLANK(INDEX(_xlfn._xlws.FILTER([1]加工記録２!$D$3:$M$445, [1]加工記録２!$T$3:$T$445=B119), 8)), "", INDEX(_xlfn._xlws.FILTER([1]加工記録２!$D$3:$M$445, [1]加工記録２!$T$3:$T$445=B119), 8)),"")</f>
        <v/>
      </c>
      <c r="B169" s="73"/>
      <c r="C169" s="73"/>
      <c r="D169" s="73"/>
      <c r="E169" s="74"/>
      <c r="F169" s="75"/>
      <c r="G169" s="73"/>
      <c r="H169" s="76"/>
      <c r="I169" s="77"/>
      <c r="J169" s="78"/>
      <c r="K169" s="66"/>
      <c r="L169" s="66"/>
      <c r="M169" s="66"/>
      <c r="N169" s="66"/>
    </row>
    <row r="170" spans="1:14" ht="13.5" customHeight="1" thickBo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</row>
    <row r="171" spans="1:14" ht="6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4" ht="14.25" customHeight="1">
      <c r="A172" s="12"/>
      <c r="B172" s="140" t="s">
        <v>0</v>
      </c>
      <c r="C172" s="80"/>
      <c r="D172" s="80"/>
      <c r="E172" s="12"/>
      <c r="F172" s="12"/>
      <c r="G172" s="12"/>
      <c r="H172" s="12"/>
      <c r="I172" s="12"/>
      <c r="J172" s="12"/>
    </row>
    <row r="173" spans="1:14" ht="14.25" customHeight="1">
      <c r="A173" s="13"/>
      <c r="B173" s="80"/>
      <c r="C173" s="80"/>
      <c r="D173" s="80"/>
      <c r="E173" s="13"/>
      <c r="F173" s="13"/>
      <c r="G173" s="13"/>
      <c r="H173" s="13"/>
      <c r="I173" s="13"/>
      <c r="J173" s="13"/>
    </row>
    <row r="174" spans="1:14" ht="14.25" customHeight="1">
      <c r="A174" s="86" t="s">
        <v>1</v>
      </c>
      <c r="B174" s="86" t="s">
        <v>65</v>
      </c>
      <c r="C174" s="86" t="s">
        <v>3</v>
      </c>
      <c r="D174" s="137">
        <v>690</v>
      </c>
      <c r="E174" s="86" t="s">
        <v>4</v>
      </c>
      <c r="F174" s="135" t="s">
        <v>66</v>
      </c>
      <c r="G174" s="80"/>
      <c r="H174" s="97"/>
      <c r="I174" s="14" t="s">
        <v>6</v>
      </c>
      <c r="J174" s="14" t="s">
        <v>7</v>
      </c>
    </row>
    <row r="175" spans="1:14" ht="14.25" customHeight="1">
      <c r="A175" s="80"/>
      <c r="B175" s="80"/>
      <c r="C175" s="80"/>
      <c r="D175" s="80"/>
      <c r="E175" s="80"/>
      <c r="F175" s="80"/>
      <c r="G175" s="80"/>
      <c r="H175" s="97"/>
      <c r="I175" s="94"/>
      <c r="J175" s="94"/>
    </row>
    <row r="176" spans="1:14" ht="17.45" customHeight="1">
      <c r="A176" s="83" t="s">
        <v>8</v>
      </c>
      <c r="B176" s="83" t="s">
        <v>67</v>
      </c>
      <c r="E176" s="83" t="s">
        <v>10</v>
      </c>
      <c r="F176" s="96" t="s">
        <v>11</v>
      </c>
      <c r="G176" s="80"/>
      <c r="H176" s="97"/>
      <c r="I176" s="95"/>
      <c r="J176" s="95"/>
    </row>
    <row r="177" spans="1:10" ht="17.45" customHeight="1">
      <c r="A177" s="80"/>
      <c r="B177" s="80"/>
      <c r="E177" s="80"/>
      <c r="F177" s="80"/>
      <c r="G177" s="80"/>
      <c r="H177" s="97"/>
      <c r="I177" s="15"/>
      <c r="J177" s="15"/>
    </row>
    <row r="178" spans="1:10" ht="17.45" customHeight="1">
      <c r="A178" s="83" t="s">
        <v>12</v>
      </c>
      <c r="B178" s="83" t="s">
        <v>68</v>
      </c>
      <c r="E178" s="2" t="s">
        <v>14</v>
      </c>
      <c r="F178" s="102" t="s">
        <v>15</v>
      </c>
      <c r="G178" s="80"/>
      <c r="H178" s="22"/>
    </row>
    <row r="179" spans="1:10" ht="17.45" customHeight="1">
      <c r="A179" s="80"/>
      <c r="B179" s="80"/>
      <c r="E179" s="2" t="s">
        <v>16</v>
      </c>
      <c r="F179" s="22" t="s">
        <v>17</v>
      </c>
      <c r="G179" s="22"/>
      <c r="H179" s="22"/>
    </row>
    <row r="180" spans="1:10" ht="17.45" customHeight="1">
      <c r="A180" s="2" t="s">
        <v>18</v>
      </c>
      <c r="B180" s="4">
        <v>45835</v>
      </c>
      <c r="E180" s="2" t="s">
        <v>19</v>
      </c>
      <c r="F180" s="85">
        <v>100</v>
      </c>
      <c r="G180" s="80"/>
      <c r="H180" s="22"/>
    </row>
    <row r="181" spans="1:10" ht="17.45" customHeight="1">
      <c r="A181" s="2" t="s">
        <v>20</v>
      </c>
      <c r="B181" s="4">
        <v>45835</v>
      </c>
      <c r="E181" s="2" t="s">
        <v>21</v>
      </c>
      <c r="F181" s="22">
        <v>4</v>
      </c>
      <c r="G181" s="98" t="s">
        <v>22</v>
      </c>
      <c r="H181" s="103">
        <v>400</v>
      </c>
      <c r="I181" s="104"/>
      <c r="J181" s="105"/>
    </row>
    <row r="182" spans="1:10" ht="17.45" customHeight="1">
      <c r="A182" s="20"/>
      <c r="B182" s="21"/>
      <c r="C182" s="21"/>
      <c r="D182" s="21"/>
      <c r="E182" s="2" t="s">
        <v>23</v>
      </c>
      <c r="F182" s="22" t="s">
        <v>24</v>
      </c>
      <c r="G182" s="99"/>
      <c r="H182" s="99"/>
      <c r="I182" s="106"/>
      <c r="J182" s="107"/>
    </row>
    <row r="183" spans="1:10" ht="13.5" customHeight="1">
      <c r="A183" s="133" t="s">
        <v>69</v>
      </c>
      <c r="B183" s="80"/>
      <c r="C183" s="80"/>
      <c r="D183" s="21"/>
      <c r="F183" s="3"/>
      <c r="G183" s="100" t="s">
        <v>26</v>
      </c>
      <c r="H183" s="141" t="s">
        <v>27</v>
      </c>
      <c r="I183" s="142" t="s">
        <v>28</v>
      </c>
      <c r="J183" s="97"/>
    </row>
    <row r="184" spans="1:10" ht="13.5" customHeight="1">
      <c r="A184" s="80"/>
      <c r="B184" s="80"/>
      <c r="C184" s="80"/>
      <c r="D184" s="21"/>
      <c r="F184" s="3"/>
      <c r="G184" s="101"/>
      <c r="H184" s="101"/>
      <c r="I184" s="106"/>
      <c r="J184" s="107"/>
    </row>
    <row r="185" spans="1:10" ht="13.5" customHeight="1">
      <c r="A185" s="1" t="s">
        <v>29</v>
      </c>
    </row>
    <row r="186" spans="1:10" ht="63" customHeight="1">
      <c r="A186" s="138"/>
      <c r="B186" s="139"/>
      <c r="C186" s="139"/>
      <c r="D186" s="139"/>
      <c r="E186" s="139"/>
      <c r="F186" s="139"/>
      <c r="G186" s="139"/>
      <c r="H186" s="139"/>
      <c r="I186" s="139"/>
      <c r="J186" s="139"/>
    </row>
    <row r="187" spans="1:10" ht="18.75">
      <c r="A187" s="24" t="s">
        <v>30</v>
      </c>
      <c r="B187" s="17" t="s">
        <v>31</v>
      </c>
      <c r="C187" s="88" t="s">
        <v>32</v>
      </c>
      <c r="D187" s="89"/>
      <c r="E187" s="17" t="s">
        <v>33</v>
      </c>
      <c r="F187" s="88" t="s">
        <v>34</v>
      </c>
      <c r="G187" s="89"/>
      <c r="H187" s="89"/>
      <c r="I187" s="136" t="s">
        <v>35</v>
      </c>
      <c r="J187" s="89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3">
        <v>1</v>
      </c>
      <c r="B189" s="25" t="s">
        <v>36</v>
      </c>
      <c r="C189" s="79" t="s">
        <v>37</v>
      </c>
      <c r="D189" s="80"/>
      <c r="E189" s="25" t="s">
        <v>38</v>
      </c>
      <c r="F189" s="79" t="s">
        <v>39</v>
      </c>
      <c r="G189" s="80"/>
      <c r="H189" s="80"/>
      <c r="I189" s="90"/>
      <c r="J189" s="80"/>
    </row>
    <row r="190" spans="1:10" ht="16.5" customHeight="1">
      <c r="A190" s="23">
        <v>1</v>
      </c>
      <c r="B190" s="26" t="s">
        <v>36</v>
      </c>
      <c r="C190" s="79" t="s">
        <v>37</v>
      </c>
      <c r="D190" s="80"/>
      <c r="E190" s="25" t="s">
        <v>40</v>
      </c>
      <c r="F190" s="79" t="s">
        <v>41</v>
      </c>
      <c r="G190" s="80"/>
      <c r="H190" s="80"/>
      <c r="I190" s="90"/>
      <c r="J190" s="80"/>
    </row>
    <row r="191" spans="1:10" ht="16.5" customHeight="1">
      <c r="A191" s="23"/>
      <c r="B191" s="26"/>
      <c r="C191" s="79"/>
      <c r="D191" s="80"/>
      <c r="E191" s="25"/>
      <c r="F191" s="79"/>
      <c r="G191" s="80"/>
      <c r="H191" s="80"/>
      <c r="I191" s="90"/>
      <c r="J191" s="80"/>
    </row>
    <row r="192" spans="1:10" ht="16.5" customHeight="1">
      <c r="A192" s="23"/>
      <c r="B192" s="26"/>
      <c r="C192" s="79"/>
      <c r="D192" s="80"/>
      <c r="E192" s="25"/>
      <c r="F192" s="79"/>
      <c r="G192" s="80"/>
      <c r="H192" s="80"/>
      <c r="I192" s="90"/>
      <c r="J192" s="80"/>
    </row>
    <row r="193" spans="1:10" ht="16.5" customHeight="1">
      <c r="A193" s="23"/>
      <c r="B193" s="26"/>
      <c r="C193" s="79"/>
      <c r="D193" s="80"/>
      <c r="E193" s="25"/>
      <c r="F193" s="79"/>
      <c r="G193" s="80"/>
      <c r="H193" s="80"/>
      <c r="I193" s="90"/>
      <c r="J193" s="80"/>
    </row>
    <row r="194" spans="1:10" ht="16.5" customHeight="1">
      <c r="A194" s="23"/>
      <c r="B194" s="26"/>
      <c r="C194" s="79"/>
      <c r="D194" s="80"/>
      <c r="E194" s="25"/>
      <c r="F194" s="79"/>
      <c r="G194" s="80"/>
      <c r="H194" s="80"/>
      <c r="I194" s="90"/>
      <c r="J194" s="80"/>
    </row>
    <row r="195" spans="1:10" ht="16.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</row>
    <row r="196" spans="1:10" ht="18.75">
      <c r="A196" s="81" t="s">
        <v>42</v>
      </c>
      <c r="B196" s="82"/>
      <c r="C196" s="81" t="s">
        <v>43</v>
      </c>
      <c r="D196" s="82"/>
      <c r="E196" s="82"/>
      <c r="F196" s="18" t="s">
        <v>44</v>
      </c>
      <c r="G196" s="81" t="s">
        <v>45</v>
      </c>
      <c r="H196" s="82"/>
      <c r="I196" s="81" t="s">
        <v>46</v>
      </c>
      <c r="J196" s="82"/>
    </row>
    <row r="197" spans="1:10" ht="14.25" customHeight="1">
      <c r="A197" s="8"/>
      <c r="B197" s="19"/>
      <c r="C197" s="134" t="s">
        <v>47</v>
      </c>
      <c r="D197" s="106"/>
      <c r="E197" s="19"/>
      <c r="F197" s="134" t="s">
        <v>29</v>
      </c>
      <c r="G197" s="106"/>
      <c r="H197" s="106"/>
      <c r="I197" s="106"/>
      <c r="J197" s="106"/>
    </row>
    <row r="198" spans="1:10">
      <c r="A198" s="9"/>
      <c r="C198" s="7"/>
      <c r="D198" s="7"/>
      <c r="E198" s="7"/>
    </row>
    <row r="199" spans="1:10" ht="14.25" customHeight="1">
      <c r="A199" s="79" t="s">
        <v>48</v>
      </c>
      <c r="B199" s="80"/>
      <c r="C199" s="79" t="s">
        <v>49</v>
      </c>
      <c r="D199" s="80"/>
      <c r="E199" s="80"/>
      <c r="F199" s="27" t="s">
        <v>50</v>
      </c>
      <c r="G199" s="87">
        <v>180</v>
      </c>
      <c r="H199" s="80"/>
      <c r="I199" s="87">
        <v>1.8</v>
      </c>
      <c r="J199" s="80"/>
    </row>
    <row r="200" spans="1:10" ht="24.95" customHeight="1">
      <c r="A200" s="84" t="s">
        <v>51</v>
      </c>
      <c r="B200" s="80"/>
      <c r="C200" s="79" t="s">
        <v>11</v>
      </c>
      <c r="D200" s="80"/>
      <c r="E200" s="80"/>
      <c r="F200" s="79"/>
      <c r="G200" s="80"/>
      <c r="H200" s="80"/>
      <c r="I200" s="80"/>
      <c r="J200" s="80"/>
    </row>
    <row r="201" spans="1:10" ht="14.25" customHeight="1">
      <c r="A201" s="93" t="s">
        <v>86</v>
      </c>
      <c r="B201" s="80"/>
      <c r="C201" s="79" t="s">
        <v>71</v>
      </c>
      <c r="D201" s="80"/>
      <c r="E201" s="80"/>
      <c r="F201" s="27" t="s">
        <v>27</v>
      </c>
      <c r="G201" s="87">
        <v>4</v>
      </c>
      <c r="H201" s="80"/>
      <c r="I201" s="87">
        <v>0.04</v>
      </c>
      <c r="J201" s="80"/>
    </row>
    <row r="202" spans="1:10" ht="24.95" customHeight="1">
      <c r="A202" s="84" t="s">
        <v>72</v>
      </c>
      <c r="B202" s="80"/>
      <c r="C202" s="79"/>
      <c r="D202" s="80"/>
      <c r="E202" s="80"/>
      <c r="F202" s="79"/>
      <c r="G202" s="80"/>
      <c r="H202" s="80"/>
      <c r="I202" s="80"/>
      <c r="J202" s="80"/>
    </row>
    <row r="203" spans="1:10" ht="14.25" customHeight="1">
      <c r="A203" s="79"/>
      <c r="B203" s="80"/>
      <c r="C203" s="79"/>
      <c r="D203" s="80"/>
      <c r="E203" s="80"/>
      <c r="F203" s="27"/>
      <c r="G203" s="87"/>
      <c r="H203" s="80"/>
      <c r="I203" s="87"/>
      <c r="J203" s="80"/>
    </row>
    <row r="204" spans="1:10" ht="24.95" customHeight="1">
      <c r="A204" s="84"/>
      <c r="B204" s="80"/>
      <c r="C204" s="79"/>
      <c r="D204" s="80"/>
      <c r="E204" s="80"/>
      <c r="F204" s="79"/>
      <c r="G204" s="80"/>
      <c r="H204" s="80"/>
      <c r="I204" s="80"/>
      <c r="J204" s="80"/>
    </row>
    <row r="205" spans="1:10" ht="14.25" customHeight="1">
      <c r="A205" s="79"/>
      <c r="B205" s="80"/>
      <c r="C205" s="79"/>
      <c r="D205" s="80"/>
      <c r="E205" s="80"/>
      <c r="F205" s="27"/>
      <c r="G205" s="87"/>
      <c r="H205" s="80"/>
      <c r="I205" s="87"/>
      <c r="J205" s="80"/>
    </row>
    <row r="206" spans="1:10" ht="24.95" customHeight="1">
      <c r="A206" s="84"/>
      <c r="B206" s="80"/>
      <c r="C206" s="79"/>
      <c r="D206" s="80"/>
      <c r="E206" s="80"/>
      <c r="F206" s="79"/>
      <c r="G206" s="80"/>
      <c r="H206" s="80"/>
      <c r="I206" s="80"/>
      <c r="J206" s="80"/>
    </row>
    <row r="207" spans="1:10" ht="14.25" customHeight="1">
      <c r="A207" s="79"/>
      <c r="B207" s="80"/>
      <c r="C207" s="79"/>
      <c r="D207" s="80"/>
      <c r="E207" s="80"/>
      <c r="F207" s="27"/>
      <c r="G207" s="87"/>
      <c r="H207" s="80"/>
      <c r="I207" s="87"/>
      <c r="J207" s="80"/>
    </row>
    <row r="208" spans="1:10" ht="24.95" customHeight="1" thickBot="1">
      <c r="A208" s="84"/>
      <c r="B208" s="80"/>
      <c r="C208" s="79"/>
      <c r="D208" s="80"/>
      <c r="E208" s="80"/>
      <c r="F208" s="79"/>
      <c r="G208" s="80"/>
      <c r="H208" s="80"/>
      <c r="I208" s="80"/>
      <c r="J208" s="80"/>
    </row>
    <row r="209" spans="1:14" s="5" customFormat="1" ht="18" customHeight="1">
      <c r="A209" s="108" t="s">
        <v>88</v>
      </c>
      <c r="B209" s="109"/>
      <c r="C209" s="109"/>
      <c r="D209" s="110"/>
      <c r="E209" s="111" t="s">
        <v>89</v>
      </c>
      <c r="F209" s="112"/>
      <c r="G209" s="28"/>
      <c r="H209" s="113" t="s">
        <v>90</v>
      </c>
      <c r="I209" s="114"/>
      <c r="J209" s="29" t="s">
        <v>91</v>
      </c>
    </row>
    <row r="210" spans="1:14" s="7" customFormat="1" ht="18" customHeight="1">
      <c r="A210" s="115" t="str">
        <f>_xlfn.XLOOKUP(B174,[1]VFDB2!A:A,[1]VFDB2!B:B)</f>
        <v>L型ｱﾝｸﾞﾙ　P-VH-56D　L=690</v>
      </c>
      <c r="B210" s="116"/>
      <c r="C210" s="116"/>
      <c r="D210" s="117"/>
      <c r="E210" s="121" t="str" cm="1">
        <f t="array" ref="E210">IFERROR(IF(ISBLANK(INDEX(_xlfn._xlws.FILTER([1]加工記録２!$C$3:$C$445, [1]加工記録２!$T$3:$T$445=B176), 6)), "", INDEX(_xlfn._xlws.FILTER([1]加工記録２!$C$3:$C$445, [1]加工記録２!$T$3:$T$445=B176), 6)),"")</f>
        <v>S-40</v>
      </c>
      <c r="F210" s="122"/>
      <c r="G210" s="125" cm="1">
        <f t="array" ref="G210">IFERROR(IF(ISBLANK(INDEX(_xlfn._xlws.FILTER([1]加工記録２!$B$3:$B$445, [1]加工記録２!$T$3:$T$445=B176), 7)), "", INDEX(_xlfn._xlws.FILTER([1]加工記録２!$B$3:$B$445, [1]加工記録２!$T$3:$T$445=B176), 7)),"")</f>
        <v>4</v>
      </c>
      <c r="H210" s="30" t="s">
        <v>92</v>
      </c>
      <c r="I210" s="31" cm="1">
        <f t="array" ref="I210:J210">IFERROR(IF(ISBLANK(INDEX(_xlfn._xlws.FILTER([1]加工記録２!$O$3:$P$445, [1]加工記録２!$T$3:$T$445=B176), 1)), "", INDEX(_xlfn._xlws.FILTER([1]加工記録２!$O$3:$P$445, [1]加工記録２!$T$3:$T$445=B176), 1)),"")</f>
        <v>45831</v>
      </c>
      <c r="J210" s="32" t="str">
        <v/>
      </c>
    </row>
    <row r="211" spans="1:14" s="5" customFormat="1" ht="18" customHeight="1">
      <c r="A211" s="118"/>
      <c r="B211" s="119"/>
      <c r="C211" s="119"/>
      <c r="D211" s="120"/>
      <c r="E211" s="123"/>
      <c r="F211" s="124"/>
      <c r="G211" s="126"/>
      <c r="H211" s="30" t="s">
        <v>93</v>
      </c>
      <c r="I211" s="33" cm="1">
        <f t="array" ref="I211:J211">IFERROR(IF(ISBLANK(INDEX(_xlfn._xlws.FILTER([1]加工記録２!$O$3:$P$445, [1]加工記録２!$T$3:$T$445=B176), 2)), "", INDEX(_xlfn._xlws.FILTER([1]加工記録２!$O$3:$P$445, [1]加工記録２!$T$3:$T$445=B176), 2)),"")</f>
        <v>400</v>
      </c>
      <c r="J211" s="34" t="str">
        <v/>
      </c>
      <c r="K211" s="35"/>
    </row>
    <row r="212" spans="1:14" s="7" customFormat="1" ht="18" customHeight="1">
      <c r="A212" s="127" t="s">
        <v>94</v>
      </c>
      <c r="B212" s="129" t="str">
        <f>_xlfn.XLOOKUP(B174,[1]!テーブル5[品目コード],[1]!テーブル5[温度換算],,)</f>
        <v>-</v>
      </c>
      <c r="C212" s="131" t="s">
        <v>95</v>
      </c>
      <c r="D212" s="149">
        <f>_xlfn.XLOOKUP(B174,[1]!テーブル5[品目コード],[1]!テーブル5[取数],,)</f>
        <v>2</v>
      </c>
      <c r="E212" s="121">
        <f>_xlfn.XLOOKUP(B174,[1]!テーブル5[品目コード],[1]!テーブル5[備考１],,)</f>
        <v>0</v>
      </c>
      <c r="F212" s="151"/>
      <c r="G212" s="152"/>
      <c r="H212" s="36" t="s">
        <v>96</v>
      </c>
      <c r="I212" s="33" cm="1">
        <f t="array" ref="I212:J212">IFERROR(IF(ISBLANK(INDEX(_xlfn._xlws.FILTER([1]加工記録２!$O$3:$P$445, [1]加工記録２!$T$3:$T$445=B176), 3)), "", INDEX(_xlfn._xlws.FILTER([1]加工記録２!$O$3:$P$445, [1]加工記録２!$T$3:$T$445=B176), 3)),"")</f>
        <v>0</v>
      </c>
      <c r="J212" s="37" t="str">
        <v/>
      </c>
      <c r="K212" s="38"/>
    </row>
    <row r="213" spans="1:14" s="5" customFormat="1" ht="18" customHeight="1">
      <c r="A213" s="128"/>
      <c r="B213" s="130"/>
      <c r="C213" s="132"/>
      <c r="D213" s="150"/>
      <c r="E213" s="123"/>
      <c r="F213" s="153"/>
      <c r="G213" s="154"/>
      <c r="H213" s="36" t="s">
        <v>97</v>
      </c>
      <c r="I213" s="33" cm="1">
        <f t="array" ref="I213:J213">IFERROR(IF(ISBLANK(INDEX(_xlfn._xlws.FILTER([1]加工記録２!$O$3:$P$445, [1]加工記録２!$T$3:$T$445=B176), 4)), "", INDEX(_xlfn._xlws.FILTER([1]加工記録２!$O$3:$P$445, [1]加工記録２!$T$3:$T$445=B176), 4)),"")</f>
        <v>0</v>
      </c>
      <c r="J213" s="39" t="str">
        <v/>
      </c>
      <c r="K213" s="35"/>
    </row>
    <row r="214" spans="1:14" s="7" customFormat="1" ht="18" customHeight="1">
      <c r="A214" s="155" t="s">
        <v>98</v>
      </c>
      <c r="B214" s="143">
        <f>D174</f>
        <v>690</v>
      </c>
      <c r="C214" s="145" t="s">
        <v>99</v>
      </c>
      <c r="D214" s="147">
        <f>_xlfn.XLOOKUP(B174,[1]!テーブル5[品目コード],[1]!テーブル5[上限公差],,)</f>
        <v>0</v>
      </c>
      <c r="E214" s="121" t="str">
        <f>_xlfn.XLOOKUP(B174,[1]!テーブル5[品目コード],[1]!テーブル5[備考２],,)</f>
        <v>※使用基材、取数は依頼書にて確認</v>
      </c>
      <c r="F214" s="151"/>
      <c r="G214" s="152"/>
      <c r="H214" s="36" t="s">
        <v>100</v>
      </c>
      <c r="I214" s="33" cm="1">
        <f t="array" ref="I214:J214">IFERROR(IF(ISBLANK(INDEX(_xlfn._xlws.FILTER([1]加工記録２!$O$3:$P$445, [1]加工記録２!$T$3:$T$445=B176), 5)), "", INDEX(_xlfn._xlws.FILTER([1]加工記録２!$O$3:$P$445, [1]加工記録２!$T$3:$T$445=B176), 5)),"")</f>
        <v>0</v>
      </c>
      <c r="J214" s="40" t="str">
        <v/>
      </c>
      <c r="K214" s="38"/>
    </row>
    <row r="215" spans="1:14" s="5" customFormat="1" ht="18" customHeight="1">
      <c r="A215" s="156"/>
      <c r="B215" s="144"/>
      <c r="C215" s="146"/>
      <c r="D215" s="148"/>
      <c r="E215" s="123"/>
      <c r="F215" s="153"/>
      <c r="G215" s="154"/>
      <c r="H215" s="36" t="s">
        <v>101</v>
      </c>
      <c r="I215" s="33" cm="1">
        <f t="array" ref="I215:J215">IFERROR(IF(ISBLANK(INDEX(_xlfn._xlws.FILTER([1]加工記録２!$O$3:$P$445, [1]加工記録２!$T$3:$T$445=B176), 6)), "", INDEX(_xlfn._xlws.FILTER([1]加工記録２!$O$3:$P$445, [1]加工記録２!$T$3:$T$445=B176), 6)),"")</f>
        <v>400</v>
      </c>
      <c r="J215" s="41" t="str">
        <v/>
      </c>
      <c r="K215" s="35"/>
    </row>
    <row r="216" spans="1:14" s="7" customFormat="1" ht="18" customHeight="1">
      <c r="A216" s="127" t="s">
        <v>102</v>
      </c>
      <c r="B216" s="158">
        <f>_xlfn.XLOOKUP(B174,[1]!テーブル5[品目コード],[1]!テーブル5[切断寸法],,)</f>
        <v>689</v>
      </c>
      <c r="C216" s="160" t="s">
        <v>103</v>
      </c>
      <c r="D216" s="147">
        <f>_xlfn.XLOOKUP(B174,[1]!テーブル5[品目コード],[1]!テーブル5[下限公差],,)</f>
        <v>-3</v>
      </c>
      <c r="E216" s="121" t="str">
        <f>_xlfn.XLOOKUP(B174,[1]!テーブル5[品目コード],[1]!テーブル5[梱包方法],,)</f>
        <v>ラベル２枚　長手有　鉢巻無</v>
      </c>
      <c r="F216" s="151"/>
      <c r="G216" s="152"/>
      <c r="H216" s="36" t="s">
        <v>104</v>
      </c>
      <c r="I216" s="33" t="str" cm="1">
        <f t="array" ref="I216:J216">IFERROR(IF(ISBLANK(INDEX(_xlfn._xlws.FILTER([1]加工記録２!$O$3:$P$445, [1]加工記録２!$T$3:$T$445=B176), 7)), "", INDEX(_xlfn._xlws.FILTER([1]加工記録２!$O$3:$P$445, [1]加工記録２!$T$3:$T$445=B176), 7)),"")</f>
        <v>水野</v>
      </c>
      <c r="J216" s="42" t="str">
        <v/>
      </c>
      <c r="K216" s="38"/>
    </row>
    <row r="217" spans="1:14" s="5" customFormat="1" ht="18" customHeight="1" thickBot="1">
      <c r="A217" s="157"/>
      <c r="B217" s="159"/>
      <c r="C217" s="161"/>
      <c r="D217" s="162"/>
      <c r="E217" s="163"/>
      <c r="F217" s="164"/>
      <c r="G217" s="165"/>
      <c r="H217" s="43" t="s">
        <v>105</v>
      </c>
      <c r="I217" s="44" t="str" cm="1">
        <f t="array" ref="I217:J217">IFERROR(IF(ISBLANK(INDEX(_xlfn._xlws.FILTER([1]加工記録２!$O$3:$P$445, [1]加工記録２!$T$3:$T$445=B176), 8)), "", INDEX(_xlfn._xlws.FILTER([1]加工記録２!$O$3:$P$445, [1]加工記録２!$T$3:$T$445=B176), 8)),"")</f>
        <v/>
      </c>
      <c r="J217" s="45">
        <v>0</v>
      </c>
    </row>
    <row r="218" spans="1:14" s="56" customFormat="1" ht="18.95" customHeight="1">
      <c r="A218" s="46" t="s">
        <v>106</v>
      </c>
      <c r="B218" s="47" t="s">
        <v>107</v>
      </c>
      <c r="C218" s="48" t="s">
        <v>108</v>
      </c>
      <c r="D218" s="48" t="s">
        <v>109</v>
      </c>
      <c r="E218" s="49" t="s">
        <v>110</v>
      </c>
      <c r="F218" s="50" t="s">
        <v>111</v>
      </c>
      <c r="G218" s="51" t="s">
        <v>112</v>
      </c>
      <c r="H218" s="52" t="s">
        <v>113</v>
      </c>
      <c r="I218" s="53" t="s">
        <v>114</v>
      </c>
      <c r="J218" s="54" t="s">
        <v>115</v>
      </c>
      <c r="K218" s="55"/>
      <c r="L218" s="55"/>
      <c r="M218" s="55"/>
      <c r="N218" s="55"/>
    </row>
    <row r="219" spans="1:14" s="67" customFormat="1" ht="18.95" customHeight="1">
      <c r="A219" s="57" t="str" cm="1">
        <f t="array" ref="A219:J219">IFERROR(IF(ISBLANK(INDEX(_xlfn._xlws.FILTER([1]加工記録２!$D$3:$M$445, [1]加工記録２!$T$3:$T$445=B176), 1)), "", INDEX(_xlfn._xlws.FILTER([1]加工記録２!$D$3:$M$445, [1]加工記録２!$T$3:$T$445=B176), 1)),"")</f>
        <v/>
      </c>
      <c r="B219" s="58" t="str">
        <v/>
      </c>
      <c r="C219" s="59" t="str">
        <v/>
      </c>
      <c r="D219" s="59" t="str">
        <v/>
      </c>
      <c r="E219" s="60" t="str">
        <v/>
      </c>
      <c r="F219" s="61" t="str">
        <v>25F09B</v>
      </c>
      <c r="G219" s="62" t="str">
        <v/>
      </c>
      <c r="H219" s="63">
        <v>0</v>
      </c>
      <c r="I219" s="64">
        <v>45831</v>
      </c>
      <c r="J219" s="65">
        <v>4</v>
      </c>
      <c r="K219" s="66"/>
      <c r="L219" s="66"/>
      <c r="M219" s="66"/>
      <c r="N219" s="66"/>
    </row>
    <row r="220" spans="1:14" s="67" customFormat="1" ht="18.95" customHeight="1">
      <c r="A220" s="57" cm="1">
        <f t="array" ref="A220:J220">IFERROR(IF(ISBLANK(INDEX(_xlfn._xlws.FILTER([1]加工記録２!$D$3:$M$445, [1]加工記録２!$T$3:$T$445=B176), 2)), "", INDEX(_xlfn._xlws.FILTER([1]加工記録２!$D$3:$M$445, [1]加工記録２!$T$3:$T$445=B176), 2)),"")</f>
        <v>45831</v>
      </c>
      <c r="B220" s="62" t="str">
        <v>25F09B</v>
      </c>
      <c r="C220" s="62" t="str">
        <v/>
      </c>
      <c r="D220" s="62">
        <v>690</v>
      </c>
      <c r="E220" s="68">
        <v>689.29</v>
      </c>
      <c r="F220" s="61" t="str">
        <v>25F12B</v>
      </c>
      <c r="G220" s="62" t="str">
        <v/>
      </c>
      <c r="H220" s="63">
        <v>0</v>
      </c>
      <c r="I220" s="64" t="str">
        <v/>
      </c>
      <c r="J220" s="65" t="str">
        <v/>
      </c>
      <c r="K220" s="66"/>
      <c r="L220" s="66"/>
      <c r="M220" s="66"/>
      <c r="N220" s="66"/>
    </row>
    <row r="221" spans="1:14" s="67" customFormat="1" ht="18.95" customHeight="1">
      <c r="A221" s="57" cm="1">
        <f t="array" ref="A221:J221">IFERROR(IF(ISBLANK(INDEX(_xlfn._xlws.FILTER([1]加工記録２!$D$3:$M$445, [1]加工記録２!$T$3:$T$445=B176), 3)), "", INDEX(_xlfn._xlws.FILTER([1]加工記録２!$D$3:$M$445, [1]加工記録２!$T$3:$T$445=B176), 3)),"")</f>
        <v>45831</v>
      </c>
      <c r="B221" s="62" t="str">
        <v>25F12B</v>
      </c>
      <c r="C221" s="62" t="str">
        <v/>
      </c>
      <c r="D221" s="62">
        <v>690</v>
      </c>
      <c r="E221" s="68">
        <v>689.51</v>
      </c>
      <c r="F221" s="61" t="str">
        <v/>
      </c>
      <c r="G221" s="62" t="str">
        <v/>
      </c>
      <c r="H221" s="63" t="str">
        <v/>
      </c>
      <c r="I221" s="64" t="str">
        <v/>
      </c>
      <c r="J221" s="65" t="str">
        <v/>
      </c>
      <c r="K221" s="66"/>
      <c r="L221" s="66"/>
      <c r="M221" s="66"/>
      <c r="N221" s="66"/>
    </row>
    <row r="222" spans="1:14" s="67" customFormat="1" ht="18.95" customHeight="1">
      <c r="A222" s="57" t="str" cm="1">
        <f t="array" ref="A222:J222">IFERROR(IF(ISBLANK(INDEX(_xlfn._xlws.FILTER([1]加工記録２!$D$3:$M$445, [1]加工記録２!$T$3:$T$445=B176), 4)), "", INDEX(_xlfn._xlws.FILTER([1]加工記録２!$D$3:$M$445, [1]加工記録２!$T$3:$T$445=B176), 4)),"")</f>
        <v/>
      </c>
      <c r="B222" s="62" t="str">
        <v/>
      </c>
      <c r="C222" s="62" t="str">
        <v/>
      </c>
      <c r="D222" s="62" t="str">
        <v/>
      </c>
      <c r="E222" s="68" t="str">
        <v/>
      </c>
      <c r="F222" s="61" t="str">
        <v/>
      </c>
      <c r="G222" s="62" t="str">
        <v/>
      </c>
      <c r="H222" s="63" t="str">
        <v/>
      </c>
      <c r="I222" s="64" t="str">
        <v/>
      </c>
      <c r="J222" s="65" t="str">
        <v/>
      </c>
      <c r="K222" s="66"/>
      <c r="L222" s="66"/>
      <c r="M222" s="66"/>
      <c r="N222" s="66"/>
    </row>
    <row r="223" spans="1:14" s="67" customFormat="1" ht="18.95" customHeight="1">
      <c r="A223" s="57" t="str" cm="1">
        <f t="array" ref="A223:J223">IFERROR(IF(ISBLANK(INDEX(_xlfn._xlws.FILTER([1]加工記録２!$D$3:$M$445, [1]加工記録２!$T$3:$T$445=B176), 5)), "", INDEX(_xlfn._xlws.FILTER([1]加工記録２!$D$3:$M$445, [1]加工記録２!$T$3:$T$445=B176), 5)),"")</f>
        <v/>
      </c>
      <c r="B223" s="62" t="str">
        <v/>
      </c>
      <c r="C223" s="62" t="str">
        <v/>
      </c>
      <c r="D223" s="62" t="str">
        <v/>
      </c>
      <c r="E223" s="68" t="str">
        <v/>
      </c>
      <c r="F223" s="61" t="str">
        <v/>
      </c>
      <c r="G223" s="62" t="str">
        <v/>
      </c>
      <c r="H223" s="63" t="str">
        <v/>
      </c>
      <c r="I223" s="69" t="str">
        <v/>
      </c>
      <c r="J223" s="70" t="str">
        <v/>
      </c>
      <c r="K223" s="66"/>
      <c r="L223" s="66"/>
      <c r="M223" s="66"/>
      <c r="N223" s="66"/>
    </row>
    <row r="224" spans="1:14" s="67" customFormat="1" ht="18.95" customHeight="1">
      <c r="A224" s="57" t="str" cm="1">
        <f t="array" ref="A224:J224">IFERROR(IF(ISBLANK(INDEX(_xlfn._xlws.FILTER([1]加工記録２!$D$3:$M$445, [1]加工記録２!$T$3:$T$445=B176), 6)), "", INDEX(_xlfn._xlws.FILTER([1]加工記録２!$D$3:$M$445, [1]加工記録２!$T$3:$T$445=B176), 6)),"")</f>
        <v/>
      </c>
      <c r="B224" s="62" t="str">
        <v/>
      </c>
      <c r="C224" s="62" t="str">
        <v/>
      </c>
      <c r="D224" s="62" t="str">
        <v/>
      </c>
      <c r="E224" s="68" t="str">
        <v/>
      </c>
      <c r="F224" s="61" t="str">
        <v/>
      </c>
      <c r="G224" s="62" t="str">
        <v/>
      </c>
      <c r="H224" s="71" t="str">
        <v/>
      </c>
      <c r="I224" s="69" t="str">
        <v/>
      </c>
      <c r="J224" s="70" t="str">
        <v/>
      </c>
      <c r="K224" s="66"/>
      <c r="L224" s="66"/>
      <c r="M224" s="66"/>
      <c r="N224" s="66"/>
    </row>
    <row r="225" spans="1:14" s="67" customFormat="1" ht="18.95" customHeight="1">
      <c r="A225" s="57" t="str" cm="1">
        <f t="array" ref="A225:J225">IFERROR(IF(ISBLANK(INDEX(_xlfn._xlws.FILTER([1]加工記録２!$D$3:$M$445, [1]加工記録２!$T$3:$T$445=B176), 7)), "", INDEX(_xlfn._xlws.FILTER([1]加工記録２!$D$3:$M$445, [1]加工記録２!$T$3:$T$445=B176), 7)),"")</f>
        <v/>
      </c>
      <c r="B225" s="62" t="str">
        <v/>
      </c>
      <c r="C225" s="62" t="str">
        <v/>
      </c>
      <c r="D225" s="62" t="str">
        <v/>
      </c>
      <c r="E225" s="68" t="str">
        <v/>
      </c>
      <c r="F225" s="61" t="str">
        <v/>
      </c>
      <c r="G225" s="62" t="str">
        <v/>
      </c>
      <c r="H225" s="71" t="str">
        <v/>
      </c>
      <c r="I225" s="69" t="str">
        <v/>
      </c>
      <c r="J225" s="70" t="str">
        <v/>
      </c>
      <c r="K225" s="66"/>
      <c r="L225" s="66"/>
      <c r="M225" s="66"/>
      <c r="N225" s="66"/>
    </row>
    <row r="226" spans="1:14" s="67" customFormat="1" ht="18.95" customHeight="1" thickBot="1">
      <c r="A226" s="72" t="str" cm="1">
        <f t="array" aca="1" ref="A226" ca="1">IFERROR(F(ISBLANK(INDEX(_xlfn._xlws.FILTER([1]加工記録２!$D$3:$M$445, [1]加工記録２!$T$3:$T$445=B176), 8)), "", INDEX(_xlfn._xlws.FILTER([1]加工記録２!$D$3:$M$445, [1]加工記録２!$T$3:$T$445=B176), 8)),"")</f>
        <v/>
      </c>
      <c r="B226" s="73"/>
      <c r="C226" s="73"/>
      <c r="D226" s="73"/>
      <c r="E226" s="74"/>
      <c r="F226" s="75"/>
      <c r="G226" s="73"/>
      <c r="H226" s="76"/>
      <c r="I226" s="77"/>
      <c r="J226" s="78"/>
      <c r="K226" s="66"/>
      <c r="L226" s="66"/>
      <c r="M226" s="66"/>
      <c r="N226" s="66"/>
    </row>
    <row r="227" spans="1:14" ht="13.5" customHeight="1" thickBo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</row>
    <row r="228" spans="1:14" ht="6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4" ht="14.25" customHeight="1">
      <c r="A229" s="12"/>
      <c r="B229" s="140" t="s">
        <v>0</v>
      </c>
      <c r="C229" s="80"/>
      <c r="D229" s="80"/>
      <c r="E229" s="12"/>
      <c r="F229" s="12"/>
      <c r="G229" s="12"/>
      <c r="H229" s="12"/>
      <c r="I229" s="12"/>
      <c r="J229" s="12"/>
    </row>
    <row r="230" spans="1:14" ht="14.25" customHeight="1">
      <c r="A230" s="13"/>
      <c r="B230" s="80"/>
      <c r="C230" s="80"/>
      <c r="D230" s="80"/>
      <c r="E230" s="13"/>
      <c r="F230" s="13"/>
      <c r="G230" s="13"/>
      <c r="H230" s="13"/>
      <c r="I230" s="13"/>
      <c r="J230" s="13"/>
    </row>
    <row r="231" spans="1:14" ht="14.25" customHeight="1">
      <c r="A231" s="86" t="s">
        <v>1</v>
      </c>
      <c r="B231" s="86" t="s">
        <v>73</v>
      </c>
      <c r="C231" s="86" t="s">
        <v>3</v>
      </c>
      <c r="D231" s="137">
        <v>760</v>
      </c>
      <c r="E231" s="86" t="s">
        <v>4</v>
      </c>
      <c r="F231" s="135" t="s">
        <v>74</v>
      </c>
      <c r="G231" s="80"/>
      <c r="H231" s="97"/>
      <c r="I231" s="14" t="s">
        <v>6</v>
      </c>
      <c r="J231" s="14" t="s">
        <v>7</v>
      </c>
    </row>
    <row r="232" spans="1:14" ht="14.25" customHeight="1">
      <c r="A232" s="80"/>
      <c r="B232" s="80"/>
      <c r="C232" s="80"/>
      <c r="D232" s="80"/>
      <c r="E232" s="80"/>
      <c r="F232" s="80"/>
      <c r="G232" s="80"/>
      <c r="H232" s="97"/>
      <c r="I232" s="94"/>
      <c r="J232" s="94"/>
    </row>
    <row r="233" spans="1:14" ht="17.45" customHeight="1">
      <c r="A233" s="83" t="s">
        <v>8</v>
      </c>
      <c r="B233" s="83" t="s">
        <v>75</v>
      </c>
      <c r="E233" s="83" t="s">
        <v>10</v>
      </c>
      <c r="F233" s="96" t="s">
        <v>11</v>
      </c>
      <c r="G233" s="80"/>
      <c r="H233" s="97"/>
      <c r="I233" s="95"/>
      <c r="J233" s="95"/>
    </row>
    <row r="234" spans="1:14" ht="17.45" customHeight="1">
      <c r="A234" s="80"/>
      <c r="B234" s="80"/>
      <c r="E234" s="80"/>
      <c r="F234" s="80"/>
      <c r="G234" s="80"/>
      <c r="H234" s="97"/>
      <c r="I234" s="15"/>
      <c r="J234" s="15"/>
    </row>
    <row r="235" spans="1:14" ht="17.45" customHeight="1">
      <c r="A235" s="83" t="s">
        <v>12</v>
      </c>
      <c r="B235" s="83" t="s">
        <v>76</v>
      </c>
      <c r="E235" s="2" t="s">
        <v>14</v>
      </c>
      <c r="F235" s="102" t="s">
        <v>15</v>
      </c>
      <c r="G235" s="80"/>
      <c r="H235" s="22"/>
    </row>
    <row r="236" spans="1:14" ht="17.45" customHeight="1">
      <c r="A236" s="80"/>
      <c r="B236" s="80"/>
      <c r="E236" s="2" t="s">
        <v>16</v>
      </c>
      <c r="F236" s="22" t="s">
        <v>17</v>
      </c>
      <c r="G236" s="22"/>
      <c r="H236" s="22"/>
    </row>
    <row r="237" spans="1:14" ht="17.45" customHeight="1">
      <c r="A237" s="2" t="s">
        <v>18</v>
      </c>
      <c r="B237" s="4">
        <v>45835</v>
      </c>
      <c r="E237" s="2" t="s">
        <v>19</v>
      </c>
      <c r="F237" s="85">
        <v>100</v>
      </c>
      <c r="G237" s="80"/>
      <c r="H237" s="22"/>
    </row>
    <row r="238" spans="1:14" ht="17.45" customHeight="1">
      <c r="A238" s="2" t="s">
        <v>20</v>
      </c>
      <c r="B238" s="4">
        <v>45835</v>
      </c>
      <c r="E238" s="2" t="s">
        <v>21</v>
      </c>
      <c r="F238" s="22">
        <v>4</v>
      </c>
      <c r="G238" s="98" t="s">
        <v>22</v>
      </c>
      <c r="H238" s="103">
        <v>400</v>
      </c>
      <c r="I238" s="104"/>
      <c r="J238" s="105"/>
    </row>
    <row r="239" spans="1:14" ht="17.45" customHeight="1">
      <c r="A239" s="20"/>
      <c r="B239" s="21"/>
      <c r="C239" s="21"/>
      <c r="D239" s="21"/>
      <c r="E239" s="2" t="s">
        <v>23</v>
      </c>
      <c r="F239" s="22" t="s">
        <v>24</v>
      </c>
      <c r="G239" s="99"/>
      <c r="H239" s="99"/>
      <c r="I239" s="106"/>
      <c r="J239" s="107"/>
    </row>
    <row r="240" spans="1:14" ht="13.5" customHeight="1">
      <c r="A240" s="133" t="s">
        <v>77</v>
      </c>
      <c r="B240" s="80"/>
      <c r="C240" s="80"/>
      <c r="D240" s="21"/>
      <c r="F240" s="3"/>
      <c r="G240" s="100" t="s">
        <v>26</v>
      </c>
      <c r="H240" s="141" t="s">
        <v>27</v>
      </c>
      <c r="I240" s="142" t="s">
        <v>28</v>
      </c>
      <c r="J240" s="97"/>
    </row>
    <row r="241" spans="1:10" ht="13.5" customHeight="1">
      <c r="A241" s="80"/>
      <c r="B241" s="80"/>
      <c r="C241" s="80"/>
      <c r="D241" s="21"/>
      <c r="F241" s="3"/>
      <c r="G241" s="101"/>
      <c r="H241" s="101"/>
      <c r="I241" s="106"/>
      <c r="J241" s="107"/>
    </row>
    <row r="242" spans="1:10" ht="13.5" customHeight="1">
      <c r="A242" s="1" t="s">
        <v>29</v>
      </c>
    </row>
    <row r="243" spans="1:10" ht="63" customHeight="1">
      <c r="A243" s="138"/>
      <c r="B243" s="139"/>
      <c r="C243" s="139"/>
      <c r="D243" s="139"/>
      <c r="E243" s="139"/>
      <c r="F243" s="139"/>
      <c r="G243" s="139"/>
      <c r="H243" s="139"/>
      <c r="I243" s="139"/>
      <c r="J243" s="139"/>
    </row>
    <row r="244" spans="1:10" ht="18.75">
      <c r="A244" s="24" t="s">
        <v>30</v>
      </c>
      <c r="B244" s="17" t="s">
        <v>31</v>
      </c>
      <c r="C244" s="88" t="s">
        <v>32</v>
      </c>
      <c r="D244" s="89"/>
      <c r="E244" s="17" t="s">
        <v>33</v>
      </c>
      <c r="F244" s="88" t="s">
        <v>34</v>
      </c>
      <c r="G244" s="89"/>
      <c r="H244" s="89"/>
      <c r="I244" s="136" t="s">
        <v>35</v>
      </c>
      <c r="J244" s="89"/>
    </row>
    <row r="245" spans="1:10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23">
        <v>1</v>
      </c>
      <c r="B246" s="25" t="s">
        <v>36</v>
      </c>
      <c r="C246" s="79" t="s">
        <v>37</v>
      </c>
      <c r="D246" s="80"/>
      <c r="E246" s="25" t="s">
        <v>38</v>
      </c>
      <c r="F246" s="79" t="s">
        <v>39</v>
      </c>
      <c r="G246" s="80"/>
      <c r="H246" s="80"/>
      <c r="I246" s="90"/>
      <c r="J246" s="80"/>
    </row>
    <row r="247" spans="1:10" ht="16.5" customHeight="1">
      <c r="A247" s="23">
        <v>1</v>
      </c>
      <c r="B247" s="26" t="s">
        <v>36</v>
      </c>
      <c r="C247" s="79" t="s">
        <v>37</v>
      </c>
      <c r="D247" s="80"/>
      <c r="E247" s="25" t="s">
        <v>40</v>
      </c>
      <c r="F247" s="79" t="s">
        <v>41</v>
      </c>
      <c r="G247" s="80"/>
      <c r="H247" s="80"/>
      <c r="I247" s="90"/>
      <c r="J247" s="80"/>
    </row>
    <row r="248" spans="1:10" ht="16.5" customHeight="1">
      <c r="A248" s="23"/>
      <c r="B248" s="26"/>
      <c r="C248" s="79"/>
      <c r="D248" s="80"/>
      <c r="E248" s="25"/>
      <c r="F248" s="79"/>
      <c r="G248" s="80"/>
      <c r="H248" s="80"/>
      <c r="I248" s="90"/>
      <c r="J248" s="80"/>
    </row>
    <row r="249" spans="1:10" ht="16.5" customHeight="1">
      <c r="A249" s="23"/>
      <c r="B249" s="26"/>
      <c r="C249" s="79"/>
      <c r="D249" s="80"/>
      <c r="E249" s="25"/>
      <c r="F249" s="79"/>
      <c r="G249" s="80"/>
      <c r="H249" s="80"/>
      <c r="I249" s="90"/>
      <c r="J249" s="80"/>
    </row>
    <row r="250" spans="1:10" ht="16.5" customHeight="1">
      <c r="A250" s="23"/>
      <c r="B250" s="26"/>
      <c r="C250" s="79"/>
      <c r="D250" s="80"/>
      <c r="E250" s="25"/>
      <c r="F250" s="79"/>
      <c r="G250" s="80"/>
      <c r="H250" s="80"/>
      <c r="I250" s="90"/>
      <c r="J250" s="80"/>
    </row>
    <row r="251" spans="1:10" ht="16.5" customHeight="1">
      <c r="A251" s="23"/>
      <c r="B251" s="26"/>
      <c r="C251" s="79"/>
      <c r="D251" s="80"/>
      <c r="E251" s="25"/>
      <c r="F251" s="79"/>
      <c r="G251" s="80"/>
      <c r="H251" s="80"/>
      <c r="I251" s="90"/>
      <c r="J251" s="80"/>
    </row>
    <row r="252" spans="1:10" ht="16.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</row>
    <row r="253" spans="1:10" ht="18.75">
      <c r="A253" s="81" t="s">
        <v>42</v>
      </c>
      <c r="B253" s="82"/>
      <c r="C253" s="81" t="s">
        <v>43</v>
      </c>
      <c r="D253" s="82"/>
      <c r="E253" s="82"/>
      <c r="F253" s="18" t="s">
        <v>44</v>
      </c>
      <c r="G253" s="81" t="s">
        <v>45</v>
      </c>
      <c r="H253" s="82"/>
      <c r="I253" s="81" t="s">
        <v>46</v>
      </c>
      <c r="J253" s="82"/>
    </row>
    <row r="254" spans="1:10" ht="14.25" customHeight="1">
      <c r="A254" s="8"/>
      <c r="B254" s="19"/>
      <c r="C254" s="134" t="s">
        <v>47</v>
      </c>
      <c r="D254" s="106"/>
      <c r="E254" s="19"/>
      <c r="F254" s="134" t="s">
        <v>29</v>
      </c>
      <c r="G254" s="106"/>
      <c r="H254" s="106"/>
      <c r="I254" s="106"/>
      <c r="J254" s="106"/>
    </row>
    <row r="255" spans="1:10">
      <c r="A255" s="9"/>
      <c r="C255" s="7"/>
      <c r="D255" s="7"/>
      <c r="E255" s="7"/>
    </row>
    <row r="256" spans="1:10" ht="14.25" customHeight="1">
      <c r="A256" s="79" t="s">
        <v>48</v>
      </c>
      <c r="B256" s="80"/>
      <c r="C256" s="79" t="s">
        <v>49</v>
      </c>
      <c r="D256" s="80"/>
      <c r="E256" s="80"/>
      <c r="F256" s="27" t="s">
        <v>50</v>
      </c>
      <c r="G256" s="87">
        <v>200</v>
      </c>
      <c r="H256" s="80"/>
      <c r="I256" s="87">
        <v>2</v>
      </c>
      <c r="J256" s="80"/>
    </row>
    <row r="257" spans="1:11" ht="24.95" customHeight="1">
      <c r="A257" s="84" t="s">
        <v>51</v>
      </c>
      <c r="B257" s="80"/>
      <c r="C257" s="79" t="s">
        <v>11</v>
      </c>
      <c r="D257" s="80"/>
      <c r="E257" s="80"/>
      <c r="F257" s="79"/>
      <c r="G257" s="80"/>
      <c r="H257" s="80"/>
      <c r="I257" s="80"/>
      <c r="J257" s="80"/>
    </row>
    <row r="258" spans="1:11" ht="14.25" customHeight="1">
      <c r="A258" s="79" t="s">
        <v>70</v>
      </c>
      <c r="B258" s="80"/>
      <c r="C258" s="79" t="s">
        <v>71</v>
      </c>
      <c r="D258" s="80"/>
      <c r="E258" s="80"/>
      <c r="F258" s="27" t="s">
        <v>27</v>
      </c>
      <c r="G258" s="87">
        <v>4</v>
      </c>
      <c r="H258" s="80"/>
      <c r="I258" s="87">
        <v>0.04</v>
      </c>
      <c r="J258" s="80"/>
    </row>
    <row r="259" spans="1:11" ht="24.95" customHeight="1">
      <c r="A259" s="84" t="s">
        <v>72</v>
      </c>
      <c r="B259" s="80"/>
      <c r="C259" s="79"/>
      <c r="D259" s="80"/>
      <c r="E259" s="80"/>
      <c r="F259" s="79"/>
      <c r="G259" s="80"/>
      <c r="H259" s="80"/>
      <c r="I259" s="80"/>
      <c r="J259" s="80"/>
    </row>
    <row r="260" spans="1:11" ht="14.25" customHeight="1">
      <c r="A260" s="79"/>
      <c r="B260" s="80"/>
      <c r="C260" s="79"/>
      <c r="D260" s="80"/>
      <c r="E260" s="80"/>
      <c r="F260" s="27"/>
      <c r="G260" s="87"/>
      <c r="H260" s="80"/>
      <c r="I260" s="87"/>
      <c r="J260" s="80"/>
    </row>
    <row r="261" spans="1:11" ht="24.95" customHeight="1">
      <c r="A261" s="84"/>
      <c r="B261" s="80"/>
      <c r="C261" s="79"/>
      <c r="D261" s="80"/>
      <c r="E261" s="80"/>
      <c r="F261" s="79"/>
      <c r="G261" s="80"/>
      <c r="H261" s="80"/>
      <c r="I261" s="80"/>
      <c r="J261" s="80"/>
    </row>
    <row r="262" spans="1:11" ht="14.25" customHeight="1">
      <c r="A262" s="79"/>
      <c r="B262" s="80"/>
      <c r="C262" s="79"/>
      <c r="D262" s="80"/>
      <c r="E262" s="80"/>
      <c r="F262" s="27"/>
      <c r="G262" s="87"/>
      <c r="H262" s="80"/>
      <c r="I262" s="87"/>
      <c r="J262" s="80"/>
    </row>
    <row r="263" spans="1:11" ht="24.95" customHeight="1">
      <c r="A263" s="84"/>
      <c r="B263" s="80"/>
      <c r="C263" s="79"/>
      <c r="D263" s="80"/>
      <c r="E263" s="80"/>
      <c r="F263" s="79"/>
      <c r="G263" s="80"/>
      <c r="H263" s="80"/>
      <c r="I263" s="80"/>
      <c r="J263" s="80"/>
    </row>
    <row r="264" spans="1:11" ht="14.25" customHeight="1">
      <c r="A264" s="79"/>
      <c r="B264" s="80"/>
      <c r="C264" s="79"/>
      <c r="D264" s="80"/>
      <c r="E264" s="80"/>
      <c r="F264" s="27"/>
      <c r="G264" s="87"/>
      <c r="H264" s="80"/>
      <c r="I264" s="87"/>
      <c r="J264" s="80"/>
    </row>
    <row r="265" spans="1:11" ht="24.95" customHeight="1" thickBot="1">
      <c r="A265" s="84"/>
      <c r="B265" s="80"/>
      <c r="C265" s="79"/>
      <c r="D265" s="80"/>
      <c r="E265" s="80"/>
      <c r="F265" s="79"/>
      <c r="G265" s="80"/>
      <c r="H265" s="80"/>
      <c r="I265" s="80"/>
      <c r="J265" s="80"/>
    </row>
    <row r="266" spans="1:11" s="5" customFormat="1" ht="18" customHeight="1">
      <c r="A266" s="108" t="s">
        <v>88</v>
      </c>
      <c r="B266" s="109"/>
      <c r="C266" s="109"/>
      <c r="D266" s="110"/>
      <c r="E266" s="111" t="s">
        <v>89</v>
      </c>
      <c r="F266" s="112"/>
      <c r="G266" s="28"/>
      <c r="H266" s="113" t="s">
        <v>90</v>
      </c>
      <c r="I266" s="114"/>
      <c r="J266" s="29" t="s">
        <v>91</v>
      </c>
    </row>
    <row r="267" spans="1:11" s="7" customFormat="1" ht="18" customHeight="1">
      <c r="A267" s="115" t="str">
        <f>_xlfn.XLOOKUP(B231,[1]VFDB2!A:A,[1]VFDB2!B:B)</f>
        <v>L型ｱﾝｸﾞﾙ　WT-56B　L=760</v>
      </c>
      <c r="B267" s="116"/>
      <c r="C267" s="116"/>
      <c r="D267" s="117"/>
      <c r="E267" s="121" t="str" cm="1">
        <f t="array" ref="E267">IFERROR(IF(ISBLANK(INDEX(_xlfn._xlws.FILTER([1]加工記録２!$C$3:$C$445, [1]加工記録２!$T$3:$T$445=B233), 6)), "", INDEX(_xlfn._xlws.FILTER([1]加工記録２!$C$3:$C$445, [1]加工記録２!$T$3:$T$445=B233), 6)),"")</f>
        <v>S-40</v>
      </c>
      <c r="F267" s="122"/>
      <c r="G267" s="125" cm="1">
        <f t="array" ref="G267">IFERROR(IF(ISBLANK(INDEX(_xlfn._xlws.FILTER([1]加工記録２!$B$3:$B$445, [1]加工記録２!$T$3:$T$445=B233), 7)), "", INDEX(_xlfn._xlws.FILTER([1]加工記録２!$B$3:$B$445, [1]加工記録２!$T$3:$T$445=B233), 7)),"")</f>
        <v>4</v>
      </c>
      <c r="H267" s="30" t="s">
        <v>92</v>
      </c>
      <c r="I267" s="31" cm="1">
        <f t="array" ref="I267:J267">IFERROR(IF(ISBLANK(INDEX(_xlfn._xlws.FILTER([1]加工記録２!$O$3:$P$445, [1]加工記録２!$T$3:$T$445=B233), 1)), "", INDEX(_xlfn._xlws.FILTER([1]加工記録２!$O$3:$P$445, [1]加工記録２!$T$3:$T$445=B233), 1)),"")</f>
        <v>45831</v>
      </c>
      <c r="J267" s="32" t="str">
        <v/>
      </c>
    </row>
    <row r="268" spans="1:11" s="5" customFormat="1" ht="18" customHeight="1">
      <c r="A268" s="118"/>
      <c r="B268" s="119"/>
      <c r="C268" s="119"/>
      <c r="D268" s="120"/>
      <c r="E268" s="123"/>
      <c r="F268" s="124"/>
      <c r="G268" s="126"/>
      <c r="H268" s="30" t="s">
        <v>93</v>
      </c>
      <c r="I268" s="33" cm="1">
        <f t="array" ref="I268:J268">IFERROR(IF(ISBLANK(INDEX(_xlfn._xlws.FILTER([1]加工記録２!$O$3:$P$445, [1]加工記録２!$T$3:$T$445=B233), 2)), "", INDEX(_xlfn._xlws.FILTER([1]加工記録２!$O$3:$P$445, [1]加工記録２!$T$3:$T$445=B233), 2)),"")</f>
        <v>400</v>
      </c>
      <c r="J268" s="34" t="str">
        <v/>
      </c>
      <c r="K268" s="35"/>
    </row>
    <row r="269" spans="1:11" s="7" customFormat="1" ht="18" customHeight="1">
      <c r="A269" s="127" t="s">
        <v>94</v>
      </c>
      <c r="B269" s="129" t="str">
        <f>_xlfn.XLOOKUP(B231,[1]!テーブル5[品目コード],[1]!テーブル5[温度換算],,)</f>
        <v>-</v>
      </c>
      <c r="C269" s="131" t="s">
        <v>95</v>
      </c>
      <c r="D269" s="149">
        <f>_xlfn.XLOOKUP(B231,[1]!テーブル5[品目コード],[1]!テーブル5[取数],,)</f>
        <v>2</v>
      </c>
      <c r="E269" s="121">
        <f>_xlfn.XLOOKUP(B231,[1]!テーブル5[品目コード],[1]!テーブル5[備考１],,)</f>
        <v>0</v>
      </c>
      <c r="F269" s="151"/>
      <c r="G269" s="152"/>
      <c r="H269" s="36" t="s">
        <v>96</v>
      </c>
      <c r="I269" s="33" cm="1">
        <f t="array" ref="I269:J269">IFERROR(IF(ISBLANK(INDEX(_xlfn._xlws.FILTER([1]加工記録２!$O$3:$P$445, [1]加工記録２!$T$3:$T$445=B233), 3)), "", INDEX(_xlfn._xlws.FILTER([1]加工記録２!$O$3:$P$445, [1]加工記録２!$T$3:$T$445=B233), 3)),"")</f>
        <v>0</v>
      </c>
      <c r="J269" s="37" t="str">
        <v/>
      </c>
      <c r="K269" s="38"/>
    </row>
    <row r="270" spans="1:11" s="5" customFormat="1" ht="18" customHeight="1">
      <c r="A270" s="128"/>
      <c r="B270" s="130"/>
      <c r="C270" s="132"/>
      <c r="D270" s="150"/>
      <c r="E270" s="123"/>
      <c r="F270" s="153"/>
      <c r="G270" s="154"/>
      <c r="H270" s="36" t="s">
        <v>97</v>
      </c>
      <c r="I270" s="33" cm="1">
        <f t="array" ref="I270:J270">IFERROR(IF(ISBLANK(INDEX(_xlfn._xlws.FILTER([1]加工記録２!$O$3:$P$445, [1]加工記録２!$T$3:$T$445=B233), 4)), "", INDEX(_xlfn._xlws.FILTER([1]加工記録２!$O$3:$P$445, [1]加工記録２!$T$3:$T$445=B233), 4)),"")</f>
        <v>0</v>
      </c>
      <c r="J270" s="39" t="str">
        <v/>
      </c>
      <c r="K270" s="35"/>
    </row>
    <row r="271" spans="1:11" s="7" customFormat="1" ht="18" customHeight="1">
      <c r="A271" s="155" t="s">
        <v>98</v>
      </c>
      <c r="B271" s="143">
        <f>D231</f>
        <v>760</v>
      </c>
      <c r="C271" s="145" t="s">
        <v>99</v>
      </c>
      <c r="D271" s="147">
        <f>_xlfn.XLOOKUP(B231,[1]!テーブル5[品目コード],[1]!テーブル5[上限公差],,)</f>
        <v>0</v>
      </c>
      <c r="E271" s="121" t="str">
        <f>_xlfn.XLOOKUP(B231,[1]!テーブル5[品目コード],[1]!テーブル5[備考２],,)</f>
        <v>※使用基材、取数は依頼書にて確認</v>
      </c>
      <c r="F271" s="151"/>
      <c r="G271" s="152"/>
      <c r="H271" s="36" t="s">
        <v>100</v>
      </c>
      <c r="I271" s="33" cm="1">
        <f t="array" ref="I271:J271">IFERROR(IF(ISBLANK(INDEX(_xlfn._xlws.FILTER([1]加工記録２!$O$3:$P$445, [1]加工記録２!$T$3:$T$445=B233), 5)), "", INDEX(_xlfn._xlws.FILTER([1]加工記録２!$O$3:$P$445, [1]加工記録２!$T$3:$T$445=B233), 5)),"")</f>
        <v>0</v>
      </c>
      <c r="J271" s="40" t="str">
        <v/>
      </c>
      <c r="K271" s="38"/>
    </row>
    <row r="272" spans="1:11" s="5" customFormat="1" ht="18" customHeight="1">
      <c r="A272" s="156"/>
      <c r="B272" s="144"/>
      <c r="C272" s="146"/>
      <c r="D272" s="148"/>
      <c r="E272" s="123"/>
      <c r="F272" s="153"/>
      <c r="G272" s="154"/>
      <c r="H272" s="36" t="s">
        <v>101</v>
      </c>
      <c r="I272" s="33" cm="1">
        <f t="array" ref="I272:J272">IFERROR(IF(ISBLANK(INDEX(_xlfn._xlws.FILTER([1]加工記録２!$O$3:$P$445, [1]加工記録２!$T$3:$T$445=B233), 6)), "", INDEX(_xlfn._xlws.FILTER([1]加工記録２!$O$3:$P$445, [1]加工記録２!$T$3:$T$445=B233), 6)),"")</f>
        <v>400</v>
      </c>
      <c r="J272" s="41" t="str">
        <v/>
      </c>
      <c r="K272" s="35"/>
    </row>
    <row r="273" spans="1:14" s="7" customFormat="1" ht="18" customHeight="1">
      <c r="A273" s="127" t="s">
        <v>102</v>
      </c>
      <c r="B273" s="158">
        <f>_xlfn.XLOOKUP(B231,[1]!テーブル5[品目コード],[1]!テーブル5[切断寸法],,)</f>
        <v>759</v>
      </c>
      <c r="C273" s="160" t="s">
        <v>103</v>
      </c>
      <c r="D273" s="147">
        <f>_xlfn.XLOOKUP(B231,[1]!テーブル5[品目コード],[1]!テーブル5[下限公差],,)</f>
        <v>-3</v>
      </c>
      <c r="E273" s="121" t="str">
        <f>_xlfn.XLOOKUP(B231,[1]!テーブル5[品目コード],[1]!テーブル5[梱包方法],,)</f>
        <v>ラベル２枚　長手有　鉢巻無</v>
      </c>
      <c r="F273" s="151"/>
      <c r="G273" s="152"/>
      <c r="H273" s="36" t="s">
        <v>104</v>
      </c>
      <c r="I273" s="33" t="str" cm="1">
        <f t="array" ref="I273:J273">IFERROR(IF(ISBLANK(INDEX(_xlfn._xlws.FILTER([1]加工記録２!$O$3:$P$445, [1]加工記録２!$T$3:$T$445=B233), 7)), "", INDEX(_xlfn._xlws.FILTER([1]加工記録２!$O$3:$P$445, [1]加工記録２!$T$3:$T$445=B233), 7)),"")</f>
        <v>水野</v>
      </c>
      <c r="J273" s="42" t="str">
        <v/>
      </c>
      <c r="K273" s="38"/>
    </row>
    <row r="274" spans="1:14" s="5" customFormat="1" ht="18" customHeight="1" thickBot="1">
      <c r="A274" s="157"/>
      <c r="B274" s="159"/>
      <c r="C274" s="161"/>
      <c r="D274" s="162"/>
      <c r="E274" s="163"/>
      <c r="F274" s="164"/>
      <c r="G274" s="165"/>
      <c r="H274" s="43" t="s">
        <v>105</v>
      </c>
      <c r="I274" s="44" t="str" cm="1">
        <f t="array" ref="I274:J274">IFERROR(IF(ISBLANK(INDEX(_xlfn._xlws.FILTER([1]加工記録２!$O$3:$P$445, [1]加工記録２!$T$3:$T$445=B233), 8)), "", INDEX(_xlfn._xlws.FILTER([1]加工記録２!$O$3:$P$445, [1]加工記録２!$T$3:$T$445=B233), 8)),"")</f>
        <v/>
      </c>
      <c r="J274" s="45">
        <v>0</v>
      </c>
    </row>
    <row r="275" spans="1:14" s="56" customFormat="1" ht="18.95" customHeight="1">
      <c r="A275" s="46" t="s">
        <v>106</v>
      </c>
      <c r="B275" s="47" t="s">
        <v>107</v>
      </c>
      <c r="C275" s="48" t="s">
        <v>108</v>
      </c>
      <c r="D275" s="48" t="s">
        <v>109</v>
      </c>
      <c r="E275" s="49" t="s">
        <v>110</v>
      </c>
      <c r="F275" s="50" t="s">
        <v>111</v>
      </c>
      <c r="G275" s="51" t="s">
        <v>112</v>
      </c>
      <c r="H275" s="52" t="s">
        <v>113</v>
      </c>
      <c r="I275" s="53" t="s">
        <v>114</v>
      </c>
      <c r="J275" s="54" t="s">
        <v>115</v>
      </c>
      <c r="K275" s="55"/>
      <c r="L275" s="55"/>
      <c r="M275" s="55"/>
      <c r="N275" s="55"/>
    </row>
    <row r="276" spans="1:14" s="67" customFormat="1" ht="18.95" customHeight="1">
      <c r="A276" s="57" t="str" cm="1">
        <f t="array" ref="A276:J276">IFERROR(IF(ISBLANK(INDEX(_xlfn._xlws.FILTER([1]加工記録２!$D$3:$M$445, [1]加工記録２!$T$3:$T$445=B233), 1)), "", INDEX(_xlfn._xlws.FILTER([1]加工記録２!$D$3:$M$445, [1]加工記録２!$T$3:$T$445=B233), 1)),"")</f>
        <v/>
      </c>
      <c r="B276" s="58" t="str">
        <v/>
      </c>
      <c r="C276" s="59" t="str">
        <v/>
      </c>
      <c r="D276" s="59" t="str">
        <v/>
      </c>
      <c r="E276" s="60" t="str">
        <v/>
      </c>
      <c r="F276" s="61" t="str">
        <v>25C05B</v>
      </c>
      <c r="G276" s="62" t="str">
        <v/>
      </c>
      <c r="H276" s="63">
        <v>0</v>
      </c>
      <c r="I276" s="64">
        <v>45828</v>
      </c>
      <c r="J276" s="65">
        <v>3</v>
      </c>
      <c r="K276" s="66"/>
      <c r="L276" s="66"/>
      <c r="M276" s="66"/>
      <c r="N276" s="66"/>
    </row>
    <row r="277" spans="1:14" s="67" customFormat="1" ht="18.95" customHeight="1">
      <c r="A277" s="57" cm="1">
        <f t="array" ref="A277:J277">IFERROR(IF(ISBLANK(INDEX(_xlfn._xlws.FILTER([1]加工記録２!$D$3:$M$445, [1]加工記録２!$T$3:$T$445=B233), 2)), "", INDEX(_xlfn._xlws.FILTER([1]加工記録２!$D$3:$M$445, [1]加工記録２!$T$3:$T$445=B233), 2)),"")</f>
        <v>45828</v>
      </c>
      <c r="B277" s="62" t="str">
        <v>25C05B</v>
      </c>
      <c r="C277" s="62" t="str">
        <v/>
      </c>
      <c r="D277" s="62">
        <v>760</v>
      </c>
      <c r="E277" s="68">
        <v>759.45</v>
      </c>
      <c r="F277" s="61" t="str">
        <v>25F11B</v>
      </c>
      <c r="G277" s="62" t="str">
        <v/>
      </c>
      <c r="H277" s="63">
        <v>0</v>
      </c>
      <c r="I277" s="64">
        <v>45831</v>
      </c>
      <c r="J277" s="65">
        <v>1</v>
      </c>
      <c r="K277" s="66"/>
      <c r="L277" s="66"/>
      <c r="M277" s="66"/>
      <c r="N277" s="66"/>
    </row>
    <row r="278" spans="1:14" s="67" customFormat="1" ht="18.95" customHeight="1">
      <c r="A278" s="57" cm="1">
        <f t="array" ref="A278:J278">IFERROR(IF(ISBLANK(INDEX(_xlfn._xlws.FILTER([1]加工記録２!$D$3:$M$445, [1]加工記録２!$T$3:$T$445=B233), 3)), "", INDEX(_xlfn._xlws.FILTER([1]加工記録２!$D$3:$M$445, [1]加工記録２!$T$3:$T$445=B233), 3)),"")</f>
        <v>45828</v>
      </c>
      <c r="B278" s="62" t="str">
        <v>25F11B</v>
      </c>
      <c r="C278" s="62" t="str">
        <v/>
      </c>
      <c r="D278" s="62">
        <v>760</v>
      </c>
      <c r="E278" s="68">
        <v>759.6</v>
      </c>
      <c r="F278" s="61" t="str">
        <v>25F09B</v>
      </c>
      <c r="G278" s="62" t="str">
        <v/>
      </c>
      <c r="H278" s="63">
        <v>0</v>
      </c>
      <c r="I278" s="64" t="str">
        <v/>
      </c>
      <c r="J278" s="65" t="str">
        <v/>
      </c>
      <c r="K278" s="66"/>
      <c r="L278" s="66"/>
      <c r="M278" s="66"/>
      <c r="N278" s="66"/>
    </row>
    <row r="279" spans="1:14" s="67" customFormat="1" ht="18.95" customHeight="1">
      <c r="A279" s="57" cm="1">
        <f t="array" ref="A279:J279">IFERROR(IF(ISBLANK(INDEX(_xlfn._xlws.FILTER([1]加工記録２!$D$3:$M$445, [1]加工記録２!$T$3:$T$445=B233), 4)), "", INDEX(_xlfn._xlws.FILTER([1]加工記録２!$D$3:$M$445, [1]加工記録２!$T$3:$T$445=B233), 4)),"")</f>
        <v>45831</v>
      </c>
      <c r="B279" s="62" t="str">
        <v>25F09B</v>
      </c>
      <c r="C279" s="62" t="str">
        <v/>
      </c>
      <c r="D279" s="62">
        <v>760</v>
      </c>
      <c r="E279" s="68">
        <v>759.75</v>
      </c>
      <c r="F279" s="61" t="str">
        <v>25F06B</v>
      </c>
      <c r="G279" s="62" t="str">
        <v/>
      </c>
      <c r="H279" s="63">
        <v>0</v>
      </c>
      <c r="I279" s="64" t="str">
        <v/>
      </c>
      <c r="J279" s="65" t="str">
        <v/>
      </c>
      <c r="K279" s="66"/>
      <c r="L279" s="66"/>
      <c r="M279" s="66"/>
      <c r="N279" s="66"/>
    </row>
    <row r="280" spans="1:14" s="67" customFormat="1" ht="18.95" customHeight="1">
      <c r="A280" s="57" cm="1">
        <f t="array" ref="A280:J280">IFERROR(IF(ISBLANK(INDEX(_xlfn._xlws.FILTER([1]加工記録２!$D$3:$M$445, [1]加工記録２!$T$3:$T$445=B233), 5)), "", INDEX(_xlfn._xlws.FILTER([1]加工記録２!$D$3:$M$445, [1]加工記録２!$T$3:$T$445=B233), 5)),"")</f>
        <v>45831</v>
      </c>
      <c r="B280" s="62" t="str">
        <v>25F06B</v>
      </c>
      <c r="C280" s="62" t="str">
        <v/>
      </c>
      <c r="D280" s="62">
        <v>760</v>
      </c>
      <c r="E280" s="68">
        <v>759.59</v>
      </c>
      <c r="F280" s="61" t="str">
        <v/>
      </c>
      <c r="G280" s="62" t="str">
        <v/>
      </c>
      <c r="H280" s="63" t="str">
        <v/>
      </c>
      <c r="I280" s="69" t="str">
        <v/>
      </c>
      <c r="J280" s="70" t="str">
        <v/>
      </c>
      <c r="K280" s="66"/>
      <c r="L280" s="66"/>
      <c r="M280" s="66"/>
      <c r="N280" s="66"/>
    </row>
    <row r="281" spans="1:14" s="67" customFormat="1" ht="18.95" customHeight="1">
      <c r="A281" s="57" t="str" cm="1">
        <f t="array" ref="A281:J281">IFERROR(IF(ISBLANK(INDEX(_xlfn._xlws.FILTER([1]加工記録２!$D$3:$M$445, [1]加工記録２!$T$3:$T$445=B233), 6)), "", INDEX(_xlfn._xlws.FILTER([1]加工記録２!$D$3:$M$445, [1]加工記録２!$T$3:$T$445=B233), 6)),"")</f>
        <v/>
      </c>
      <c r="B281" s="62" t="str">
        <v/>
      </c>
      <c r="C281" s="62" t="str">
        <v/>
      </c>
      <c r="D281" s="62" t="str">
        <v/>
      </c>
      <c r="E281" s="68" t="str">
        <v/>
      </c>
      <c r="F281" s="61" t="str">
        <v/>
      </c>
      <c r="G281" s="62" t="str">
        <v/>
      </c>
      <c r="H281" s="71" t="str">
        <v/>
      </c>
      <c r="I281" s="69" t="str">
        <v/>
      </c>
      <c r="J281" s="70" t="str">
        <v/>
      </c>
      <c r="K281" s="66"/>
      <c r="L281" s="66"/>
      <c r="M281" s="66"/>
      <c r="N281" s="66"/>
    </row>
    <row r="282" spans="1:14" s="67" customFormat="1" ht="18.95" customHeight="1">
      <c r="A282" s="57" t="str" cm="1">
        <f t="array" ref="A282:J282">IFERROR(IF(ISBLANK(INDEX(_xlfn._xlws.FILTER([1]加工記録２!$D$3:$M$445, [1]加工記録２!$T$3:$T$445=B233), 7)), "", INDEX(_xlfn._xlws.FILTER([1]加工記録２!$D$3:$M$445, [1]加工記録２!$T$3:$T$445=B233), 7)),"")</f>
        <v/>
      </c>
      <c r="B282" s="62" t="str">
        <v/>
      </c>
      <c r="C282" s="62" t="str">
        <v/>
      </c>
      <c r="D282" s="62" t="str">
        <v/>
      </c>
      <c r="E282" s="68" t="str">
        <v/>
      </c>
      <c r="F282" s="61" t="str">
        <v/>
      </c>
      <c r="G282" s="62" t="str">
        <v/>
      </c>
      <c r="H282" s="71" t="str">
        <v/>
      </c>
      <c r="I282" s="69" t="str">
        <v/>
      </c>
      <c r="J282" s="70" t="str">
        <v/>
      </c>
      <c r="K282" s="66"/>
      <c r="L282" s="66"/>
      <c r="M282" s="66"/>
      <c r="N282" s="66"/>
    </row>
    <row r="283" spans="1:14" s="67" customFormat="1" ht="18.95" customHeight="1" thickBot="1">
      <c r="A283" s="72" t="str" cm="1">
        <f t="array" aca="1" ref="A283" ca="1">IFERROR(F(ISBLANK(INDEX(_xlfn._xlws.FILTER([1]加工記録２!$D$3:$M$445, [1]加工記録２!$T$3:$T$445=B233), 8)), "", INDEX(_xlfn._xlws.FILTER([1]加工記録２!$D$3:$M$445, [1]加工記録２!$T$3:$T$445=B233), 8)),"")</f>
        <v/>
      </c>
      <c r="B283" s="73"/>
      <c r="C283" s="73"/>
      <c r="D283" s="73"/>
      <c r="E283" s="74"/>
      <c r="F283" s="75"/>
      <c r="G283" s="73"/>
      <c r="H283" s="76"/>
      <c r="I283" s="77"/>
      <c r="J283" s="78"/>
      <c r="K283" s="66"/>
      <c r="L283" s="66"/>
      <c r="M283" s="66"/>
      <c r="N283" s="66"/>
    </row>
    <row r="284" spans="1:14" ht="13.5" customHeight="1" thickBo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</row>
    <row r="285" spans="1:14" ht="6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4" ht="14.25" customHeight="1">
      <c r="A286" s="12"/>
      <c r="B286" s="140" t="s">
        <v>0</v>
      </c>
      <c r="C286" s="80"/>
      <c r="D286" s="80"/>
      <c r="E286" s="12"/>
      <c r="F286" s="12"/>
      <c r="G286" s="12"/>
      <c r="H286" s="12"/>
      <c r="I286" s="12"/>
      <c r="J286" s="12"/>
    </row>
    <row r="287" spans="1:14" ht="14.25" customHeight="1">
      <c r="A287" s="13"/>
      <c r="B287" s="80"/>
      <c r="C287" s="80"/>
      <c r="D287" s="80"/>
      <c r="E287" s="13"/>
      <c r="F287" s="13"/>
      <c r="G287" s="13"/>
      <c r="H287" s="13"/>
      <c r="I287" s="13"/>
      <c r="J287" s="13"/>
    </row>
    <row r="288" spans="1:14" ht="14.25" customHeight="1">
      <c r="A288" s="86" t="s">
        <v>1</v>
      </c>
      <c r="B288" s="86" t="s">
        <v>78</v>
      </c>
      <c r="C288" s="86" t="s">
        <v>3</v>
      </c>
      <c r="D288" s="137">
        <v>1018</v>
      </c>
      <c r="E288" s="86" t="s">
        <v>4</v>
      </c>
      <c r="F288" s="135" t="s">
        <v>79</v>
      </c>
      <c r="G288" s="80"/>
      <c r="H288" s="97"/>
      <c r="I288" s="14" t="s">
        <v>6</v>
      </c>
      <c r="J288" s="14" t="s">
        <v>7</v>
      </c>
    </row>
    <row r="289" spans="1:10" ht="14.25" customHeight="1">
      <c r="A289" s="80"/>
      <c r="B289" s="80"/>
      <c r="C289" s="80"/>
      <c r="D289" s="80"/>
      <c r="E289" s="80"/>
      <c r="F289" s="80"/>
      <c r="G289" s="80"/>
      <c r="H289" s="97"/>
      <c r="I289" s="94"/>
      <c r="J289" s="94"/>
    </row>
    <row r="290" spans="1:10" ht="17.45" customHeight="1">
      <c r="A290" s="83" t="s">
        <v>8</v>
      </c>
      <c r="B290" s="83" t="s">
        <v>80</v>
      </c>
      <c r="E290" s="83" t="s">
        <v>10</v>
      </c>
      <c r="F290" s="96" t="s">
        <v>11</v>
      </c>
      <c r="G290" s="80"/>
      <c r="H290" s="97"/>
      <c r="I290" s="95"/>
      <c r="J290" s="95"/>
    </row>
    <row r="291" spans="1:10" ht="17.45" customHeight="1">
      <c r="A291" s="80"/>
      <c r="B291" s="80"/>
      <c r="E291" s="80"/>
      <c r="F291" s="80"/>
      <c r="G291" s="80"/>
      <c r="H291" s="97"/>
      <c r="I291" s="15"/>
      <c r="J291" s="15"/>
    </row>
    <row r="292" spans="1:10" ht="17.45" customHeight="1">
      <c r="A292" s="83" t="s">
        <v>12</v>
      </c>
      <c r="B292" s="83" t="s">
        <v>81</v>
      </c>
      <c r="E292" s="2" t="s">
        <v>14</v>
      </c>
      <c r="F292" s="102" t="s">
        <v>15</v>
      </c>
      <c r="G292" s="80"/>
      <c r="H292" s="22"/>
    </row>
    <row r="293" spans="1:10" ht="17.45" customHeight="1">
      <c r="A293" s="80"/>
      <c r="B293" s="80"/>
      <c r="E293" s="2" t="s">
        <v>16</v>
      </c>
      <c r="F293" s="22" t="s">
        <v>17</v>
      </c>
      <c r="G293" s="22"/>
      <c r="H293" s="22"/>
    </row>
    <row r="294" spans="1:10" ht="17.45" customHeight="1">
      <c r="A294" s="2" t="s">
        <v>18</v>
      </c>
      <c r="B294" s="4">
        <v>45835</v>
      </c>
      <c r="E294" s="2" t="s">
        <v>19</v>
      </c>
      <c r="F294" s="85">
        <v>100</v>
      </c>
      <c r="G294" s="80"/>
      <c r="H294" s="22"/>
    </row>
    <row r="295" spans="1:10" ht="17.45" customHeight="1">
      <c r="A295" s="2" t="s">
        <v>20</v>
      </c>
      <c r="B295" s="4">
        <v>45835</v>
      </c>
      <c r="E295" s="2" t="s">
        <v>21</v>
      </c>
      <c r="F295" s="22">
        <v>9</v>
      </c>
      <c r="G295" s="98" t="s">
        <v>22</v>
      </c>
      <c r="H295" s="103">
        <v>900</v>
      </c>
      <c r="I295" s="104"/>
      <c r="J295" s="105"/>
    </row>
    <row r="296" spans="1:10" ht="17.45" customHeight="1">
      <c r="A296" s="20"/>
      <c r="B296" s="21"/>
      <c r="C296" s="21"/>
      <c r="D296" s="21"/>
      <c r="E296" s="2" t="s">
        <v>23</v>
      </c>
      <c r="F296" s="22" t="s">
        <v>24</v>
      </c>
      <c r="G296" s="99"/>
      <c r="H296" s="99"/>
      <c r="I296" s="106"/>
      <c r="J296" s="107"/>
    </row>
    <row r="297" spans="1:10" ht="13.5" customHeight="1">
      <c r="A297" s="133" t="s">
        <v>82</v>
      </c>
      <c r="B297" s="80"/>
      <c r="C297" s="80"/>
      <c r="D297" s="21"/>
      <c r="F297" s="3"/>
      <c r="G297" s="100" t="s">
        <v>26</v>
      </c>
      <c r="H297" s="141" t="s">
        <v>27</v>
      </c>
      <c r="I297" s="142" t="s">
        <v>28</v>
      </c>
      <c r="J297" s="97"/>
    </row>
    <row r="298" spans="1:10" ht="13.5" customHeight="1">
      <c r="A298" s="80"/>
      <c r="B298" s="80"/>
      <c r="C298" s="80"/>
      <c r="D298" s="21"/>
      <c r="F298" s="3"/>
      <c r="G298" s="101"/>
      <c r="H298" s="101"/>
      <c r="I298" s="106"/>
      <c r="J298" s="107"/>
    </row>
    <row r="299" spans="1:10" ht="13.5" customHeight="1">
      <c r="A299" s="1" t="s">
        <v>29</v>
      </c>
    </row>
    <row r="300" spans="1:10" ht="63" customHeight="1">
      <c r="A300" s="138"/>
      <c r="B300" s="139"/>
      <c r="C300" s="139"/>
      <c r="D300" s="139"/>
      <c r="E300" s="139"/>
      <c r="F300" s="139"/>
      <c r="G300" s="139"/>
      <c r="H300" s="139"/>
      <c r="I300" s="139"/>
      <c r="J300" s="139"/>
    </row>
    <row r="301" spans="1:10" ht="18.75">
      <c r="A301" s="24" t="s">
        <v>30</v>
      </c>
      <c r="B301" s="17" t="s">
        <v>31</v>
      </c>
      <c r="C301" s="88" t="s">
        <v>32</v>
      </c>
      <c r="D301" s="89"/>
      <c r="E301" s="17" t="s">
        <v>33</v>
      </c>
      <c r="F301" s="88" t="s">
        <v>34</v>
      </c>
      <c r="G301" s="89"/>
      <c r="H301" s="89"/>
      <c r="I301" s="136" t="s">
        <v>35</v>
      </c>
      <c r="J301" s="89"/>
    </row>
    <row r="302" spans="1:10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23">
        <v>1</v>
      </c>
      <c r="B303" s="25" t="s">
        <v>36</v>
      </c>
      <c r="C303" s="79" t="s">
        <v>37</v>
      </c>
      <c r="D303" s="80"/>
      <c r="E303" s="25" t="s">
        <v>38</v>
      </c>
      <c r="F303" s="79" t="s">
        <v>39</v>
      </c>
      <c r="G303" s="80"/>
      <c r="H303" s="80"/>
      <c r="I303" s="90"/>
      <c r="J303" s="80"/>
    </row>
    <row r="304" spans="1:10" ht="16.5" customHeight="1">
      <c r="A304" s="23">
        <v>1</v>
      </c>
      <c r="B304" s="26" t="s">
        <v>36</v>
      </c>
      <c r="C304" s="79" t="s">
        <v>37</v>
      </c>
      <c r="D304" s="80"/>
      <c r="E304" s="25" t="s">
        <v>40</v>
      </c>
      <c r="F304" s="79" t="s">
        <v>41</v>
      </c>
      <c r="G304" s="80"/>
      <c r="H304" s="80"/>
      <c r="I304" s="90"/>
      <c r="J304" s="80"/>
    </row>
    <row r="305" spans="1:10" ht="16.5" customHeight="1">
      <c r="A305" s="23"/>
      <c r="B305" s="26"/>
      <c r="C305" s="79"/>
      <c r="D305" s="80"/>
      <c r="E305" s="25"/>
      <c r="F305" s="79"/>
      <c r="G305" s="80"/>
      <c r="H305" s="80"/>
      <c r="I305" s="90"/>
      <c r="J305" s="80"/>
    </row>
    <row r="306" spans="1:10" ht="16.5" customHeight="1">
      <c r="A306" s="23"/>
      <c r="B306" s="26"/>
      <c r="C306" s="79"/>
      <c r="D306" s="80"/>
      <c r="E306" s="25"/>
      <c r="F306" s="79"/>
      <c r="G306" s="80"/>
      <c r="H306" s="80"/>
      <c r="I306" s="90"/>
      <c r="J306" s="80"/>
    </row>
    <row r="307" spans="1:10" ht="16.5" customHeight="1">
      <c r="A307" s="23"/>
      <c r="B307" s="26"/>
      <c r="C307" s="79"/>
      <c r="D307" s="80"/>
      <c r="E307" s="25"/>
      <c r="F307" s="79"/>
      <c r="G307" s="80"/>
      <c r="H307" s="80"/>
      <c r="I307" s="90"/>
      <c r="J307" s="80"/>
    </row>
    <row r="308" spans="1:10" ht="16.5" customHeight="1">
      <c r="A308" s="23"/>
      <c r="B308" s="26"/>
      <c r="C308" s="79"/>
      <c r="D308" s="80"/>
      <c r="E308" s="25"/>
      <c r="F308" s="79"/>
      <c r="G308" s="80"/>
      <c r="H308" s="80"/>
      <c r="I308" s="90"/>
      <c r="J308" s="80"/>
    </row>
    <row r="309" spans="1:10" ht="16.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</row>
    <row r="310" spans="1:10" ht="18.75">
      <c r="A310" s="81" t="s">
        <v>42</v>
      </c>
      <c r="B310" s="82"/>
      <c r="C310" s="81" t="s">
        <v>43</v>
      </c>
      <c r="D310" s="82"/>
      <c r="E310" s="82"/>
      <c r="F310" s="18" t="s">
        <v>44</v>
      </c>
      <c r="G310" s="81" t="s">
        <v>45</v>
      </c>
      <c r="H310" s="82"/>
      <c r="I310" s="81" t="s">
        <v>46</v>
      </c>
      <c r="J310" s="82"/>
    </row>
    <row r="311" spans="1:10" ht="14.25" customHeight="1">
      <c r="A311" s="8"/>
      <c r="B311" s="19"/>
      <c r="C311" s="134" t="s">
        <v>47</v>
      </c>
      <c r="D311" s="106"/>
      <c r="E311" s="19"/>
      <c r="F311" s="134" t="s">
        <v>29</v>
      </c>
      <c r="G311" s="106"/>
      <c r="H311" s="106"/>
      <c r="I311" s="106"/>
      <c r="J311" s="106"/>
    </row>
    <row r="312" spans="1:10">
      <c r="A312" s="9"/>
      <c r="C312" s="7"/>
      <c r="D312" s="7"/>
      <c r="E312" s="7"/>
    </row>
    <row r="313" spans="1:10" ht="14.25" customHeight="1">
      <c r="A313" s="79" t="s">
        <v>48</v>
      </c>
      <c r="B313" s="80"/>
      <c r="C313" s="79" t="s">
        <v>49</v>
      </c>
      <c r="D313" s="80"/>
      <c r="E313" s="80"/>
      <c r="F313" s="27" t="s">
        <v>50</v>
      </c>
      <c r="G313" s="87">
        <v>589.5</v>
      </c>
      <c r="H313" s="80"/>
      <c r="I313" s="87">
        <v>5.8949999999999996</v>
      </c>
      <c r="J313" s="80"/>
    </row>
    <row r="314" spans="1:10" ht="24.95" customHeight="1">
      <c r="A314" s="84" t="s">
        <v>51</v>
      </c>
      <c r="B314" s="80"/>
      <c r="C314" s="79" t="s">
        <v>11</v>
      </c>
      <c r="D314" s="80"/>
      <c r="E314" s="80"/>
      <c r="F314" s="79"/>
      <c r="G314" s="80"/>
      <c r="H314" s="80"/>
      <c r="I314" s="80"/>
      <c r="J314" s="80"/>
    </row>
    <row r="315" spans="1:10" ht="14.25" customHeight="1">
      <c r="A315" s="93" t="s">
        <v>87</v>
      </c>
      <c r="B315" s="80"/>
      <c r="C315" s="79" t="s">
        <v>83</v>
      </c>
      <c r="D315" s="80"/>
      <c r="E315" s="80"/>
      <c r="F315" s="27" t="s">
        <v>27</v>
      </c>
      <c r="G315" s="87">
        <v>9</v>
      </c>
      <c r="H315" s="80"/>
      <c r="I315" s="87">
        <v>0.09</v>
      </c>
      <c r="J315" s="80"/>
    </row>
    <row r="316" spans="1:10" ht="24.95" customHeight="1">
      <c r="A316" s="84" t="s">
        <v>84</v>
      </c>
      <c r="B316" s="80"/>
      <c r="C316" s="79"/>
      <c r="D316" s="80"/>
      <c r="E316" s="80"/>
      <c r="F316" s="79"/>
      <c r="G316" s="80"/>
      <c r="H316" s="80"/>
      <c r="I316" s="80"/>
      <c r="J316" s="80"/>
    </row>
    <row r="317" spans="1:10" ht="14.25" customHeight="1">
      <c r="A317" s="79"/>
      <c r="B317" s="80"/>
      <c r="C317" s="79"/>
      <c r="D317" s="80"/>
      <c r="E317" s="80"/>
      <c r="F317" s="27"/>
      <c r="G317" s="87"/>
      <c r="H317" s="80"/>
      <c r="I317" s="87"/>
      <c r="J317" s="80"/>
    </row>
    <row r="318" spans="1:10" ht="24.95" customHeight="1">
      <c r="A318" s="84"/>
      <c r="B318" s="80"/>
      <c r="C318" s="79"/>
      <c r="D318" s="80"/>
      <c r="E318" s="80"/>
      <c r="F318" s="79"/>
      <c r="G318" s="80"/>
      <c r="H318" s="80"/>
      <c r="I318" s="80"/>
      <c r="J318" s="80"/>
    </row>
    <row r="319" spans="1:10" ht="14.25" customHeight="1">
      <c r="A319" s="79"/>
      <c r="B319" s="80"/>
      <c r="C319" s="79"/>
      <c r="D319" s="80"/>
      <c r="E319" s="80"/>
      <c r="F319" s="27"/>
      <c r="G319" s="87"/>
      <c r="H319" s="80"/>
      <c r="I319" s="87"/>
      <c r="J319" s="80"/>
    </row>
    <row r="320" spans="1:10" ht="24.95" customHeight="1">
      <c r="A320" s="84"/>
      <c r="B320" s="80"/>
      <c r="C320" s="79"/>
      <c r="D320" s="80"/>
      <c r="E320" s="80"/>
      <c r="F320" s="79"/>
      <c r="G320" s="80"/>
      <c r="H320" s="80"/>
      <c r="I320" s="80"/>
      <c r="J320" s="80"/>
    </row>
    <row r="321" spans="1:14" ht="14.25" customHeight="1">
      <c r="A321" s="79"/>
      <c r="B321" s="80"/>
      <c r="C321" s="79"/>
      <c r="D321" s="80"/>
      <c r="E321" s="80"/>
      <c r="F321" s="27"/>
      <c r="G321" s="87"/>
      <c r="H321" s="80"/>
      <c r="I321" s="87"/>
      <c r="J321" s="80"/>
    </row>
    <row r="322" spans="1:14" ht="24.95" customHeight="1" thickBot="1">
      <c r="A322" s="84"/>
      <c r="B322" s="80"/>
      <c r="C322" s="79"/>
      <c r="D322" s="80"/>
      <c r="E322" s="80"/>
      <c r="F322" s="79"/>
      <c r="G322" s="80"/>
      <c r="H322" s="80"/>
      <c r="I322" s="80"/>
      <c r="J322" s="80"/>
    </row>
    <row r="323" spans="1:14" s="5" customFormat="1" ht="18" customHeight="1">
      <c r="A323" s="108" t="s">
        <v>88</v>
      </c>
      <c r="B323" s="109"/>
      <c r="C323" s="109"/>
      <c r="D323" s="110"/>
      <c r="E323" s="111" t="s">
        <v>89</v>
      </c>
      <c r="F323" s="112"/>
      <c r="G323" s="28"/>
      <c r="H323" s="113" t="s">
        <v>90</v>
      </c>
      <c r="I323" s="114"/>
      <c r="J323" s="29" t="s">
        <v>91</v>
      </c>
    </row>
    <row r="324" spans="1:14" s="7" customFormat="1" ht="18" customHeight="1">
      <c r="A324" s="115" t="str">
        <f>_xlfn.XLOOKUP(B288,[1]VFDB2!A:A,[1]VFDB2!B:B)</f>
        <v>L型ｱﾝｸﾞﾙ　P-VH-A　L=1018</v>
      </c>
      <c r="B324" s="116"/>
      <c r="C324" s="116"/>
      <c r="D324" s="117"/>
      <c r="E324" s="121" t="str" cm="1">
        <f t="array" ref="E324">IFERROR(IF(ISBLANK(INDEX(_xlfn._xlws.FILTER([1]加工記録２!$C$3:$C$445, [1]加工記録２!$T$3:$T$445=B290), 6)), "", INDEX(_xlfn._xlws.FILTER([1]加工記録２!$C$3:$C$445, [1]加工記録２!$T$3:$T$445=B290), 6)),"")</f>
        <v>T-60</v>
      </c>
      <c r="F324" s="122"/>
      <c r="G324" s="125" cm="1">
        <f t="array" ref="G324">IFERROR(IF(ISBLANK(INDEX(_xlfn._xlws.FILTER([1]加工記録２!$B$3:$B$445, [1]加工記録２!$T$3:$T$445=B290), 7)), "", INDEX(_xlfn._xlws.FILTER([1]加工記録２!$B$3:$B$445, [1]加工記録２!$T$3:$T$445=B290), 7)),"")</f>
        <v>9</v>
      </c>
      <c r="H324" s="30" t="s">
        <v>92</v>
      </c>
      <c r="I324" s="31" cm="1">
        <f t="array" ref="I324:J324">IFERROR(IF(ISBLANK(INDEX(_xlfn._xlws.FILTER([1]加工記録２!$O$3:$P$445, [1]加工記録２!$T$3:$T$445=B290), 1)), "", INDEX(_xlfn._xlws.FILTER([1]加工記録２!$O$3:$P$445, [1]加工記録２!$T$3:$T$445=B290), 1)),"")</f>
        <v>45828</v>
      </c>
      <c r="J324" s="32" t="str">
        <v/>
      </c>
    </row>
    <row r="325" spans="1:14" s="5" customFormat="1" ht="18" customHeight="1">
      <c r="A325" s="118"/>
      <c r="B325" s="119"/>
      <c r="C325" s="119"/>
      <c r="D325" s="120"/>
      <c r="E325" s="123"/>
      <c r="F325" s="124"/>
      <c r="G325" s="126"/>
      <c r="H325" s="30" t="s">
        <v>93</v>
      </c>
      <c r="I325" s="33" cm="1">
        <f t="array" ref="I325:J325">IFERROR(IF(ISBLANK(INDEX(_xlfn._xlws.FILTER([1]加工記録２!$O$3:$P$445, [1]加工記録２!$T$3:$T$445=B290), 2)), "", INDEX(_xlfn._xlws.FILTER([1]加工記録２!$O$3:$P$445, [1]加工記録２!$T$3:$T$445=B290), 2)),"")</f>
        <v>900</v>
      </c>
      <c r="J325" s="34" t="str">
        <v/>
      </c>
      <c r="K325" s="35"/>
    </row>
    <row r="326" spans="1:14" s="7" customFormat="1" ht="18" customHeight="1">
      <c r="A326" s="127" t="s">
        <v>94</v>
      </c>
      <c r="B326" s="129" t="str">
        <f>_xlfn.XLOOKUP(B288,[1]!テーブル5[品目コード],[1]!テーブル5[温度換算],,)</f>
        <v>-</v>
      </c>
      <c r="C326" s="131" t="s">
        <v>95</v>
      </c>
      <c r="D326" s="149">
        <f>_xlfn.XLOOKUP(B288,[1]!テーブル5[品目コード],[1]!テーブル5[取数],,)</f>
        <v>1</v>
      </c>
      <c r="E326" s="121">
        <f>_xlfn.XLOOKUP(B288,[1]!テーブル5[品目コード],[1]!テーブル5[備考１],,)</f>
        <v>0</v>
      </c>
      <c r="F326" s="151"/>
      <c r="G326" s="152"/>
      <c r="H326" s="36" t="s">
        <v>96</v>
      </c>
      <c r="I326" s="33" cm="1">
        <f t="array" ref="I326:J326">IFERROR(IF(ISBLANK(INDEX(_xlfn._xlws.FILTER([1]加工記録２!$O$3:$P$445, [1]加工記録２!$T$3:$T$445=B290), 3)), "", INDEX(_xlfn._xlws.FILTER([1]加工記録２!$O$3:$P$445, [1]加工記録２!$T$3:$T$445=B290), 3)),"")</f>
        <v>900</v>
      </c>
      <c r="J326" s="37" t="str">
        <v/>
      </c>
      <c r="K326" s="38"/>
    </row>
    <row r="327" spans="1:14" s="5" customFormat="1" ht="18" customHeight="1">
      <c r="A327" s="128"/>
      <c r="B327" s="130"/>
      <c r="C327" s="132"/>
      <c r="D327" s="150"/>
      <c r="E327" s="123"/>
      <c r="F327" s="153"/>
      <c r="G327" s="154"/>
      <c r="H327" s="36" t="s">
        <v>97</v>
      </c>
      <c r="I327" s="33" cm="1">
        <f t="array" ref="I327:J327">IFERROR(IF(ISBLANK(INDEX(_xlfn._xlws.FILTER([1]加工記録２!$O$3:$P$445, [1]加工記録２!$T$3:$T$445=B290), 4)), "", INDEX(_xlfn._xlws.FILTER([1]加工記録２!$O$3:$P$445, [1]加工記録２!$T$3:$T$445=B290), 4)),"")</f>
        <v>0</v>
      </c>
      <c r="J327" s="39" t="str">
        <v/>
      </c>
      <c r="K327" s="35"/>
    </row>
    <row r="328" spans="1:14" s="7" customFormat="1" ht="18" customHeight="1">
      <c r="A328" s="155" t="s">
        <v>98</v>
      </c>
      <c r="B328" s="143">
        <f>D288</f>
        <v>1018</v>
      </c>
      <c r="C328" s="145" t="s">
        <v>99</v>
      </c>
      <c r="D328" s="147">
        <f>_xlfn.XLOOKUP(B288,[1]!テーブル5[品目コード],[1]!テーブル5[上限公差],,)</f>
        <v>0</v>
      </c>
      <c r="E328" s="121" t="str">
        <f>_xlfn.XLOOKUP(B288,[1]!テーブル5[品目コード],[1]!テーブル5[備考２],,)</f>
        <v>※使用基材、取数は依頼書にて確認</v>
      </c>
      <c r="F328" s="151"/>
      <c r="G328" s="152"/>
      <c r="H328" s="36" t="s">
        <v>100</v>
      </c>
      <c r="I328" s="33" cm="1">
        <f t="array" ref="I328:J328">IFERROR(IF(ISBLANK(INDEX(_xlfn._xlws.FILTER([1]加工記録２!$O$3:$P$445, [1]加工記録２!$T$3:$T$445=B290), 5)), "", INDEX(_xlfn._xlws.FILTER([1]加工記録２!$O$3:$P$445, [1]加工記録２!$T$3:$T$445=B290), 5)),"")</f>
        <v>0</v>
      </c>
      <c r="J328" s="40" t="str">
        <v/>
      </c>
      <c r="K328" s="38"/>
    </row>
    <row r="329" spans="1:14" s="5" customFormat="1" ht="18" customHeight="1">
      <c r="A329" s="156"/>
      <c r="B329" s="144"/>
      <c r="C329" s="146"/>
      <c r="D329" s="148"/>
      <c r="E329" s="123"/>
      <c r="F329" s="153"/>
      <c r="G329" s="154"/>
      <c r="H329" s="36" t="s">
        <v>101</v>
      </c>
      <c r="I329" s="33" t="str" cm="1">
        <f t="array" ref="I329:J329">IFERROR(IF(ISBLANK(INDEX(_xlfn._xlws.FILTER([1]加工記録２!$O$3:$P$445, [1]加工記録２!$T$3:$T$445=B290), 6)), "", INDEX(_xlfn._xlws.FILTER([1]加工記録２!$O$3:$P$445, [1]加工記録２!$T$3:$T$445=B290), 6)),"")</f>
        <v/>
      </c>
      <c r="J329" s="41" t="str">
        <v/>
      </c>
      <c r="K329" s="35"/>
    </row>
    <row r="330" spans="1:14" s="7" customFormat="1" ht="18" customHeight="1">
      <c r="A330" s="127" t="s">
        <v>102</v>
      </c>
      <c r="B330" s="158">
        <f>_xlfn.XLOOKUP(B288,[1]!テーブル5[品目コード],[1]!テーブル5[切断寸法],,)</f>
        <v>1017</v>
      </c>
      <c r="C330" s="160" t="s">
        <v>103</v>
      </c>
      <c r="D330" s="147">
        <f>_xlfn.XLOOKUP(B288,[1]!テーブル5[品目コード],[1]!テーブル5[下限公差],,)</f>
        <v>-3</v>
      </c>
      <c r="E330" s="121" t="str">
        <f>_xlfn.XLOOKUP(B288,[1]!テーブル5[品目コード],[1]!テーブル5[梱包方法],,)</f>
        <v>ラベル2枚　長手有　鉢巻１</v>
      </c>
      <c r="F330" s="151"/>
      <c r="G330" s="152"/>
      <c r="H330" s="36" t="s">
        <v>104</v>
      </c>
      <c r="I330" s="33" t="str" cm="1">
        <f t="array" ref="I330:J330">IFERROR(IF(ISBLANK(INDEX(_xlfn._xlws.FILTER([1]加工記録２!$O$3:$P$445, [1]加工記録２!$T$3:$T$445=B290), 7)), "", INDEX(_xlfn._xlws.FILTER([1]加工記録２!$O$3:$P$445, [1]加工記録２!$T$3:$T$445=B290), 7)),"")</f>
        <v>富田・水野</v>
      </c>
      <c r="J330" s="42" t="str">
        <v/>
      </c>
      <c r="K330" s="38"/>
    </row>
    <row r="331" spans="1:14" s="5" customFormat="1" ht="18" customHeight="1" thickBot="1">
      <c r="A331" s="157"/>
      <c r="B331" s="159"/>
      <c r="C331" s="161"/>
      <c r="D331" s="162"/>
      <c r="E331" s="163"/>
      <c r="F331" s="164"/>
      <c r="G331" s="165"/>
      <c r="H331" s="43" t="s">
        <v>105</v>
      </c>
      <c r="I331" s="44" t="str" cm="1">
        <f t="array" ref="I331:J331">IFERROR(IF(ISBLANK(INDEX(_xlfn._xlws.FILTER([1]加工記録２!$O$3:$P$445, [1]加工記録２!$T$3:$T$445=B290), 8)), "", INDEX(_xlfn._xlws.FILTER([1]加工記録２!$O$3:$P$445, [1]加工記録２!$T$3:$T$445=B290), 8)),"")</f>
        <v/>
      </c>
      <c r="J331" s="45">
        <v>0</v>
      </c>
    </row>
    <row r="332" spans="1:14" s="56" customFormat="1" ht="18.95" customHeight="1">
      <c r="A332" s="46" t="s">
        <v>106</v>
      </c>
      <c r="B332" s="47" t="s">
        <v>107</v>
      </c>
      <c r="C332" s="48" t="s">
        <v>108</v>
      </c>
      <c r="D332" s="48" t="s">
        <v>109</v>
      </c>
      <c r="E332" s="49" t="s">
        <v>110</v>
      </c>
      <c r="F332" s="50" t="s">
        <v>111</v>
      </c>
      <c r="G332" s="51" t="s">
        <v>112</v>
      </c>
      <c r="H332" s="52" t="s">
        <v>113</v>
      </c>
      <c r="I332" s="53" t="s">
        <v>114</v>
      </c>
      <c r="J332" s="54" t="s">
        <v>115</v>
      </c>
      <c r="K332" s="55"/>
      <c r="L332" s="55"/>
      <c r="M332" s="55"/>
      <c r="N332" s="55"/>
    </row>
    <row r="333" spans="1:14" s="67" customFormat="1" ht="18.95" customHeight="1">
      <c r="A333" s="57" t="str" cm="1">
        <f t="array" ref="A333:J333">IFERROR(IF(ISBLANK(INDEX(_xlfn._xlws.FILTER([1]加工記録２!$D$3:$M$445, [1]加工記録２!$T$3:$T$445=B290), 1)), "", INDEX(_xlfn._xlws.FILTER([1]加工記録２!$D$3:$M$445, [1]加工記録２!$T$3:$T$445=B290), 1)),"")</f>
        <v/>
      </c>
      <c r="B333" s="58" t="str">
        <v/>
      </c>
      <c r="C333" s="59" t="str">
        <v/>
      </c>
      <c r="D333" s="59" t="str">
        <v/>
      </c>
      <c r="E333" s="60" t="str">
        <v/>
      </c>
      <c r="F333" s="61" t="str">
        <v>25F12B</v>
      </c>
      <c r="G333" s="62">
        <v>200</v>
      </c>
      <c r="H333" s="63">
        <v>200</v>
      </c>
      <c r="I333" s="64">
        <v>45828</v>
      </c>
      <c r="J333" s="65">
        <v>9</v>
      </c>
      <c r="K333" s="66"/>
      <c r="L333" s="66"/>
      <c r="M333" s="66"/>
      <c r="N333" s="66"/>
    </row>
    <row r="334" spans="1:14" s="67" customFormat="1" ht="18.95" customHeight="1">
      <c r="A334" s="57" cm="1">
        <f t="array" ref="A334:J334">IFERROR(IF(ISBLANK(INDEX(_xlfn._xlws.FILTER([1]加工記録２!$D$3:$M$445, [1]加工記録２!$T$3:$T$445=B290), 2)), "", INDEX(_xlfn._xlws.FILTER([1]加工記録２!$D$3:$M$445, [1]加工記録２!$T$3:$T$445=B290), 2)),"")</f>
        <v>45828</v>
      </c>
      <c r="B334" s="62" t="str">
        <v>25F12B</v>
      </c>
      <c r="C334" s="62" t="str">
        <v/>
      </c>
      <c r="D334" s="62">
        <v>1018</v>
      </c>
      <c r="E334" s="68">
        <v>1017.62</v>
      </c>
      <c r="F334" s="61" t="str">
        <v>25F11B</v>
      </c>
      <c r="G334" s="62">
        <v>100</v>
      </c>
      <c r="H334" s="63">
        <v>100</v>
      </c>
      <c r="I334" s="64" t="str">
        <v/>
      </c>
      <c r="J334" s="65" t="str">
        <v/>
      </c>
      <c r="K334" s="66"/>
      <c r="L334" s="66"/>
      <c r="M334" s="66"/>
      <c r="N334" s="66"/>
    </row>
    <row r="335" spans="1:14" s="67" customFormat="1" ht="18.95" customHeight="1">
      <c r="A335" s="57" cm="1">
        <f t="array" ref="A335:J335">IFERROR(IF(ISBLANK(INDEX(_xlfn._xlws.FILTER([1]加工記録２!$D$3:$M$445, [1]加工記録２!$T$3:$T$445=B290), 3)), "", INDEX(_xlfn._xlws.FILTER([1]加工記録２!$D$3:$M$445, [1]加工記録２!$T$3:$T$445=B290), 3)),"")</f>
        <v>45828</v>
      </c>
      <c r="B335" s="62" t="str">
        <v>25F11B</v>
      </c>
      <c r="C335" s="62" t="str">
        <v/>
      </c>
      <c r="D335" s="62">
        <v>1018</v>
      </c>
      <c r="E335" s="68" t="str">
        <v/>
      </c>
      <c r="F335" s="61" t="str">
        <v>25F09B</v>
      </c>
      <c r="G335" s="62">
        <v>300</v>
      </c>
      <c r="H335" s="63">
        <v>300</v>
      </c>
      <c r="I335" s="64" t="str">
        <v/>
      </c>
      <c r="J335" s="65" t="str">
        <v/>
      </c>
      <c r="K335" s="66"/>
      <c r="L335" s="66"/>
      <c r="M335" s="66"/>
      <c r="N335" s="66"/>
    </row>
    <row r="336" spans="1:14" s="67" customFormat="1" ht="18.95" customHeight="1">
      <c r="A336" s="57" cm="1">
        <f t="array" ref="A336:J336">IFERROR(IF(ISBLANK(INDEX(_xlfn._xlws.FILTER([1]加工記録２!$D$3:$M$445, [1]加工記録２!$T$3:$T$445=B290), 4)), "", INDEX(_xlfn._xlws.FILTER([1]加工記録２!$D$3:$M$445, [1]加工記録２!$T$3:$T$445=B290), 4)),"")</f>
        <v>45828</v>
      </c>
      <c r="B336" s="62" t="str">
        <v>25F09B</v>
      </c>
      <c r="C336" s="62" t="str">
        <v/>
      </c>
      <c r="D336" s="62">
        <v>1018</v>
      </c>
      <c r="E336" s="68">
        <v>1017.83</v>
      </c>
      <c r="F336" s="61" t="str">
        <v>25F06B</v>
      </c>
      <c r="G336" s="62">
        <v>150</v>
      </c>
      <c r="H336" s="63">
        <v>150</v>
      </c>
      <c r="I336" s="64" t="str">
        <v/>
      </c>
      <c r="J336" s="65" t="str">
        <v/>
      </c>
      <c r="K336" s="66"/>
      <c r="L336" s="66"/>
      <c r="M336" s="66"/>
      <c r="N336" s="66"/>
    </row>
    <row r="337" spans="1:14" s="67" customFormat="1" ht="18.95" customHeight="1">
      <c r="A337" s="57" cm="1">
        <f t="array" ref="A337:J337">IFERROR(IF(ISBLANK(INDEX(_xlfn._xlws.FILTER([1]加工記録２!$D$3:$M$445, [1]加工記録２!$T$3:$T$445=B290), 5)), "", INDEX(_xlfn._xlws.FILTER([1]加工記録２!$D$3:$M$445, [1]加工記録２!$T$3:$T$445=B290), 5)),"")</f>
        <v>45828</v>
      </c>
      <c r="B337" s="62" t="str">
        <v>25F06B</v>
      </c>
      <c r="C337" s="62" t="str">
        <v/>
      </c>
      <c r="D337" s="62">
        <v>1018</v>
      </c>
      <c r="E337" s="68" t="str">
        <v/>
      </c>
      <c r="F337" s="61" t="str">
        <v>25C05B</v>
      </c>
      <c r="G337" s="62">
        <v>150</v>
      </c>
      <c r="H337" s="63">
        <v>150</v>
      </c>
      <c r="I337" s="69" t="str">
        <v/>
      </c>
      <c r="J337" s="70" t="str">
        <v/>
      </c>
      <c r="K337" s="66"/>
      <c r="L337" s="66"/>
      <c r="M337" s="66"/>
      <c r="N337" s="66"/>
    </row>
    <row r="338" spans="1:14" s="67" customFormat="1" ht="18.95" customHeight="1">
      <c r="A338" s="57" cm="1">
        <f t="array" ref="A338:J338">IFERROR(IF(ISBLANK(INDEX(_xlfn._xlws.FILTER([1]加工記録２!$D$3:$M$445, [1]加工記録２!$T$3:$T$445=B290), 6)), "", INDEX(_xlfn._xlws.FILTER([1]加工記録２!$D$3:$M$445, [1]加工記録２!$T$3:$T$445=B290), 6)),"")</f>
        <v>45828</v>
      </c>
      <c r="B338" s="62" t="str">
        <v>25C05B</v>
      </c>
      <c r="C338" s="62" t="str">
        <v/>
      </c>
      <c r="D338" s="62">
        <v>1018</v>
      </c>
      <c r="E338" s="68">
        <v>1017.75</v>
      </c>
      <c r="F338" s="61" t="str">
        <v/>
      </c>
      <c r="G338" s="62" t="str">
        <v/>
      </c>
      <c r="H338" s="71" t="str">
        <v/>
      </c>
      <c r="I338" s="69" t="str">
        <v/>
      </c>
      <c r="J338" s="70" t="str">
        <v/>
      </c>
      <c r="K338" s="66"/>
      <c r="L338" s="66"/>
      <c r="M338" s="66"/>
      <c r="N338" s="66"/>
    </row>
    <row r="339" spans="1:14" s="67" customFormat="1" ht="18.95" customHeight="1">
      <c r="A339" s="57" t="str" cm="1">
        <f t="array" ref="A339:J339">IFERROR(IF(ISBLANK(INDEX(_xlfn._xlws.FILTER([1]加工記録２!$D$3:$M$445, [1]加工記録２!$T$3:$T$445=B290), 7)), "", INDEX(_xlfn._xlws.FILTER([1]加工記録２!$D$3:$M$445, [1]加工記録２!$T$3:$T$445=B290), 7)),"")</f>
        <v/>
      </c>
      <c r="B339" s="62" t="str">
        <v/>
      </c>
      <c r="C339" s="62" t="str">
        <v/>
      </c>
      <c r="D339" s="62">
        <v>1018</v>
      </c>
      <c r="E339" s="68" t="str">
        <v/>
      </c>
      <c r="F339" s="61" t="str">
        <v/>
      </c>
      <c r="G339" s="62" t="str">
        <v/>
      </c>
      <c r="H339" s="71" t="str">
        <v/>
      </c>
      <c r="I339" s="69" t="str">
        <v/>
      </c>
      <c r="J339" s="70" t="str">
        <v/>
      </c>
      <c r="K339" s="66"/>
      <c r="L339" s="66"/>
      <c r="M339" s="66"/>
      <c r="N339" s="66"/>
    </row>
    <row r="340" spans="1:14" s="67" customFormat="1" ht="18.95" customHeight="1" thickBot="1">
      <c r="A340" s="72" t="str" cm="1">
        <f t="array" aca="1" ref="A340" ca="1">IFERROR(F(ISBLANK(INDEX(_xlfn._xlws.FILTER([1]加工記録２!$D$3:$M$445, [1]加工記録２!$T$3:$T$445=B290), 8)), "", INDEX(_xlfn._xlws.FILTER([1]加工記録２!$D$3:$M$445, [1]加工記録２!$T$3:$T$445=B290), 8)),"")</f>
        <v/>
      </c>
      <c r="B340" s="73"/>
      <c r="C340" s="73"/>
      <c r="D340" s="73"/>
      <c r="E340" s="74"/>
      <c r="F340" s="75"/>
      <c r="G340" s="73"/>
      <c r="H340" s="76"/>
      <c r="I340" s="77"/>
      <c r="J340" s="78"/>
      <c r="K340" s="66"/>
      <c r="L340" s="66"/>
      <c r="M340" s="66"/>
      <c r="N340" s="66"/>
    </row>
    <row r="341" spans="1:14" ht="13.5" customHeight="1" thickBo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</row>
    <row r="342" spans="1:14" ht="6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</sheetData>
  <mergeCells count="642">
    <mergeCell ref="A330:A331"/>
    <mergeCell ref="B330:B331"/>
    <mergeCell ref="C330:C331"/>
    <mergeCell ref="D330:D331"/>
    <mergeCell ref="E330:G331"/>
    <mergeCell ref="A326:A327"/>
    <mergeCell ref="B326:B327"/>
    <mergeCell ref="C326:C327"/>
    <mergeCell ref="D326:D327"/>
    <mergeCell ref="E326:G327"/>
    <mergeCell ref="A328:A329"/>
    <mergeCell ref="B328:B329"/>
    <mergeCell ref="C328:C329"/>
    <mergeCell ref="D328:D329"/>
    <mergeCell ref="E328:G329"/>
    <mergeCell ref="C311:D311"/>
    <mergeCell ref="A316:B316"/>
    <mergeCell ref="B290:B291"/>
    <mergeCell ref="F307:H307"/>
    <mergeCell ref="I297:J298"/>
    <mergeCell ref="I321:J321"/>
    <mergeCell ref="A313:B313"/>
    <mergeCell ref="C305:D305"/>
    <mergeCell ref="I307:J307"/>
    <mergeCell ref="G317:H317"/>
    <mergeCell ref="A323:D323"/>
    <mergeCell ref="E323:F323"/>
    <mergeCell ref="H323:I323"/>
    <mergeCell ref="A324:D325"/>
    <mergeCell ref="E324:F325"/>
    <mergeCell ref="G324:G325"/>
    <mergeCell ref="G319:H319"/>
    <mergeCell ref="A321:B321"/>
    <mergeCell ref="F320:J320"/>
    <mergeCell ref="A271:A272"/>
    <mergeCell ref="B271:B272"/>
    <mergeCell ref="C271:C272"/>
    <mergeCell ref="D271:D272"/>
    <mergeCell ref="E271:G272"/>
    <mergeCell ref="A273:A274"/>
    <mergeCell ref="B273:B274"/>
    <mergeCell ref="C273:C274"/>
    <mergeCell ref="D273:D274"/>
    <mergeCell ref="E273:G274"/>
    <mergeCell ref="A266:D266"/>
    <mergeCell ref="E266:F266"/>
    <mergeCell ref="H266:I266"/>
    <mergeCell ref="A267:D268"/>
    <mergeCell ref="E267:F268"/>
    <mergeCell ref="G267:G268"/>
    <mergeCell ref="I248:J248"/>
    <mergeCell ref="A269:A270"/>
    <mergeCell ref="B269:B270"/>
    <mergeCell ref="C269:C270"/>
    <mergeCell ref="D269:D270"/>
    <mergeCell ref="E269:G270"/>
    <mergeCell ref="D212:D213"/>
    <mergeCell ref="E212:G213"/>
    <mergeCell ref="A214:A215"/>
    <mergeCell ref="B214:B215"/>
    <mergeCell ref="C214:C215"/>
    <mergeCell ref="D214:D215"/>
    <mergeCell ref="E214:G215"/>
    <mergeCell ref="A216:A217"/>
    <mergeCell ref="B216:B217"/>
    <mergeCell ref="C216:C217"/>
    <mergeCell ref="D216:D217"/>
    <mergeCell ref="E216:G217"/>
    <mergeCell ref="A157:A158"/>
    <mergeCell ref="B157:B158"/>
    <mergeCell ref="C157:C158"/>
    <mergeCell ref="D157:D158"/>
    <mergeCell ref="E157:G158"/>
    <mergeCell ref="A159:A160"/>
    <mergeCell ref="B159:B160"/>
    <mergeCell ref="C159:C160"/>
    <mergeCell ref="D159:D160"/>
    <mergeCell ref="E159:G160"/>
    <mergeCell ref="A102:A103"/>
    <mergeCell ref="B102:B103"/>
    <mergeCell ref="C102:C103"/>
    <mergeCell ref="D102:D103"/>
    <mergeCell ref="E102:G103"/>
    <mergeCell ref="A152:D152"/>
    <mergeCell ref="E152:F152"/>
    <mergeCell ref="H152:I152"/>
    <mergeCell ref="A151:B151"/>
    <mergeCell ref="A150:B150"/>
    <mergeCell ref="A144:B144"/>
    <mergeCell ref="I136:J136"/>
    <mergeCell ref="F18:H18"/>
    <mergeCell ref="F189:H189"/>
    <mergeCell ref="A257:B257"/>
    <mergeCell ref="G297:G298"/>
    <mergeCell ref="C191:D191"/>
    <mergeCell ref="C18:D18"/>
    <mergeCell ref="A36:B36"/>
    <mergeCell ref="B121:B122"/>
    <mergeCell ref="A207:B207"/>
    <mergeCell ref="C37:E37"/>
    <mergeCell ref="A89:B89"/>
    <mergeCell ref="A38:D38"/>
    <mergeCell ref="E38:F38"/>
    <mergeCell ref="F22:H22"/>
    <mergeCell ref="F33:J33"/>
    <mergeCell ref="G148:H148"/>
    <mergeCell ref="C189:D189"/>
    <mergeCell ref="A34:B34"/>
    <mergeCell ref="A143:B143"/>
    <mergeCell ref="I196:J196"/>
    <mergeCell ref="C261:E261"/>
    <mergeCell ref="G126:G127"/>
    <mergeCell ref="I207:J207"/>
    <mergeCell ref="F237:G237"/>
    <mergeCell ref="A39:D40"/>
    <mergeCell ref="E39:F40"/>
    <mergeCell ref="G39:G40"/>
    <mergeCell ref="G139:H139"/>
    <mergeCell ref="A33:B33"/>
    <mergeCell ref="A204:B204"/>
    <mergeCell ref="B64:B65"/>
    <mergeCell ref="F121:G121"/>
    <mergeCell ref="D41:D42"/>
    <mergeCell ref="E41:G42"/>
    <mergeCell ref="A43:A44"/>
    <mergeCell ref="B43:B44"/>
    <mergeCell ref="C43:C44"/>
    <mergeCell ref="D43:D44"/>
    <mergeCell ref="E43:G44"/>
    <mergeCell ref="A45:A46"/>
    <mergeCell ref="B45:B46"/>
    <mergeCell ref="C45:C46"/>
    <mergeCell ref="D45:D46"/>
    <mergeCell ref="E45:G46"/>
    <mergeCell ref="D98:D99"/>
    <mergeCell ref="E98:G99"/>
    <mergeCell ref="A100:A101"/>
    <mergeCell ref="E100:G101"/>
    <mergeCell ref="C34:E34"/>
    <mergeCell ref="A35:B35"/>
    <mergeCell ref="A206:B206"/>
    <mergeCell ref="I193:J193"/>
    <mergeCell ref="I126:J127"/>
    <mergeCell ref="A262:B262"/>
    <mergeCell ref="C322:E322"/>
    <mergeCell ref="G12:G13"/>
    <mergeCell ref="A28:B28"/>
    <mergeCell ref="G183:G184"/>
    <mergeCell ref="F248:H248"/>
    <mergeCell ref="I30:J30"/>
    <mergeCell ref="C205:E205"/>
    <mergeCell ref="A30:B30"/>
    <mergeCell ref="C94:E94"/>
    <mergeCell ref="F257:J257"/>
    <mergeCell ref="A15:J15"/>
    <mergeCell ref="I201:J201"/>
    <mergeCell ref="J232:J233"/>
    <mergeCell ref="C89:E89"/>
    <mergeCell ref="C260:E260"/>
    <mergeCell ref="G203:H203"/>
    <mergeCell ref="C88:E88"/>
    <mergeCell ref="H38:I38"/>
    <mergeCell ref="F5:H6"/>
    <mergeCell ref="F200:J200"/>
    <mergeCell ref="C208:E208"/>
    <mergeCell ref="G89:H89"/>
    <mergeCell ref="A290:A291"/>
    <mergeCell ref="A200:B200"/>
    <mergeCell ref="B172:D173"/>
    <mergeCell ref="I191:J191"/>
    <mergeCell ref="F37:J37"/>
    <mergeCell ref="A288:A289"/>
    <mergeCell ref="C288:C289"/>
    <mergeCell ref="A202:B202"/>
    <mergeCell ref="A258:B258"/>
    <mergeCell ref="F133:H133"/>
    <mergeCell ref="F197:J197"/>
    <mergeCell ref="I192:J192"/>
    <mergeCell ref="C259:E259"/>
    <mergeCell ref="A186:J186"/>
    <mergeCell ref="F130:H130"/>
    <mergeCell ref="F66:G66"/>
    <mergeCell ref="C192:D192"/>
    <mergeCell ref="I183:J184"/>
    <mergeCell ref="C244:D244"/>
    <mergeCell ref="F132:H132"/>
    <mergeCell ref="A12:C13"/>
    <mergeCell ref="F19:H19"/>
    <mergeCell ref="A260:B260"/>
    <mergeCell ref="F75:H75"/>
    <mergeCell ref="F135:H135"/>
    <mergeCell ref="C201:E201"/>
    <mergeCell ref="C90:E90"/>
    <mergeCell ref="C139:E139"/>
    <mergeCell ref="C26:D26"/>
    <mergeCell ref="C197:D197"/>
    <mergeCell ref="G82:H82"/>
    <mergeCell ref="C257:E257"/>
    <mergeCell ref="A233:A234"/>
    <mergeCell ref="B117:B118"/>
    <mergeCell ref="C144:E144"/>
    <mergeCell ref="F140:J140"/>
    <mergeCell ref="A243:J243"/>
    <mergeCell ref="I199:J199"/>
    <mergeCell ref="C203:E203"/>
    <mergeCell ref="H126:H127"/>
    <mergeCell ref="I78:J78"/>
    <mergeCell ref="H69:H70"/>
    <mergeCell ref="F60:H61"/>
    <mergeCell ref="C79:D79"/>
    <mergeCell ref="F3:H4"/>
    <mergeCell ref="F174:H175"/>
    <mergeCell ref="H295:J296"/>
    <mergeCell ref="F136:H136"/>
    <mergeCell ref="C76:D76"/>
    <mergeCell ref="B288:B289"/>
    <mergeCell ref="F78:H78"/>
    <mergeCell ref="C204:E204"/>
    <mergeCell ref="F92:J92"/>
    <mergeCell ref="G91:H91"/>
    <mergeCell ref="I144:J144"/>
    <mergeCell ref="G253:H253"/>
    <mergeCell ref="F290:H291"/>
    <mergeCell ref="F259:J259"/>
    <mergeCell ref="F261:J261"/>
    <mergeCell ref="A256:B256"/>
    <mergeCell ref="C262:E262"/>
    <mergeCell ref="A264:B264"/>
    <mergeCell ref="C247:D247"/>
    <mergeCell ref="A148:B148"/>
    <mergeCell ref="A32:B32"/>
    <mergeCell ref="I23:J23"/>
    <mergeCell ref="C23:D23"/>
    <mergeCell ref="J61:J62"/>
    <mergeCell ref="A3:A4"/>
    <mergeCell ref="F86:J86"/>
    <mergeCell ref="G146:H146"/>
    <mergeCell ref="I75:J75"/>
    <mergeCell ref="I146:J146"/>
    <mergeCell ref="A149:B149"/>
    <mergeCell ref="F316:J316"/>
    <mergeCell ref="I289:I290"/>
    <mergeCell ref="A235:A236"/>
    <mergeCell ref="A5:A6"/>
    <mergeCell ref="A86:B86"/>
    <mergeCell ref="C22:D22"/>
    <mergeCell ref="C193:D193"/>
    <mergeCell ref="B62:B63"/>
    <mergeCell ref="A82:B82"/>
    <mergeCell ref="C146:E146"/>
    <mergeCell ref="I308:J308"/>
    <mergeCell ref="C308:D308"/>
    <mergeCell ref="F206:J206"/>
    <mergeCell ref="F117:H118"/>
    <mergeCell ref="B233:B234"/>
    <mergeCell ref="C231:C232"/>
    <mergeCell ref="E231:E232"/>
    <mergeCell ref="B235:B236"/>
    <mergeCell ref="B1:D2"/>
    <mergeCell ref="I20:J20"/>
    <mergeCell ref="G85:H85"/>
    <mergeCell ref="G256:H256"/>
    <mergeCell ref="C206:E206"/>
    <mergeCell ref="A117:A118"/>
    <mergeCell ref="C143:E143"/>
    <mergeCell ref="A119:A120"/>
    <mergeCell ref="F147:J147"/>
    <mergeCell ref="B3:B4"/>
    <mergeCell ref="I80:J80"/>
    <mergeCell ref="A87:B87"/>
    <mergeCell ref="F9:G9"/>
    <mergeCell ref="H238:J239"/>
    <mergeCell ref="C77:D77"/>
    <mergeCell ref="F29:J29"/>
    <mergeCell ref="F79:H79"/>
    <mergeCell ref="E60:E61"/>
    <mergeCell ref="C36:E36"/>
    <mergeCell ref="C207:E207"/>
    <mergeCell ref="I118:I119"/>
    <mergeCell ref="G199:H199"/>
    <mergeCell ref="I150:J150"/>
    <mergeCell ref="B58:D59"/>
    <mergeCell ref="F26:J26"/>
    <mergeCell ref="E176:E177"/>
    <mergeCell ref="I21:J21"/>
    <mergeCell ref="F292:G292"/>
    <mergeCell ref="F202:J202"/>
    <mergeCell ref="E290:E291"/>
    <mergeCell ref="I135:J135"/>
    <mergeCell ref="I306:J306"/>
    <mergeCell ref="I175:I176"/>
    <mergeCell ref="I25:J25"/>
    <mergeCell ref="A72:J72"/>
    <mergeCell ref="F247:H247"/>
    <mergeCell ref="A205:B205"/>
    <mergeCell ref="I69:J70"/>
    <mergeCell ref="I240:J241"/>
    <mergeCell ref="F249:H249"/>
    <mergeCell ref="C150:E150"/>
    <mergeCell ref="H240:H241"/>
    <mergeCell ref="I246:J246"/>
    <mergeCell ref="A94:B94"/>
    <mergeCell ref="F288:H289"/>
    <mergeCell ref="B100:B101"/>
    <mergeCell ref="C100:C101"/>
    <mergeCell ref="D100:D101"/>
    <mergeCell ref="I317:J317"/>
    <mergeCell ref="C249:D249"/>
    <mergeCell ref="I34:J34"/>
    <mergeCell ref="D174:D175"/>
    <mergeCell ref="C93:E93"/>
    <mergeCell ref="I232:I233"/>
    <mergeCell ref="C21:D21"/>
    <mergeCell ref="F180:G180"/>
    <mergeCell ref="A319:B319"/>
    <mergeCell ref="G25:H25"/>
    <mergeCell ref="F145:J145"/>
    <mergeCell ref="G205:H205"/>
    <mergeCell ref="F80:H80"/>
    <mergeCell ref="F305:H305"/>
    <mergeCell ref="I77:J77"/>
    <mergeCell ref="I133:J133"/>
    <mergeCell ref="F265:J265"/>
    <mergeCell ref="F176:H177"/>
    <mergeCell ref="F88:J88"/>
    <mergeCell ref="F76:H76"/>
    <mergeCell ref="I244:J244"/>
    <mergeCell ref="F90:J90"/>
    <mergeCell ref="F263:J263"/>
    <mergeCell ref="G201:H201"/>
    <mergeCell ref="C320:E320"/>
    <mergeCell ref="I305:J305"/>
    <mergeCell ref="I313:J313"/>
    <mergeCell ref="C321:E321"/>
    <mergeCell ref="I36:J36"/>
    <mergeCell ref="C250:D250"/>
    <mergeCell ref="F143:J143"/>
    <mergeCell ref="A147:B147"/>
    <mergeCell ref="B119:B120"/>
    <mergeCell ref="A41:A42"/>
    <mergeCell ref="B41:B42"/>
    <mergeCell ref="C41:C42"/>
    <mergeCell ref="C303:D303"/>
    <mergeCell ref="C317:E317"/>
    <mergeCell ref="A263:B263"/>
    <mergeCell ref="A62:A63"/>
    <mergeCell ref="I247:J247"/>
    <mergeCell ref="I262:J262"/>
    <mergeCell ref="C174:C175"/>
    <mergeCell ref="E174:E175"/>
    <mergeCell ref="C256:E256"/>
    <mergeCell ref="A142:B142"/>
    <mergeCell ref="F194:H194"/>
    <mergeCell ref="G36:H36"/>
    <mergeCell ref="F322:J322"/>
    <mergeCell ref="B229:D230"/>
    <mergeCell ref="C251:D251"/>
    <mergeCell ref="F191:H191"/>
    <mergeCell ref="A259:B259"/>
    <mergeCell ref="I250:J250"/>
    <mergeCell ref="C19:D19"/>
    <mergeCell ref="C190:D190"/>
    <mergeCell ref="C304:D304"/>
    <mergeCell ref="F21:H21"/>
    <mergeCell ref="F192:H192"/>
    <mergeCell ref="G238:G239"/>
    <mergeCell ref="C25:E25"/>
    <mergeCell ref="C196:E196"/>
    <mergeCell ref="C85:E85"/>
    <mergeCell ref="C83:D83"/>
    <mergeCell ref="C248:D248"/>
    <mergeCell ref="C254:D254"/>
    <mergeCell ref="F119:H120"/>
    <mergeCell ref="D288:D289"/>
    <mergeCell ref="F235:G235"/>
    <mergeCell ref="C301:D301"/>
    <mergeCell ref="G124:G125"/>
    <mergeCell ref="C82:E82"/>
    <mergeCell ref="D3:D4"/>
    <mergeCell ref="A208:B208"/>
    <mergeCell ref="F35:J35"/>
    <mergeCell ref="A145:B145"/>
    <mergeCell ref="A139:B139"/>
    <mergeCell ref="C60:C61"/>
    <mergeCell ref="H12:H13"/>
    <mergeCell ref="H183:H184"/>
    <mergeCell ref="A203:B203"/>
    <mergeCell ref="C132:D132"/>
    <mergeCell ref="C33:E33"/>
    <mergeCell ref="I73:J73"/>
    <mergeCell ref="I12:J13"/>
    <mergeCell ref="F23:H23"/>
    <mergeCell ref="C20:D20"/>
    <mergeCell ref="B176:B177"/>
    <mergeCell ref="C133:D133"/>
    <mergeCell ref="B178:B179"/>
    <mergeCell ref="G10:G11"/>
    <mergeCell ref="G181:G182"/>
    <mergeCell ref="J4:J5"/>
    <mergeCell ref="J175:J176"/>
    <mergeCell ref="C16:D16"/>
    <mergeCell ref="G196:H196"/>
    <mergeCell ref="G315:H315"/>
    <mergeCell ref="I315:J315"/>
    <mergeCell ref="H124:J125"/>
    <mergeCell ref="I137:J137"/>
    <mergeCell ref="I139:J139"/>
    <mergeCell ref="I304:J304"/>
    <mergeCell ref="F314:J314"/>
    <mergeCell ref="F311:J311"/>
    <mergeCell ref="I310:J310"/>
    <mergeCell ref="I258:J258"/>
    <mergeCell ref="H181:J182"/>
    <mergeCell ref="I134:J134"/>
    <mergeCell ref="F308:H308"/>
    <mergeCell ref="G207:H207"/>
    <mergeCell ref="A129:J129"/>
    <mergeCell ref="I260:J260"/>
    <mergeCell ref="C187:D187"/>
    <mergeCell ref="F244:H244"/>
    <mergeCell ref="A253:B253"/>
    <mergeCell ref="G240:G241"/>
    <mergeCell ref="F208:J208"/>
    <mergeCell ref="I194:J194"/>
    <mergeCell ref="C134:D134"/>
    <mergeCell ref="A153:D154"/>
    <mergeCell ref="A310:B310"/>
    <mergeCell ref="B292:B293"/>
    <mergeCell ref="B286:D287"/>
    <mergeCell ref="A297:C298"/>
    <mergeCell ref="C258:E258"/>
    <mergeCell ref="C194:D194"/>
    <mergeCell ref="B115:D116"/>
    <mergeCell ref="F246:H246"/>
    <mergeCell ref="F251:H251"/>
    <mergeCell ref="E288:E289"/>
    <mergeCell ref="G258:H258"/>
    <mergeCell ref="B231:B232"/>
    <mergeCell ref="H297:H298"/>
    <mergeCell ref="C137:D137"/>
    <mergeCell ref="C306:D306"/>
    <mergeCell ref="C253:E253"/>
    <mergeCell ref="A126:C127"/>
    <mergeCell ref="A265:B265"/>
    <mergeCell ref="D231:D232"/>
    <mergeCell ref="E117:E118"/>
    <mergeCell ref="E153:F154"/>
    <mergeCell ref="G153:G154"/>
    <mergeCell ref="A155:A156"/>
    <mergeCell ref="B155:B156"/>
    <mergeCell ref="C315:E315"/>
    <mergeCell ref="C35:E35"/>
    <mergeCell ref="F254:J254"/>
    <mergeCell ref="F64:G64"/>
    <mergeCell ref="I187:J187"/>
    <mergeCell ref="A261:B261"/>
    <mergeCell ref="A92:B92"/>
    <mergeCell ref="I205:J205"/>
    <mergeCell ref="C199:E199"/>
    <mergeCell ref="G142:H142"/>
    <mergeCell ref="G313:H313"/>
    <mergeCell ref="I142:J142"/>
    <mergeCell ref="C92:E92"/>
    <mergeCell ref="C263:E263"/>
    <mergeCell ref="I79:J79"/>
    <mergeCell ref="G144:H144"/>
    <mergeCell ref="F178:G178"/>
    <mergeCell ref="I251:J251"/>
    <mergeCell ref="I189:J189"/>
    <mergeCell ref="A183:C184"/>
    <mergeCell ref="C314:E314"/>
    <mergeCell ref="F306:H306"/>
    <mergeCell ref="C307:D307"/>
    <mergeCell ref="G260:H260"/>
    <mergeCell ref="G321:H321"/>
    <mergeCell ref="F193:H193"/>
    <mergeCell ref="G28:H28"/>
    <mergeCell ref="I28:J28"/>
    <mergeCell ref="C149:E149"/>
    <mergeCell ref="A300:J300"/>
    <mergeCell ref="I130:J130"/>
    <mergeCell ref="G310:H310"/>
    <mergeCell ref="I190:J190"/>
    <mergeCell ref="G30:H30"/>
    <mergeCell ref="C130:D130"/>
    <mergeCell ref="F233:H234"/>
    <mergeCell ref="A231:A232"/>
    <mergeCell ref="F73:H73"/>
    <mergeCell ref="I132:J132"/>
    <mergeCell ref="I303:J303"/>
    <mergeCell ref="C135:D135"/>
    <mergeCell ref="F294:G294"/>
    <mergeCell ref="C29:E29"/>
    <mergeCell ref="C200:E200"/>
    <mergeCell ref="C136:D136"/>
    <mergeCell ref="C265:E265"/>
    <mergeCell ref="A176:A177"/>
    <mergeCell ref="A240:C241"/>
    <mergeCell ref="A7:A8"/>
    <mergeCell ref="A178:A179"/>
    <mergeCell ref="A88:B88"/>
    <mergeCell ref="F83:J83"/>
    <mergeCell ref="I16:J16"/>
    <mergeCell ref="I76:J76"/>
    <mergeCell ref="A90:B90"/>
    <mergeCell ref="C91:E91"/>
    <mergeCell ref="I18:J18"/>
    <mergeCell ref="B60:B61"/>
    <mergeCell ref="F77:H77"/>
    <mergeCell ref="A146:B146"/>
    <mergeCell ref="F137:H137"/>
    <mergeCell ref="G150:H150"/>
    <mergeCell ref="C142:E142"/>
    <mergeCell ref="C28:E28"/>
    <mergeCell ref="C30:E30"/>
    <mergeCell ref="H10:J11"/>
    <mergeCell ref="I32:J32"/>
    <mergeCell ref="A37:B37"/>
    <mergeCell ref="C86:E86"/>
    <mergeCell ref="A29:B29"/>
    <mergeCell ref="D60:D61"/>
    <mergeCell ref="A64:A65"/>
    <mergeCell ref="A292:A293"/>
    <mergeCell ref="F204:J204"/>
    <mergeCell ref="I203:J203"/>
    <mergeCell ref="I301:J301"/>
    <mergeCell ref="D117:D118"/>
    <mergeCell ref="A121:A122"/>
    <mergeCell ref="F149:J149"/>
    <mergeCell ref="A91:B91"/>
    <mergeCell ref="C31:E31"/>
    <mergeCell ref="C202:E202"/>
    <mergeCell ref="G34:H34"/>
    <mergeCell ref="A85:B85"/>
    <mergeCell ref="C151:E151"/>
    <mergeCell ref="F190:H190"/>
    <mergeCell ref="A199:B199"/>
    <mergeCell ref="A31:B31"/>
    <mergeCell ref="I89:J89"/>
    <mergeCell ref="C73:D73"/>
    <mergeCell ref="C80:D80"/>
    <mergeCell ref="G87:H87"/>
    <mergeCell ref="I87:J87"/>
    <mergeCell ref="J118:J119"/>
    <mergeCell ref="C87:E87"/>
    <mergeCell ref="F31:J31"/>
    <mergeCell ref="E62:E63"/>
    <mergeCell ref="I91:J91"/>
    <mergeCell ref="I85:J85"/>
    <mergeCell ref="C140:D140"/>
    <mergeCell ref="I148:J148"/>
    <mergeCell ref="I82:J82"/>
    <mergeCell ref="I253:J253"/>
    <mergeCell ref="F231:H232"/>
    <mergeCell ref="F301:H301"/>
    <mergeCell ref="C246:D246"/>
    <mergeCell ref="G262:H262"/>
    <mergeCell ref="C155:C156"/>
    <mergeCell ref="D155:D156"/>
    <mergeCell ref="E155:G156"/>
    <mergeCell ref="A209:D209"/>
    <mergeCell ref="E209:F209"/>
    <mergeCell ref="H209:I209"/>
    <mergeCell ref="A210:D211"/>
    <mergeCell ref="E210:F211"/>
    <mergeCell ref="G210:G211"/>
    <mergeCell ref="B174:B175"/>
    <mergeCell ref="A212:A213"/>
    <mergeCell ref="B212:B213"/>
    <mergeCell ref="C212:C213"/>
    <mergeCell ref="I319:J319"/>
    <mergeCell ref="I256:J256"/>
    <mergeCell ref="C318:E318"/>
    <mergeCell ref="G295:G296"/>
    <mergeCell ref="C319:E319"/>
    <mergeCell ref="A315:B315"/>
    <mergeCell ref="A95:D95"/>
    <mergeCell ref="E95:F95"/>
    <mergeCell ref="H95:I95"/>
    <mergeCell ref="A96:D97"/>
    <mergeCell ref="E96:F97"/>
    <mergeCell ref="G96:G97"/>
    <mergeCell ref="A98:A99"/>
    <mergeCell ref="B98:B99"/>
    <mergeCell ref="C98:C99"/>
    <mergeCell ref="A174:A175"/>
    <mergeCell ref="F303:H303"/>
    <mergeCell ref="C264:E264"/>
    <mergeCell ref="F250:H250"/>
    <mergeCell ref="I264:J264"/>
    <mergeCell ref="E119:E120"/>
    <mergeCell ref="A317:B317"/>
    <mergeCell ref="C313:E313"/>
    <mergeCell ref="C316:E316"/>
    <mergeCell ref="A25:B25"/>
    <mergeCell ref="A196:B196"/>
    <mergeCell ref="A60:A61"/>
    <mergeCell ref="C3:C4"/>
    <mergeCell ref="E3:E4"/>
    <mergeCell ref="I19:J19"/>
    <mergeCell ref="F151:J151"/>
    <mergeCell ref="B7:B8"/>
    <mergeCell ref="A93:B93"/>
    <mergeCell ref="F62:H63"/>
    <mergeCell ref="E5:E6"/>
    <mergeCell ref="G67:G68"/>
    <mergeCell ref="I61:I62"/>
    <mergeCell ref="G69:G70"/>
    <mergeCell ref="F7:G7"/>
    <mergeCell ref="F134:H134"/>
    <mergeCell ref="C145:E145"/>
    <mergeCell ref="H67:J68"/>
    <mergeCell ref="C148:E148"/>
    <mergeCell ref="C32:E32"/>
    <mergeCell ref="I4:I5"/>
    <mergeCell ref="I93:J93"/>
    <mergeCell ref="A69:C70"/>
    <mergeCell ref="C75:D75"/>
    <mergeCell ref="F318:J318"/>
    <mergeCell ref="C310:E310"/>
    <mergeCell ref="B5:B6"/>
    <mergeCell ref="A318:B318"/>
    <mergeCell ref="F123:G123"/>
    <mergeCell ref="C78:D78"/>
    <mergeCell ref="A314:B314"/>
    <mergeCell ref="A322:B322"/>
    <mergeCell ref="C117:C118"/>
    <mergeCell ref="F94:J94"/>
    <mergeCell ref="G93:H93"/>
    <mergeCell ref="A320:B320"/>
    <mergeCell ref="F16:H16"/>
    <mergeCell ref="F187:H187"/>
    <mergeCell ref="E233:E234"/>
    <mergeCell ref="I249:J249"/>
    <mergeCell ref="F304:H304"/>
    <mergeCell ref="G32:H32"/>
    <mergeCell ref="C147:E147"/>
    <mergeCell ref="F20:H20"/>
    <mergeCell ref="A201:B201"/>
    <mergeCell ref="J289:J290"/>
    <mergeCell ref="I22:J22"/>
    <mergeCell ref="G264:H264"/>
  </mergeCells>
  <phoneticPr fontId="2"/>
  <conditionalFormatting sqref="D50:D55">
    <cfRule type="cellIs" dxfId="5" priority="6" operator="equal">
      <formula>$D$49</formula>
    </cfRule>
  </conditionalFormatting>
  <conditionalFormatting sqref="D107:D112">
    <cfRule type="cellIs" dxfId="4" priority="5" operator="equal">
      <formula>$D$49</formula>
    </cfRule>
  </conditionalFormatting>
  <conditionalFormatting sqref="D164:D169">
    <cfRule type="cellIs" dxfId="3" priority="4" operator="equal">
      <formula>$D$49</formula>
    </cfRule>
  </conditionalFormatting>
  <conditionalFormatting sqref="D221:D226">
    <cfRule type="cellIs" dxfId="2" priority="3" operator="equal">
      <formula>$D$49</formula>
    </cfRule>
  </conditionalFormatting>
  <conditionalFormatting sqref="D278:D283">
    <cfRule type="cellIs" dxfId="1" priority="2" operator="equal">
      <formula>$D$49</formula>
    </cfRule>
  </conditionalFormatting>
  <conditionalFormatting sqref="D335:D340">
    <cfRule type="cellIs" dxfId="0" priority="1" operator="equal">
      <formula>$D$49</formula>
    </cfRule>
  </conditionalFormatting>
  <pageMargins left="0" right="0" top="0" bottom="0" header="0.51181102362204722" footer="0.51181102362204722"/>
  <pageSetup paperSize="9" scale="75" orientation="portrait"/>
  <headerFooter>
    <oddFooter>&amp;R&amp;P/&amp;N</oddFooter>
  </headerFooter>
  <rowBreaks count="5" manualBreakCount="5">
    <brk id="57" max="16383" man="1"/>
    <brk id="114" max="16383" man="1"/>
    <brk id="171" max="16383" man="1"/>
    <brk id="228" max="16383" man="1"/>
    <brk id="285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2024-07-22T04:35:10Z</cp:lastPrinted>
  <dcterms:created xsi:type="dcterms:W3CDTF">2024-07-11T02:08:33Z</dcterms:created>
  <dcterms:modified xsi:type="dcterms:W3CDTF">2025-06-23T02:09:14Z</dcterms:modified>
</cp:coreProperties>
</file>