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64642638-3086-4929-BAE6-015E42B76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<sst xmlns="http://schemas.openxmlformats.org/spreadsheetml/2006/main" count="194" uniqueCount="102">
  <si>
    <t>検査梱包指示書</t>
  </si>
  <si>
    <t>品目番号</t>
  </si>
  <si>
    <t>J1JAZZB10807480</t>
  </si>
  <si>
    <t>Ｌ寸</t>
  </si>
  <si>
    <t>名称</t>
  </si>
  <si>
    <t>8FL2813048310</t>
  </si>
  <si>
    <t>上長</t>
  </si>
  <si>
    <t>係員</t>
  </si>
  <si>
    <t>製造指図№</t>
  </si>
  <si>
    <t>000000000006670</t>
  </si>
  <si>
    <t>原料名</t>
  </si>
  <si>
    <t>(CASE 748MILK-W4)</t>
  </si>
  <si>
    <t>発注明細№</t>
  </si>
  <si>
    <t>000000000783890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</si>
  <si>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</si>
  <si>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</si>
  <si>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</si>
  <si>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</si>
  <si>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</si>
  <si>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</si>
  <si>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</si>
  <si>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</si>
  <si>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</si>
  <si>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</si>
  <si>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</si>
  <si>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*J1JAZZB10807480*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</si>
  <si>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</si>
  <si>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</si>
  <si>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</si>
  <si>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</si>
  <si>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</si>
  <si>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</si>
  <si>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</si>
  <si>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</si>
  <si>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</si>
  <si>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</si>
  <si>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</si>
  <si>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</si>
  <si>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</si>
  <si>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</si>
  <si>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</si>
  <si>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</si>
  <si>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</si>
  <si>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</si>
  <si>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</si>
  <si>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</si>
  <si>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</si>
  <si>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</si>
  <si>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</si>
  <si>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</si>
  <si>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</si>
  <si>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</si>
  <si>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J6DW0089</t>
  </si>
  <si>
    <t>LED-A888</t>
  </si>
  <si>
    <t>*J6DW0089*</t>
  </si>
  <si>
    <t>L888×W275×H166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</si>
  <si>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</si>
  <si>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</si>
  <si>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</si>
  <si>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</si>
  <si>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</si>
  <si>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</si>
  <si>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</si>
  <si>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</si>
  <si>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J1JAZZB10808880</t>
  </si>
  <si>
    <t>8FL2813045010</t>
  </si>
  <si>
    <t>000000000006671</t>
  </si>
  <si>
    <t>(CASE 888MILK-W4)</t>
  </si>
  <si>
    <t>000000000783891</t>
  </si>
  <si>
    <t>*J1JAZZB10808880*</t>
  </si>
  <si>
    <t>J6XX0044</t>
  </si>
  <si>
    <t>*J6XX0044*</t>
  </si>
  <si>
    <t>400＊900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</si>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</sst>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0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2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0" fillId="0" borderId="4" xfId="1" applyNumberFormat="1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3</xdr:row>
      <xdr:rowOff>57150</xdr:rowOff>
    </xdr:from>
    <xdr:to>
      <xdr:col>8</xdr:col>
      <xdr:colOff>600075</xdr:colOff>
      <xdr:row>5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E89359-A569-AEDD-27BB-35367E971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6000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60</xdr:row>
      <xdr:rowOff>114300</xdr:rowOff>
    </xdr:from>
    <xdr:to>
      <xdr:col>8</xdr:col>
      <xdr:colOff>676275</xdr:colOff>
      <xdr:row>62</xdr:row>
      <xdr:rowOff>200025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619660-BEA0-46B0-B380-DA1B03B1D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138874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3</xdr:row>
      <xdr:rowOff>85725</xdr:rowOff>
    </xdr:from>
    <xdr:to>
      <xdr:col>9</xdr:col>
      <xdr:colOff>647700</xdr:colOff>
      <xdr:row>5</xdr:row>
      <xdr:rowOff>95250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BC7BDB-8F07-76AD-64A6-DC7EECAEA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0" y="628650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60</xdr:row>
      <xdr:rowOff>123825</xdr:rowOff>
    </xdr:from>
    <xdr:to>
      <xdr:col>9</xdr:col>
      <xdr:colOff>590550</xdr:colOff>
      <xdr:row>62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E794686-C806-403A-AC90-581C4A250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5850" y="13896975"/>
          <a:ext cx="409575" cy="409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9.xlsm" TargetMode="External"/><Relationship Id="rId1" Type="http://schemas.openxmlformats.org/officeDocument/2006/relationships/externalLinkPath" Target="/Users/&#40658;&#37096;&#24037;&#26989;&#65293;&#65328;&#65315;/Desktop/sgt25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J3">
            <v>0</v>
          </cell>
          <cell r="K3">
            <v>0</v>
          </cell>
          <cell r="L3">
            <v>45895</v>
          </cell>
          <cell r="M3">
            <v>8</v>
          </cell>
          <cell r="O3">
            <v>45896</v>
          </cell>
          <cell r="P3">
            <v>3</v>
          </cell>
          <cell r="T3" t="str">
            <v>000000000006086</v>
          </cell>
        </row>
        <row r="4">
          <cell r="D4">
            <v>45894</v>
          </cell>
          <cell r="E4" t="str">
            <v>25G30-10</v>
          </cell>
          <cell r="F4">
            <v>32</v>
          </cell>
          <cell r="G4">
            <v>888.69</v>
          </cell>
          <cell r="H4">
            <v>888.9</v>
          </cell>
          <cell r="I4" t="str">
            <v>25G30-10</v>
          </cell>
          <cell r="J4">
            <v>366</v>
          </cell>
          <cell r="K4">
            <v>183</v>
          </cell>
          <cell r="L4">
            <v>45896</v>
          </cell>
          <cell r="M4">
            <v>12</v>
          </cell>
          <cell r="O4">
            <v>2000</v>
          </cell>
          <cell r="T4" t="str">
            <v>000000000006086</v>
          </cell>
        </row>
        <row r="5">
          <cell r="C5">
            <v>2000</v>
          </cell>
          <cell r="D5">
            <v>45894</v>
          </cell>
          <cell r="E5" t="str">
            <v>25G30-10</v>
          </cell>
          <cell r="F5">
            <v>30</v>
          </cell>
          <cell r="G5">
            <v>888.58</v>
          </cell>
          <cell r="H5">
            <v>888.83</v>
          </cell>
          <cell r="I5" t="str">
            <v>25H01-01</v>
          </cell>
          <cell r="J5">
            <v>880</v>
          </cell>
          <cell r="K5">
            <v>440</v>
          </cell>
          <cell r="O5">
            <v>1004</v>
          </cell>
          <cell r="P5">
            <v>4</v>
          </cell>
          <cell r="T5" t="str">
            <v>000000000006086</v>
          </cell>
        </row>
        <row r="6">
          <cell r="D6">
            <v>45895</v>
          </cell>
          <cell r="E6" t="str">
            <v>25G30-10</v>
          </cell>
          <cell r="F6">
            <v>28</v>
          </cell>
          <cell r="G6">
            <v>888.46</v>
          </cell>
          <cell r="H6">
            <v>888.59</v>
          </cell>
          <cell r="I6" t="str">
            <v>25G31-12</v>
          </cell>
          <cell r="J6">
            <v>720</v>
          </cell>
          <cell r="K6">
            <v>360</v>
          </cell>
          <cell r="O6">
            <v>4</v>
          </cell>
          <cell r="T6" t="str">
            <v>000000000006086</v>
          </cell>
        </row>
        <row r="7">
          <cell r="C7">
            <v>2</v>
          </cell>
          <cell r="D7">
            <v>45895</v>
          </cell>
          <cell r="E7" t="str">
            <v>25H01-01</v>
          </cell>
          <cell r="F7">
            <v>30</v>
          </cell>
          <cell r="G7">
            <v>888.58</v>
          </cell>
          <cell r="H7">
            <v>888.61</v>
          </cell>
          <cell r="I7" t="str">
            <v>25G31-11</v>
          </cell>
          <cell r="J7">
            <v>41</v>
          </cell>
          <cell r="K7">
            <v>21</v>
          </cell>
          <cell r="O7">
            <v>7</v>
          </cell>
          <cell r="T7" t="str">
            <v>000000000006086</v>
          </cell>
        </row>
        <row r="8">
          <cell r="C8" t="str">
            <v>LED-A888</v>
          </cell>
          <cell r="D8">
            <v>45895</v>
          </cell>
          <cell r="E8" t="str">
            <v>25H01-01</v>
          </cell>
          <cell r="F8">
            <v>32</v>
          </cell>
          <cell r="G8">
            <v>888.69</v>
          </cell>
          <cell r="H8">
            <v>888.69</v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000000000006086</v>
          </cell>
        </row>
        <row r="9">
          <cell r="C9">
            <v>20</v>
          </cell>
          <cell r="D9">
            <v>45895</v>
          </cell>
          <cell r="E9" t="str">
            <v>25G31-12</v>
          </cell>
          <cell r="F9">
            <v>28</v>
          </cell>
          <cell r="G9">
            <v>888.46</v>
          </cell>
          <cell r="H9">
            <v>888.71</v>
          </cell>
          <cell r="K9">
            <v>0</v>
          </cell>
          <cell r="L9" t="str">
            <v>持出端材</v>
          </cell>
          <cell r="O9" t="str">
            <v>水野</v>
          </cell>
          <cell r="T9" t="str">
            <v>000000000006086</v>
          </cell>
        </row>
        <row r="10">
          <cell r="D10">
            <v>45895</v>
          </cell>
          <cell r="E10" t="str">
            <v>25G31-11</v>
          </cell>
          <cell r="F10">
            <v>28</v>
          </cell>
          <cell r="G10">
            <v>888.46</v>
          </cell>
          <cell r="H10">
            <v>888.62</v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高森・上野</v>
          </cell>
          <cell r="P10">
            <v>7</v>
          </cell>
          <cell r="T10" t="str">
            <v>000000000006086</v>
          </cell>
        </row>
        <row r="11">
          <cell r="C11" t="str">
            <v>8FL281304 5010　L=888</v>
          </cell>
          <cell r="I11">
            <v>0</v>
          </cell>
          <cell r="J11">
            <v>0</v>
          </cell>
          <cell r="K11">
            <v>0</v>
          </cell>
          <cell r="L11">
            <v>45896</v>
          </cell>
          <cell r="M11">
            <v>3</v>
          </cell>
          <cell r="O11">
            <v>45897</v>
          </cell>
          <cell r="P11">
            <v>4</v>
          </cell>
          <cell r="T11" t="str">
            <v>000000000006671</v>
          </cell>
        </row>
        <row r="12">
          <cell r="D12">
            <v>45896</v>
          </cell>
          <cell r="E12" t="str">
            <v>25G31-11</v>
          </cell>
          <cell r="F12">
            <v>28</v>
          </cell>
          <cell r="G12">
            <v>888.46</v>
          </cell>
          <cell r="H12">
            <v>888.56</v>
          </cell>
          <cell r="I12" t="str">
            <v>25G31-11</v>
          </cell>
          <cell r="J12">
            <v>1558</v>
          </cell>
          <cell r="K12">
            <v>779</v>
          </cell>
          <cell r="L12">
            <v>45897</v>
          </cell>
          <cell r="M12">
            <v>13</v>
          </cell>
          <cell r="O12">
            <v>1600</v>
          </cell>
          <cell r="T12" t="str">
            <v>000000000006671</v>
          </cell>
        </row>
        <row r="13">
          <cell r="C13">
            <v>1600</v>
          </cell>
          <cell r="D13">
            <v>45896</v>
          </cell>
          <cell r="E13" t="str">
            <v>25G31-11</v>
          </cell>
          <cell r="F13">
            <v>26</v>
          </cell>
          <cell r="G13">
            <v>888.35</v>
          </cell>
          <cell r="H13">
            <v>888.65</v>
          </cell>
          <cell r="I13" t="str">
            <v>25H26-02</v>
          </cell>
          <cell r="J13">
            <v>48</v>
          </cell>
          <cell r="K13">
            <v>24</v>
          </cell>
          <cell r="O13">
            <v>803</v>
          </cell>
          <cell r="P13">
            <v>2</v>
          </cell>
          <cell r="T13" t="str">
            <v>000000000006671</v>
          </cell>
        </row>
        <row r="14">
          <cell r="D14">
            <v>45896</v>
          </cell>
          <cell r="E14" t="str">
            <v>25G31-11</v>
          </cell>
          <cell r="F14">
            <v>28</v>
          </cell>
          <cell r="G14">
            <v>888.46</v>
          </cell>
          <cell r="H14">
            <v>888.52</v>
          </cell>
          <cell r="K14">
            <v>0</v>
          </cell>
          <cell r="O14">
            <v>3</v>
          </cell>
          <cell r="T14" t="str">
            <v>000000000006671</v>
          </cell>
        </row>
        <row r="15">
          <cell r="C15">
            <v>2</v>
          </cell>
          <cell r="D15">
            <v>45896</v>
          </cell>
          <cell r="E15" t="str">
            <v>25H26-02</v>
          </cell>
          <cell r="F15">
            <v>28</v>
          </cell>
          <cell r="G15">
            <v>888.46</v>
          </cell>
          <cell r="H15">
            <v>888.58</v>
          </cell>
          <cell r="K15">
            <v>0</v>
          </cell>
          <cell r="O15">
            <v>6</v>
          </cell>
          <cell r="T15" t="str">
            <v>000000000006671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000000000006671</v>
          </cell>
        </row>
        <row r="17">
          <cell r="C17">
            <v>16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000000000006671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高森・上野</v>
          </cell>
          <cell r="P18">
            <v>6</v>
          </cell>
          <cell r="T18" t="str">
            <v>000000000006671</v>
          </cell>
        </row>
        <row r="19">
          <cell r="C19" t="str">
            <v>8FL281304 8310　L=748</v>
          </cell>
          <cell r="D19">
            <v>45869</v>
          </cell>
          <cell r="E19" t="str">
            <v>25G25-07</v>
          </cell>
          <cell r="I19" t="str">
            <v>25G25-07</v>
          </cell>
          <cell r="J19">
            <v>8</v>
          </cell>
          <cell r="K19">
            <v>4</v>
          </cell>
          <cell r="L19">
            <v>45897</v>
          </cell>
          <cell r="M19">
            <v>2</v>
          </cell>
          <cell r="O19">
            <v>45898</v>
          </cell>
          <cell r="T19" t="str">
            <v>000000000006084</v>
          </cell>
        </row>
        <row r="20">
          <cell r="D20">
            <v>45897</v>
          </cell>
          <cell r="E20" t="str">
            <v>25H26-02</v>
          </cell>
          <cell r="F20">
            <v>28</v>
          </cell>
          <cell r="G20">
            <v>748.39</v>
          </cell>
          <cell r="H20">
            <v>748.27</v>
          </cell>
          <cell r="I20" t="str">
            <v>25H26-02</v>
          </cell>
          <cell r="J20">
            <v>392</v>
          </cell>
          <cell r="K20">
            <v>196</v>
          </cell>
          <cell r="L20">
            <v>45898</v>
          </cell>
          <cell r="M20">
            <v>2</v>
          </cell>
          <cell r="O20">
            <v>400</v>
          </cell>
          <cell r="T20" t="str">
            <v>000000000006084</v>
          </cell>
        </row>
        <row r="21">
          <cell r="C21">
            <v>400</v>
          </cell>
          <cell r="D21">
            <v>45897</v>
          </cell>
          <cell r="E21" t="str">
            <v>25H26-02</v>
          </cell>
          <cell r="F21">
            <v>28</v>
          </cell>
          <cell r="G21">
            <v>748.39</v>
          </cell>
          <cell r="H21">
            <v>748.47</v>
          </cell>
          <cell r="K21">
            <v>0</v>
          </cell>
          <cell r="O21">
            <v>200</v>
          </cell>
          <cell r="T21" t="str">
            <v>000000000006084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000000000006084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0</v>
          </cell>
          <cell r="T23" t="str">
            <v>000000000006084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旧品加工</v>
          </cell>
          <cell r="M24">
            <v>8</v>
          </cell>
          <cell r="O24">
            <v>0</v>
          </cell>
          <cell r="T24" t="str">
            <v>000000000006084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000000000006084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上野・高森</v>
          </cell>
          <cell r="P26">
            <v>0</v>
          </cell>
          <cell r="T26" t="str">
            <v>000000000006084</v>
          </cell>
        </row>
        <row r="27">
          <cell r="C27" t="str">
            <v>8FL281304 4910　L=592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6</v>
          </cell>
          <cell r="K27">
            <v>2</v>
          </cell>
          <cell r="L27">
            <v>45898</v>
          </cell>
          <cell r="M27">
            <v>3</v>
          </cell>
          <cell r="O27">
            <v>45898</v>
          </cell>
          <cell r="P27">
            <v>3</v>
          </cell>
          <cell r="T27" t="str">
            <v>000000000006083</v>
          </cell>
        </row>
        <row r="28">
          <cell r="D28">
            <v>45897</v>
          </cell>
          <cell r="E28" t="str">
            <v>25H26-02</v>
          </cell>
          <cell r="F28">
            <v>28</v>
          </cell>
          <cell r="G28">
            <v>591.80999999999995</v>
          </cell>
          <cell r="H28">
            <v>591.66999999999996</v>
          </cell>
          <cell r="I28" t="str">
            <v>25H26-02</v>
          </cell>
          <cell r="J28">
            <v>300</v>
          </cell>
          <cell r="K28">
            <v>100</v>
          </cell>
          <cell r="O28">
            <v>300</v>
          </cell>
          <cell r="T28" t="str">
            <v>000000000006083</v>
          </cell>
        </row>
        <row r="29">
          <cell r="C29">
            <v>300</v>
          </cell>
          <cell r="D29">
            <v>45897</v>
          </cell>
          <cell r="E29" t="str">
            <v>25H26-02</v>
          </cell>
          <cell r="F29">
            <v>28</v>
          </cell>
          <cell r="G29">
            <v>591.80999999999995</v>
          </cell>
          <cell r="H29">
            <v>591.77</v>
          </cell>
          <cell r="K29">
            <v>0</v>
          </cell>
          <cell r="O29">
            <v>101</v>
          </cell>
          <cell r="T29" t="str">
            <v>000000000006083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000000000006083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7</v>
          </cell>
          <cell r="T31" t="str">
            <v>000000000006083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2</v>
          </cell>
          <cell r="T32" t="str">
            <v>000000000006083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P33">
            <v>4</v>
          </cell>
          <cell r="T33" t="str">
            <v>000000000006083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2</v>
          </cell>
          <cell r="O34" t="str">
            <v>高森・上野</v>
          </cell>
          <cell r="P34">
            <v>7</v>
          </cell>
          <cell r="T34" t="str">
            <v>000000000006083</v>
          </cell>
        </row>
        <row r="35">
          <cell r="C35" t="str">
            <v>8FL281304 4810　L=297</v>
          </cell>
          <cell r="D35">
            <v>45868</v>
          </cell>
          <cell r="E35" t="str">
            <v>25G24-06</v>
          </cell>
          <cell r="I35" t="str">
            <v>25G24-06</v>
          </cell>
          <cell r="J35">
            <v>3</v>
          </cell>
          <cell r="K35">
            <v>0</v>
          </cell>
          <cell r="L35">
            <v>45898</v>
          </cell>
          <cell r="M35">
            <v>3</v>
          </cell>
          <cell r="O35">
            <v>45898</v>
          </cell>
          <cell r="P35">
            <v>2</v>
          </cell>
          <cell r="T35" t="str">
            <v>000000000006082</v>
          </cell>
        </row>
        <row r="36">
          <cell r="D36">
            <v>45897</v>
          </cell>
          <cell r="E36" t="str">
            <v>25H26-02</v>
          </cell>
          <cell r="F36">
            <v>28</v>
          </cell>
          <cell r="G36">
            <v>297.14999999999998</v>
          </cell>
          <cell r="H36">
            <v>297.22000000000003</v>
          </cell>
          <cell r="I36" t="str">
            <v>25H26-02</v>
          </cell>
          <cell r="J36">
            <v>300</v>
          </cell>
          <cell r="K36">
            <v>50</v>
          </cell>
          <cell r="O36">
            <v>300</v>
          </cell>
          <cell r="T36" t="str">
            <v>000000000006082</v>
          </cell>
        </row>
        <row r="37">
          <cell r="C37">
            <v>300</v>
          </cell>
          <cell r="D37">
            <v>45897</v>
          </cell>
          <cell r="E37" t="str">
            <v>25H26-02</v>
          </cell>
          <cell r="F37">
            <v>28</v>
          </cell>
          <cell r="G37">
            <v>297.14999999999998</v>
          </cell>
          <cell r="H37">
            <v>297.44</v>
          </cell>
          <cell r="K37">
            <v>0</v>
          </cell>
          <cell r="O37">
            <v>50</v>
          </cell>
          <cell r="P37">
            <v>1</v>
          </cell>
          <cell r="T37" t="str">
            <v>000000000006082</v>
          </cell>
        </row>
        <row r="38">
          <cell r="D38">
            <v>45898</v>
          </cell>
          <cell r="E38" t="str">
            <v>25H26-02</v>
          </cell>
          <cell r="F38">
            <v>26</v>
          </cell>
          <cell r="G38">
            <v>297.12</v>
          </cell>
          <cell r="H38">
            <v>297.3</v>
          </cell>
          <cell r="K38">
            <v>0</v>
          </cell>
          <cell r="O38">
            <v>1</v>
          </cell>
          <cell r="T38" t="str">
            <v>000000000006082</v>
          </cell>
        </row>
        <row r="39">
          <cell r="C39">
            <v>6</v>
          </cell>
          <cell r="D39">
            <v>45898</v>
          </cell>
          <cell r="E39" t="str">
            <v>25H26-02</v>
          </cell>
          <cell r="F39">
            <v>26</v>
          </cell>
          <cell r="G39">
            <v>297.12</v>
          </cell>
          <cell r="H39">
            <v>297.31</v>
          </cell>
          <cell r="K39">
            <v>0</v>
          </cell>
          <cell r="O39">
            <v>3</v>
          </cell>
          <cell r="T39" t="str">
            <v>000000000006082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3</v>
          </cell>
          <cell r="T40" t="str">
            <v>000000000006082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000000000006082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3</v>
          </cell>
          <cell r="O42" t="str">
            <v>高森・上野</v>
          </cell>
          <cell r="P42">
            <v>3</v>
          </cell>
          <cell r="T42" t="str">
            <v>000000000006082</v>
          </cell>
        </row>
        <row r="43">
          <cell r="C43" t="str">
            <v>8FL281304 5010　L=888</v>
          </cell>
          <cell r="D43">
            <v>45897</v>
          </cell>
          <cell r="E43" t="str">
            <v>25H26-02</v>
          </cell>
          <cell r="I43" t="str">
            <v>25H26-02</v>
          </cell>
          <cell r="J43">
            <v>10</v>
          </cell>
          <cell r="K43">
            <v>5</v>
          </cell>
          <cell r="L43">
            <v>45898</v>
          </cell>
          <cell r="M43">
            <v>5</v>
          </cell>
          <cell r="O43">
            <v>45902</v>
          </cell>
          <cell r="P43">
            <v>5</v>
          </cell>
          <cell r="T43" t="str">
            <v>000000000006664</v>
          </cell>
        </row>
        <row r="44">
          <cell r="D44">
            <v>45898</v>
          </cell>
          <cell r="E44" t="str">
            <v>25H26-02</v>
          </cell>
          <cell r="F44">
            <v>26</v>
          </cell>
          <cell r="G44">
            <v>888.35</v>
          </cell>
          <cell r="H44">
            <v>888.53</v>
          </cell>
          <cell r="I44" t="str">
            <v>25H26-02</v>
          </cell>
          <cell r="J44">
            <v>840</v>
          </cell>
          <cell r="K44">
            <v>420</v>
          </cell>
          <cell r="L44">
            <v>45901</v>
          </cell>
          <cell r="M44">
            <v>7</v>
          </cell>
          <cell r="O44">
            <v>1400</v>
          </cell>
          <cell r="T44" t="str">
            <v>000000000006664</v>
          </cell>
        </row>
        <row r="45">
          <cell r="C45">
            <v>1400</v>
          </cell>
          <cell r="D45">
            <v>45898</v>
          </cell>
          <cell r="E45" t="str">
            <v>25H26-02</v>
          </cell>
          <cell r="F45">
            <v>28</v>
          </cell>
          <cell r="G45">
            <v>888.46</v>
          </cell>
          <cell r="H45">
            <v>888.55</v>
          </cell>
          <cell r="I45" t="str">
            <v>25H27-03</v>
          </cell>
          <cell r="J45">
            <v>561</v>
          </cell>
          <cell r="K45">
            <v>281</v>
          </cell>
          <cell r="L45">
            <v>45902</v>
          </cell>
          <cell r="M45">
            <v>2</v>
          </cell>
          <cell r="O45">
            <v>706</v>
          </cell>
          <cell r="P45">
            <v>8</v>
          </cell>
          <cell r="T45" t="str">
            <v>000000000006664</v>
          </cell>
        </row>
        <row r="46">
          <cell r="D46">
            <v>45898</v>
          </cell>
          <cell r="E46" t="str">
            <v>25H27-03</v>
          </cell>
          <cell r="F46">
            <v>30</v>
          </cell>
          <cell r="G46">
            <v>888.58</v>
          </cell>
          <cell r="H46">
            <v>888.46</v>
          </cell>
          <cell r="K46">
            <v>0</v>
          </cell>
          <cell r="O46">
            <v>7</v>
          </cell>
          <cell r="T46" t="str">
            <v>000000000006664</v>
          </cell>
        </row>
        <row r="47">
          <cell r="C47">
            <v>2</v>
          </cell>
          <cell r="D47">
            <v>45898</v>
          </cell>
          <cell r="E47" t="str">
            <v>25H27-03</v>
          </cell>
          <cell r="F47">
            <v>30</v>
          </cell>
          <cell r="G47">
            <v>888.58</v>
          </cell>
          <cell r="H47">
            <v>888.41</v>
          </cell>
          <cell r="K47">
            <v>0</v>
          </cell>
          <cell r="O47">
            <v>13</v>
          </cell>
          <cell r="T47" t="str">
            <v>000000000006664</v>
          </cell>
        </row>
        <row r="48">
          <cell r="C48" t="str">
            <v>LED-A888</v>
          </cell>
          <cell r="D48">
            <v>45901</v>
          </cell>
          <cell r="E48" t="str">
            <v>25H27-03</v>
          </cell>
          <cell r="F48">
            <v>28</v>
          </cell>
          <cell r="G48">
            <v>888.46</v>
          </cell>
          <cell r="H48">
            <v>888.54</v>
          </cell>
          <cell r="K48">
            <v>0</v>
          </cell>
          <cell r="L48" t="str">
            <v>旧品加工</v>
          </cell>
          <cell r="M48">
            <v>11</v>
          </cell>
          <cell r="O48">
            <v>1</v>
          </cell>
          <cell r="T48" t="str">
            <v>000000000006664</v>
          </cell>
        </row>
        <row r="49">
          <cell r="C49">
            <v>14</v>
          </cell>
          <cell r="D49">
            <v>45901</v>
          </cell>
          <cell r="E49" t="str">
            <v>25H27-03</v>
          </cell>
          <cell r="F49">
            <v>32</v>
          </cell>
          <cell r="G49">
            <v>888.69</v>
          </cell>
          <cell r="H49">
            <v>888.58</v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000000000006664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1</v>
          </cell>
          <cell r="O50" t="str">
            <v>T/U</v>
          </cell>
          <cell r="P50">
            <v>13</v>
          </cell>
          <cell r="T50" t="str">
            <v>000000000006664</v>
          </cell>
        </row>
        <row r="51">
          <cell r="C51" t="str">
            <v>8FL281304 5010　L=888</v>
          </cell>
          <cell r="I51">
            <v>0</v>
          </cell>
          <cell r="J51">
            <v>0</v>
          </cell>
          <cell r="K51">
            <v>0</v>
          </cell>
          <cell r="L51">
            <v>45902</v>
          </cell>
          <cell r="M51">
            <v>8</v>
          </cell>
          <cell r="O51">
            <v>45902</v>
          </cell>
          <cell r="P51">
            <v>1</v>
          </cell>
          <cell r="T51" t="str">
            <v>000000000006663-1</v>
          </cell>
        </row>
        <row r="52">
          <cell r="D52">
            <v>45901</v>
          </cell>
          <cell r="E52" t="str">
            <v>25H27-03</v>
          </cell>
          <cell r="F52">
            <v>30</v>
          </cell>
          <cell r="G52">
            <v>888.58</v>
          </cell>
          <cell r="H52">
            <v>888.56</v>
          </cell>
          <cell r="I52" t="str">
            <v>25H27-03</v>
          </cell>
          <cell r="J52">
            <v>803</v>
          </cell>
          <cell r="K52">
            <v>402</v>
          </cell>
          <cell r="O52">
            <v>800</v>
          </cell>
          <cell r="P52">
            <v>2</v>
          </cell>
          <cell r="T52" t="str">
            <v>000000000006663-1</v>
          </cell>
        </row>
        <row r="53">
          <cell r="C53">
            <v>800</v>
          </cell>
          <cell r="D53">
            <v>45901</v>
          </cell>
          <cell r="E53" t="str">
            <v>25H27-03</v>
          </cell>
          <cell r="F53">
            <v>30</v>
          </cell>
          <cell r="G53">
            <v>888.58</v>
          </cell>
          <cell r="H53">
            <v>888.69</v>
          </cell>
          <cell r="K53">
            <v>0</v>
          </cell>
          <cell r="O53">
            <v>402</v>
          </cell>
          <cell r="T53" t="str">
            <v>000000000006663-1</v>
          </cell>
        </row>
        <row r="54">
          <cell r="D54">
            <v>45901</v>
          </cell>
          <cell r="E54" t="str">
            <v>25H27-03</v>
          </cell>
          <cell r="F54">
            <v>30</v>
          </cell>
          <cell r="G54">
            <v>888.58</v>
          </cell>
          <cell r="H54">
            <v>888.55</v>
          </cell>
          <cell r="K54">
            <v>0</v>
          </cell>
          <cell r="O54">
            <v>2</v>
          </cell>
          <cell r="T54" t="str">
            <v>000000000006663-1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000000000006663-1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000000000006663-1</v>
          </cell>
        </row>
        <row r="57">
          <cell r="C57">
            <v>8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</v>
          </cell>
          <cell r="T57" t="str">
            <v>000000000006663-1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T/U</v>
          </cell>
          <cell r="P58">
            <v>3</v>
          </cell>
          <cell r="T58" t="str">
            <v>000000000006663-1</v>
          </cell>
        </row>
        <row r="59">
          <cell r="C59" t="str">
            <v>8FL281304 6110　L=1478</v>
          </cell>
          <cell r="D59">
            <v>45894</v>
          </cell>
          <cell r="E59" t="str">
            <v>25G29-09</v>
          </cell>
          <cell r="I59" t="str">
            <v>25G29-09</v>
          </cell>
          <cell r="J59">
            <v>4</v>
          </cell>
          <cell r="K59">
            <v>4</v>
          </cell>
          <cell r="L59">
            <v>45902</v>
          </cell>
          <cell r="M59">
            <v>2</v>
          </cell>
          <cell r="O59">
            <v>45904</v>
          </cell>
          <cell r="P59">
            <v>5</v>
          </cell>
          <cell r="T59" t="str">
            <v>000000000006667-1</v>
          </cell>
        </row>
        <row r="60">
          <cell r="D60">
            <v>45902</v>
          </cell>
          <cell r="E60" t="str">
            <v>25H27-03</v>
          </cell>
          <cell r="G60" t="str">
            <v/>
          </cell>
          <cell r="I60" t="str">
            <v>25H27-03</v>
          </cell>
          <cell r="J60">
            <v>112</v>
          </cell>
          <cell r="K60">
            <v>112</v>
          </cell>
          <cell r="L60">
            <v>45903</v>
          </cell>
          <cell r="M60">
            <v>11</v>
          </cell>
          <cell r="O60">
            <v>1900</v>
          </cell>
          <cell r="T60" t="str">
            <v>000000000006667-1</v>
          </cell>
        </row>
        <row r="61">
          <cell r="C61">
            <v>1900</v>
          </cell>
          <cell r="D61">
            <v>45902</v>
          </cell>
          <cell r="E61" t="str">
            <v>25H28-04</v>
          </cell>
          <cell r="G61" t="str">
            <v/>
          </cell>
          <cell r="I61" t="str">
            <v>25H28-04</v>
          </cell>
          <cell r="J61">
            <v>800</v>
          </cell>
          <cell r="K61">
            <v>800</v>
          </cell>
          <cell r="L61">
            <v>45904</v>
          </cell>
          <cell r="M61">
            <v>6</v>
          </cell>
          <cell r="O61">
            <v>1906</v>
          </cell>
          <cell r="P61">
            <v>1</v>
          </cell>
          <cell r="T61" t="str">
            <v>000000000006667-1</v>
          </cell>
        </row>
        <row r="62">
          <cell r="D62">
            <v>45902</v>
          </cell>
          <cell r="E62" t="str">
            <v>25H28-04</v>
          </cell>
          <cell r="G62" t="str">
            <v/>
          </cell>
          <cell r="I62" t="str">
            <v>25H29-05</v>
          </cell>
          <cell r="J62">
            <v>800</v>
          </cell>
          <cell r="K62">
            <v>800</v>
          </cell>
          <cell r="O62">
            <v>6</v>
          </cell>
          <cell r="T62" t="str">
            <v>000000000006667-1</v>
          </cell>
        </row>
        <row r="63">
          <cell r="C63">
            <v>1</v>
          </cell>
          <cell r="D63">
            <v>45903</v>
          </cell>
          <cell r="E63" t="str">
            <v>25H28-04</v>
          </cell>
          <cell r="G63" t="str">
            <v/>
          </cell>
          <cell r="I63" t="str">
            <v>25H29-06</v>
          </cell>
          <cell r="J63">
            <v>190</v>
          </cell>
          <cell r="K63">
            <v>190</v>
          </cell>
          <cell r="O63">
            <v>6</v>
          </cell>
          <cell r="T63" t="str">
            <v>000000000006667-1</v>
          </cell>
        </row>
        <row r="64">
          <cell r="C64" t="str">
            <v>LED-A1478</v>
          </cell>
          <cell r="D64">
            <v>45903</v>
          </cell>
          <cell r="E64" t="str">
            <v>25H29-05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000000000006667-1</v>
          </cell>
        </row>
        <row r="65">
          <cell r="C65">
            <v>19</v>
          </cell>
          <cell r="D65">
            <v>45903</v>
          </cell>
          <cell r="E65" t="str">
            <v>25H29-06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M/C</v>
          </cell>
          <cell r="T65" t="str">
            <v>000000000006667-1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T/U</v>
          </cell>
          <cell r="P66">
            <v>6</v>
          </cell>
          <cell r="T66" t="str">
            <v>000000000006667-1</v>
          </cell>
        </row>
        <row r="67">
          <cell r="C67" t="str">
            <v>8FL281304 4810　L=297</v>
          </cell>
          <cell r="D67">
            <v>45898</v>
          </cell>
          <cell r="E67" t="str">
            <v>25H26-02</v>
          </cell>
          <cell r="I67" t="str">
            <v>25H26-02</v>
          </cell>
          <cell r="J67">
            <v>6</v>
          </cell>
          <cell r="K67">
            <v>1</v>
          </cell>
          <cell r="L67">
            <v>45904</v>
          </cell>
          <cell r="M67">
            <v>2</v>
          </cell>
          <cell r="O67">
            <v>45904</v>
          </cell>
          <cell r="P67">
            <v>3</v>
          </cell>
          <cell r="T67" t="str">
            <v>000000000006650</v>
          </cell>
        </row>
        <row r="68">
          <cell r="D68">
            <v>45904</v>
          </cell>
          <cell r="E68" t="str">
            <v>25H29-06</v>
          </cell>
          <cell r="F68">
            <v>26</v>
          </cell>
          <cell r="G68">
            <v>297.12</v>
          </cell>
          <cell r="H68">
            <v>297.22000000000003</v>
          </cell>
          <cell r="I68" t="str">
            <v>25H29-06</v>
          </cell>
          <cell r="J68">
            <v>60</v>
          </cell>
          <cell r="K68">
            <v>10</v>
          </cell>
          <cell r="O68">
            <v>200</v>
          </cell>
          <cell r="T68" t="str">
            <v>000000000006650</v>
          </cell>
        </row>
        <row r="69">
          <cell r="C69">
            <v>200</v>
          </cell>
          <cell r="D69">
            <v>45904</v>
          </cell>
          <cell r="E69" t="str">
            <v>25H29-06</v>
          </cell>
          <cell r="F69">
            <v>28</v>
          </cell>
          <cell r="G69">
            <v>297.14999999999998</v>
          </cell>
          <cell r="H69">
            <v>297.24</v>
          </cell>
          <cell r="K69">
            <v>0</v>
          </cell>
          <cell r="O69">
            <v>11</v>
          </cell>
          <cell r="P69">
            <v>5</v>
          </cell>
          <cell r="T69" t="str">
            <v>000000000006650</v>
          </cell>
        </row>
        <row r="70">
          <cell r="G70" t="str">
            <v/>
          </cell>
          <cell r="K70">
            <v>0</v>
          </cell>
          <cell r="O70">
            <v>2</v>
          </cell>
          <cell r="T70" t="str">
            <v>000000000006650</v>
          </cell>
        </row>
        <row r="71">
          <cell r="C71">
            <v>6</v>
          </cell>
          <cell r="G71" t="str">
            <v/>
          </cell>
          <cell r="K71">
            <v>0</v>
          </cell>
          <cell r="O71">
            <v>8</v>
          </cell>
          <cell r="T71" t="str">
            <v>000000000006650</v>
          </cell>
        </row>
        <row r="72">
          <cell r="C72" t="str">
            <v>LED-A300</v>
          </cell>
          <cell r="G72" t="str">
            <v/>
          </cell>
          <cell r="K72">
            <v>0</v>
          </cell>
          <cell r="L72" t="str">
            <v>旧品加工</v>
          </cell>
          <cell r="M72">
            <v>9</v>
          </cell>
          <cell r="O72">
            <v>139</v>
          </cell>
          <cell r="T72" t="str">
            <v>000000000006650</v>
          </cell>
        </row>
        <row r="73">
          <cell r="C73">
            <v>2</v>
          </cell>
          <cell r="G73" t="str">
            <v/>
          </cell>
          <cell r="K73">
            <v>0</v>
          </cell>
          <cell r="L73" t="str">
            <v>持出端材</v>
          </cell>
          <cell r="M73">
            <v>136</v>
          </cell>
          <cell r="O73" t="str">
            <v>C/M</v>
          </cell>
          <cell r="T73" t="str">
            <v>000000000006650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3</v>
          </cell>
          <cell r="O74" t="str">
            <v>T</v>
          </cell>
          <cell r="P74">
            <v>8</v>
          </cell>
          <cell r="T74" t="str">
            <v>000000000006650</v>
          </cell>
        </row>
        <row r="75">
          <cell r="C75" t="str">
            <v>8FL281304 4810　L=297</v>
          </cell>
          <cell r="I75">
            <v>0</v>
          </cell>
          <cell r="J75">
            <v>0</v>
          </cell>
          <cell r="K75">
            <v>0</v>
          </cell>
          <cell r="L75">
            <v>45904</v>
          </cell>
          <cell r="M75">
            <v>1</v>
          </cell>
          <cell r="O75">
            <v>45904</v>
          </cell>
          <cell r="T75" t="str">
            <v>000000000006651</v>
          </cell>
        </row>
        <row r="76">
          <cell r="D76">
            <v>45904</v>
          </cell>
          <cell r="E76" t="str">
            <v>25H29-06</v>
          </cell>
          <cell r="F76">
            <v>28</v>
          </cell>
          <cell r="G76">
            <v>297.14999999999998</v>
          </cell>
          <cell r="H76">
            <v>297.24</v>
          </cell>
          <cell r="I76" t="str">
            <v>25H29-06</v>
          </cell>
          <cell r="K76">
            <v>0</v>
          </cell>
          <cell r="O76">
            <v>100</v>
          </cell>
          <cell r="T76" t="str">
            <v>000000000006651</v>
          </cell>
        </row>
        <row r="77">
          <cell r="C77">
            <v>100</v>
          </cell>
          <cell r="D77">
            <v>45904</v>
          </cell>
          <cell r="E77" t="str">
            <v>25H29-06</v>
          </cell>
          <cell r="F77">
            <v>28</v>
          </cell>
          <cell r="G77">
            <v>297.14999999999998</v>
          </cell>
          <cell r="H77">
            <v>297.26</v>
          </cell>
          <cell r="K77">
            <v>0</v>
          </cell>
          <cell r="O77">
            <v>0</v>
          </cell>
          <cell r="T77" t="str">
            <v>000000000006651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000000000006651</v>
          </cell>
        </row>
        <row r="79">
          <cell r="C79">
            <v>6</v>
          </cell>
          <cell r="G79" t="str">
            <v/>
          </cell>
          <cell r="K79">
            <v>0</v>
          </cell>
          <cell r="O79">
            <v>0</v>
          </cell>
          <cell r="T79" t="str">
            <v>000000000006651</v>
          </cell>
        </row>
        <row r="80">
          <cell r="C80" t="str">
            <v>LED-A300</v>
          </cell>
          <cell r="G80" t="str">
            <v/>
          </cell>
          <cell r="K80">
            <v>0</v>
          </cell>
          <cell r="L80" t="str">
            <v>旧品加工</v>
          </cell>
          <cell r="O80">
            <v>100</v>
          </cell>
          <cell r="T80" t="str">
            <v>000000000006651</v>
          </cell>
        </row>
        <row r="81">
          <cell r="C81">
            <v>1</v>
          </cell>
          <cell r="G81" t="str">
            <v/>
          </cell>
          <cell r="K81">
            <v>0</v>
          </cell>
          <cell r="L81" t="str">
            <v>持出端材</v>
          </cell>
          <cell r="M81">
            <v>100</v>
          </cell>
          <cell r="O81" t="str">
            <v>C</v>
          </cell>
          <cell r="T81" t="str">
            <v>000000000006651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0</v>
          </cell>
          <cell r="T82" t="str">
            <v>000000000006651</v>
          </cell>
        </row>
        <row r="83">
          <cell r="C83" t="str">
            <v>採光ルーバーパネルB　L=1996</v>
          </cell>
          <cell r="D83">
            <v>45869</v>
          </cell>
          <cell r="E83" t="str">
            <v>25G18-03</v>
          </cell>
          <cell r="I83" t="str">
            <v>25G18-03</v>
          </cell>
          <cell r="J83">
            <v>12</v>
          </cell>
          <cell r="K83">
            <v>12</v>
          </cell>
          <cell r="L83">
            <v>45904</v>
          </cell>
          <cell r="M83">
            <v>3</v>
          </cell>
          <cell r="O83">
            <v>45905</v>
          </cell>
          <cell r="P83">
            <v>19</v>
          </cell>
          <cell r="T83" t="str">
            <v>000000000006531</v>
          </cell>
        </row>
        <row r="84">
          <cell r="D84">
            <v>45904</v>
          </cell>
          <cell r="E84" t="str">
            <v>25H29-01</v>
          </cell>
          <cell r="F84">
            <v>30</v>
          </cell>
          <cell r="G84">
            <v>1997.3</v>
          </cell>
          <cell r="H84">
            <v>1998</v>
          </cell>
          <cell r="I84" t="str">
            <v>25H29-01</v>
          </cell>
          <cell r="J84">
            <v>300</v>
          </cell>
          <cell r="K84">
            <v>300</v>
          </cell>
          <cell r="L84">
            <v>45905</v>
          </cell>
          <cell r="M84">
            <v>10</v>
          </cell>
          <cell r="O84">
            <v>546</v>
          </cell>
          <cell r="P84">
            <v>47</v>
          </cell>
          <cell r="T84" t="str">
            <v>000000000006531</v>
          </cell>
        </row>
        <row r="85">
          <cell r="C85">
            <v>546</v>
          </cell>
          <cell r="D85">
            <v>45904</v>
          </cell>
          <cell r="E85" t="str">
            <v>25H29-01</v>
          </cell>
          <cell r="F85">
            <v>28</v>
          </cell>
          <cell r="G85">
            <v>1997.04</v>
          </cell>
          <cell r="H85">
            <v>1997.7</v>
          </cell>
          <cell r="I85" t="str">
            <v>25H29-02</v>
          </cell>
          <cell r="J85">
            <v>300</v>
          </cell>
          <cell r="K85">
            <v>300</v>
          </cell>
          <cell r="O85">
            <v>612</v>
          </cell>
          <cell r="T85" t="str">
            <v>000000000006531</v>
          </cell>
        </row>
        <row r="86">
          <cell r="D86">
            <v>45904</v>
          </cell>
          <cell r="E86" t="str">
            <v>25H29-02</v>
          </cell>
          <cell r="F86">
            <v>28</v>
          </cell>
          <cell r="G86">
            <v>1997.04</v>
          </cell>
          <cell r="H86">
            <v>1997.7</v>
          </cell>
          <cell r="K86">
            <v>0</v>
          </cell>
          <cell r="O86">
            <v>66</v>
          </cell>
          <cell r="T86" t="str">
            <v>000000000006531</v>
          </cell>
        </row>
        <row r="87">
          <cell r="C87">
            <v>1</v>
          </cell>
          <cell r="D87">
            <v>45905</v>
          </cell>
          <cell r="E87" t="str">
            <v>25H29-02</v>
          </cell>
          <cell r="F87">
            <v>26</v>
          </cell>
          <cell r="G87">
            <v>1996.78</v>
          </cell>
          <cell r="H87">
            <v>1997.6</v>
          </cell>
          <cell r="K87">
            <v>0</v>
          </cell>
          <cell r="O87">
            <v>66</v>
          </cell>
          <cell r="T87" t="str">
            <v>000000000006531</v>
          </cell>
        </row>
        <row r="88">
          <cell r="C88" t="str">
            <v>上-1</v>
          </cell>
          <cell r="D88">
            <v>45905</v>
          </cell>
          <cell r="E88" t="str">
            <v>25H29-02</v>
          </cell>
          <cell r="F88">
            <v>26</v>
          </cell>
          <cell r="G88">
            <v>1996.78</v>
          </cell>
          <cell r="H88">
            <v>1997.4</v>
          </cell>
          <cell r="K88">
            <v>0</v>
          </cell>
          <cell r="L88" t="str">
            <v>旧品加工</v>
          </cell>
          <cell r="M88">
            <v>12</v>
          </cell>
          <cell r="O88">
            <v>0</v>
          </cell>
          <cell r="T88" t="str">
            <v>000000000006531</v>
          </cell>
        </row>
        <row r="89">
          <cell r="C89">
            <v>13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C/M</v>
          </cell>
          <cell r="T89" t="str">
            <v>000000000006531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U/T</v>
          </cell>
          <cell r="P90">
            <v>66</v>
          </cell>
          <cell r="T90" t="str">
            <v>000000000006531</v>
          </cell>
        </row>
        <row r="91">
          <cell r="C91" t="str">
            <v>灯具カバーPC IN 2090　L=840</v>
          </cell>
          <cell r="D91">
            <v>45881</v>
          </cell>
          <cell r="E91" t="str">
            <v>25G30-01</v>
          </cell>
          <cell r="I91" t="str">
            <v>25G30-01</v>
          </cell>
          <cell r="J91">
            <v>7</v>
          </cell>
          <cell r="K91">
            <v>7</v>
          </cell>
          <cell r="L91">
            <v>45905</v>
          </cell>
          <cell r="M91">
            <v>1</v>
          </cell>
          <cell r="O91">
            <v>45905</v>
          </cell>
          <cell r="P91">
            <v>5</v>
          </cell>
          <cell r="T91" t="str">
            <v>000000000006735</v>
          </cell>
        </row>
        <row r="92">
          <cell r="D92">
            <v>45905</v>
          </cell>
          <cell r="E92" t="str">
            <v>25I04-01</v>
          </cell>
          <cell r="G92" t="str">
            <v/>
          </cell>
          <cell r="I92" t="str">
            <v>25I04-01</v>
          </cell>
          <cell r="J92">
            <v>14</v>
          </cell>
          <cell r="K92">
            <v>14</v>
          </cell>
          <cell r="O92">
            <v>16</v>
          </cell>
          <cell r="T92" t="str">
            <v>000000000006735</v>
          </cell>
        </row>
        <row r="93">
          <cell r="C93">
            <v>16</v>
          </cell>
          <cell r="G93" t="str">
            <v/>
          </cell>
          <cell r="K93">
            <v>0</v>
          </cell>
          <cell r="O93">
            <v>21</v>
          </cell>
          <cell r="T93" t="str">
            <v>000000000006735</v>
          </cell>
        </row>
        <row r="94">
          <cell r="G94" t="str">
            <v/>
          </cell>
          <cell r="K94">
            <v>0</v>
          </cell>
          <cell r="O94">
            <v>5</v>
          </cell>
          <cell r="T94" t="str">
            <v>000000000006735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5</v>
          </cell>
          <cell r="T95" t="str">
            <v>000000000006735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M96">
            <v>7</v>
          </cell>
          <cell r="O96">
            <v>0</v>
          </cell>
          <cell r="T96" t="str">
            <v>000000000006735</v>
          </cell>
        </row>
        <row r="97">
          <cell r="C97">
            <v>0.5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000000000006735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M</v>
          </cell>
          <cell r="P98">
            <v>5</v>
          </cell>
          <cell r="T98" t="str">
            <v>000000000006735</v>
          </cell>
        </row>
        <row r="99">
          <cell r="C99" t="str">
            <v>灯具カバーPC IN 2090　L=840</v>
          </cell>
          <cell r="I99">
            <v>0</v>
          </cell>
          <cell r="J99">
            <v>0</v>
          </cell>
          <cell r="K99">
            <v>0</v>
          </cell>
          <cell r="L99">
            <v>45908</v>
          </cell>
          <cell r="M99">
            <v>10</v>
          </cell>
          <cell r="O99">
            <v>45908</v>
          </cell>
          <cell r="P99">
            <v>3</v>
          </cell>
          <cell r="T99" t="str">
            <v>000000000006736</v>
          </cell>
        </row>
        <row r="100">
          <cell r="D100">
            <v>45908</v>
          </cell>
          <cell r="E100" t="str">
            <v>25I04-01</v>
          </cell>
          <cell r="G100" t="str">
            <v/>
          </cell>
          <cell r="I100" t="str">
            <v>25I04-01</v>
          </cell>
          <cell r="J100">
            <v>175</v>
          </cell>
          <cell r="K100">
            <v>175</v>
          </cell>
          <cell r="O100">
            <v>160</v>
          </cell>
          <cell r="P100">
            <v>12</v>
          </cell>
          <cell r="T100" t="str">
            <v>000000000006736</v>
          </cell>
        </row>
        <row r="101">
          <cell r="C101">
            <v>160</v>
          </cell>
          <cell r="G101" t="str">
            <v/>
          </cell>
          <cell r="K101">
            <v>0</v>
          </cell>
          <cell r="O101">
            <v>175</v>
          </cell>
          <cell r="T101" t="str">
            <v>000000000006736</v>
          </cell>
        </row>
        <row r="102">
          <cell r="G102" t="str">
            <v/>
          </cell>
          <cell r="K102">
            <v>0</v>
          </cell>
          <cell r="O102">
            <v>15</v>
          </cell>
          <cell r="T102" t="str">
            <v>000000000006736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15</v>
          </cell>
          <cell r="T103" t="str">
            <v>000000000006736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000000000006736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000000000006736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M/T</v>
          </cell>
          <cell r="P106">
            <v>15</v>
          </cell>
          <cell r="T106" t="str">
            <v>000000000006736</v>
          </cell>
        </row>
        <row r="107">
          <cell r="C107" t="str">
            <v>灯具カバーPC IN 2070　L=1966</v>
          </cell>
          <cell r="D107">
            <v>45887</v>
          </cell>
          <cell r="E107" t="str">
            <v>25H01-01</v>
          </cell>
          <cell r="I107" t="str">
            <v>25H01-01</v>
          </cell>
          <cell r="J107">
            <v>14</v>
          </cell>
          <cell r="K107">
            <v>14</v>
          </cell>
          <cell r="L107">
            <v>45908</v>
          </cell>
          <cell r="M107">
            <v>4</v>
          </cell>
          <cell r="O107">
            <v>45909</v>
          </cell>
          <cell r="P107">
            <v>5</v>
          </cell>
          <cell r="T107" t="str">
            <v>000000000006734</v>
          </cell>
        </row>
        <row r="108">
          <cell r="D108">
            <v>45908</v>
          </cell>
          <cell r="E108" t="str">
            <v>25I05-01</v>
          </cell>
          <cell r="G108" t="str">
            <v/>
          </cell>
          <cell r="I108" t="str">
            <v>25I05-01</v>
          </cell>
          <cell r="J108">
            <v>185</v>
          </cell>
          <cell r="K108">
            <v>185</v>
          </cell>
          <cell r="L108">
            <v>45909</v>
          </cell>
          <cell r="M108">
            <v>4</v>
          </cell>
          <cell r="O108">
            <v>128</v>
          </cell>
          <cell r="P108">
            <v>64</v>
          </cell>
          <cell r="T108" t="str">
            <v>000000000006734</v>
          </cell>
        </row>
        <row r="109">
          <cell r="C109">
            <v>128</v>
          </cell>
          <cell r="D109">
            <v>45909</v>
          </cell>
          <cell r="E109" t="str">
            <v>25I05-01</v>
          </cell>
          <cell r="G109" t="str">
            <v/>
          </cell>
          <cell r="K109">
            <v>0</v>
          </cell>
          <cell r="O109">
            <v>199</v>
          </cell>
          <cell r="T109" t="str">
            <v>000000000006734</v>
          </cell>
        </row>
        <row r="110">
          <cell r="G110" t="str">
            <v/>
          </cell>
          <cell r="K110">
            <v>0</v>
          </cell>
          <cell r="O110">
            <v>71</v>
          </cell>
          <cell r="T110" t="str">
            <v>000000000006734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71</v>
          </cell>
          <cell r="T111" t="str">
            <v>000000000006734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14</v>
          </cell>
          <cell r="O112">
            <v>0</v>
          </cell>
          <cell r="P112">
            <v>2</v>
          </cell>
          <cell r="T112" t="str">
            <v>000000000006734</v>
          </cell>
        </row>
        <row r="113">
          <cell r="C113">
            <v>8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000000000006734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C/M/T</v>
          </cell>
          <cell r="P114">
            <v>71</v>
          </cell>
          <cell r="T114" t="str">
            <v>000000000006734</v>
          </cell>
        </row>
        <row r="115">
          <cell r="C115" t="str">
            <v>8FL281304 4910　L=592</v>
          </cell>
          <cell r="D115">
            <v>45898</v>
          </cell>
          <cell r="E115" t="str">
            <v>25H26-02</v>
          </cell>
          <cell r="I115" t="str">
            <v>25H26-02</v>
          </cell>
          <cell r="J115">
            <v>3</v>
          </cell>
          <cell r="K115">
            <v>1</v>
          </cell>
          <cell r="L115">
            <v>45909</v>
          </cell>
          <cell r="M115">
            <v>3</v>
          </cell>
          <cell r="O115">
            <v>45909</v>
          </cell>
          <cell r="P115">
            <v>1</v>
          </cell>
          <cell r="T115" t="str">
            <v>000000000006654</v>
          </cell>
        </row>
        <row r="116">
          <cell r="D116">
            <v>45909</v>
          </cell>
          <cell r="E116" t="str">
            <v>25I05-02</v>
          </cell>
          <cell r="F116">
            <v>30</v>
          </cell>
          <cell r="G116">
            <v>591.88</v>
          </cell>
          <cell r="H116">
            <v>591.72</v>
          </cell>
          <cell r="I116" t="str">
            <v>25I05-02</v>
          </cell>
          <cell r="J116">
            <v>296</v>
          </cell>
          <cell r="K116">
            <v>99</v>
          </cell>
          <cell r="O116">
            <v>300</v>
          </cell>
          <cell r="T116" t="str">
            <v>000000000006654</v>
          </cell>
        </row>
        <row r="117">
          <cell r="C117">
            <v>300</v>
          </cell>
          <cell r="D117">
            <v>45909</v>
          </cell>
          <cell r="E117" t="str">
            <v>25I05-02</v>
          </cell>
          <cell r="F117">
            <v>30</v>
          </cell>
          <cell r="G117">
            <v>591.88</v>
          </cell>
          <cell r="H117">
            <v>591.82000000000005</v>
          </cell>
          <cell r="K117">
            <v>0</v>
          </cell>
          <cell r="O117">
            <v>100</v>
          </cell>
          <cell r="T117" t="str">
            <v>000000000006654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000000000006654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1</v>
          </cell>
          <cell r="T119" t="str">
            <v>000000000006654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4</v>
          </cell>
          <cell r="O120">
            <v>1</v>
          </cell>
          <cell r="T120" t="str">
            <v>000000000006654</v>
          </cell>
        </row>
        <row r="121">
          <cell r="C121">
            <v>3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C</v>
          </cell>
          <cell r="T121" t="str">
            <v>000000000006654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1</v>
          </cell>
          <cell r="O122" t="str">
            <v>T</v>
          </cell>
          <cell r="P122">
            <v>1</v>
          </cell>
          <cell r="T122" t="str">
            <v>000000000006654</v>
          </cell>
        </row>
        <row r="123">
          <cell r="C123" t="str">
            <v>8FL281304 8110　L=444</v>
          </cell>
          <cell r="E123" t="str">
            <v>25G24-06</v>
          </cell>
          <cell r="I123" t="str">
            <v>25G24-06</v>
          </cell>
          <cell r="J123">
            <v>12</v>
          </cell>
          <cell r="K123">
            <v>3</v>
          </cell>
          <cell r="L123">
            <v>45909</v>
          </cell>
          <cell r="M123">
            <v>1</v>
          </cell>
          <cell r="O123">
            <v>45909</v>
          </cell>
          <cell r="T123" t="str">
            <v>000000000006669</v>
          </cell>
        </row>
        <row r="124">
          <cell r="D124">
            <v>45909</v>
          </cell>
          <cell r="E124" t="str">
            <v>25I05-02</v>
          </cell>
          <cell r="F124">
            <v>30</v>
          </cell>
          <cell r="G124">
            <v>443.79</v>
          </cell>
          <cell r="H124">
            <v>443.53</v>
          </cell>
          <cell r="I124" t="str">
            <v>25I05-02</v>
          </cell>
          <cell r="J124">
            <v>86</v>
          </cell>
          <cell r="K124">
            <v>22</v>
          </cell>
          <cell r="O124">
            <v>100</v>
          </cell>
          <cell r="T124" t="str">
            <v>000000000006669</v>
          </cell>
        </row>
        <row r="125">
          <cell r="C125">
            <v>100</v>
          </cell>
          <cell r="D125">
            <v>45909</v>
          </cell>
          <cell r="E125" t="str">
            <v>25I05-02</v>
          </cell>
          <cell r="F125">
            <v>30</v>
          </cell>
          <cell r="G125">
            <v>443.79</v>
          </cell>
          <cell r="H125">
            <v>443.52</v>
          </cell>
          <cell r="K125">
            <v>0</v>
          </cell>
          <cell r="O125">
            <v>25</v>
          </cell>
          <cell r="T125" t="str">
            <v>000000000006669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000000000006669</v>
          </cell>
        </row>
        <row r="127">
          <cell r="C127">
            <v>4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000000000006669</v>
          </cell>
        </row>
        <row r="128">
          <cell r="C128" t="str">
            <v>LED-A444</v>
          </cell>
          <cell r="G128" t="str">
            <v/>
          </cell>
          <cell r="K128">
            <v>0</v>
          </cell>
          <cell r="L128" t="str">
            <v>旧品加工</v>
          </cell>
          <cell r="M128">
            <v>13</v>
          </cell>
          <cell r="O128">
            <v>1</v>
          </cell>
          <cell r="T128" t="str">
            <v>000000000006669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C</v>
          </cell>
          <cell r="T129" t="str">
            <v>000000000006669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1</v>
          </cell>
          <cell r="O130" t="str">
            <v>T</v>
          </cell>
          <cell r="P130">
            <v>0</v>
          </cell>
          <cell r="T130" t="str">
            <v>000000000006669</v>
          </cell>
        </row>
        <row r="131">
          <cell r="C131" t="str">
            <v>8FL281304 4810　L=297</v>
          </cell>
          <cell r="D131">
            <v>45904</v>
          </cell>
          <cell r="E131" t="str">
            <v>25H26-02</v>
          </cell>
          <cell r="I131" t="str">
            <v>25H26-02</v>
          </cell>
          <cell r="J131">
            <v>12</v>
          </cell>
          <cell r="K131">
            <v>2</v>
          </cell>
          <cell r="L131">
            <v>45909</v>
          </cell>
          <cell r="M131">
            <v>3</v>
          </cell>
          <cell r="O131">
            <v>45909</v>
          </cell>
          <cell r="T131" t="str">
            <v>000000000006652</v>
          </cell>
        </row>
        <row r="132">
          <cell r="D132">
            <v>45909</v>
          </cell>
          <cell r="E132" t="str">
            <v>25I05-02</v>
          </cell>
          <cell r="F132">
            <v>30</v>
          </cell>
          <cell r="G132">
            <v>297.19</v>
          </cell>
          <cell r="H132">
            <v>297.11</v>
          </cell>
          <cell r="I132" t="str">
            <v>25I05-02</v>
          </cell>
          <cell r="J132">
            <v>280</v>
          </cell>
          <cell r="K132">
            <v>47</v>
          </cell>
          <cell r="O132">
            <v>300</v>
          </cell>
          <cell r="T132" t="str">
            <v>000000000006652</v>
          </cell>
        </row>
        <row r="133">
          <cell r="C133">
            <v>300</v>
          </cell>
          <cell r="D133">
            <v>45909</v>
          </cell>
          <cell r="E133" t="str">
            <v>25I05-02</v>
          </cell>
          <cell r="F133">
            <v>30</v>
          </cell>
          <cell r="G133">
            <v>297.19</v>
          </cell>
          <cell r="H133">
            <v>297.19</v>
          </cell>
          <cell r="K133">
            <v>0</v>
          </cell>
          <cell r="O133">
            <v>49</v>
          </cell>
          <cell r="T133" t="str">
            <v>000000000006652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000000000006652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000000000006652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12</v>
          </cell>
          <cell r="O136">
            <v>8</v>
          </cell>
          <cell r="T136" t="str">
            <v>000000000006652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持出端材</v>
          </cell>
          <cell r="M137">
            <v>8</v>
          </cell>
          <cell r="O137" t="str">
            <v>C/M</v>
          </cell>
          <cell r="T137" t="str">
            <v>000000000006652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T/U</v>
          </cell>
          <cell r="P138">
            <v>0</v>
          </cell>
          <cell r="T138" t="str">
            <v>000000000006652</v>
          </cell>
        </row>
        <row r="139">
          <cell r="C139" t="str">
            <v>8FL281304 5010　L=888</v>
          </cell>
          <cell r="D139">
            <v>45902</v>
          </cell>
          <cell r="E139" t="str">
            <v>25H27-03</v>
          </cell>
          <cell r="I139" t="str">
            <v>25H27-03</v>
          </cell>
          <cell r="J139">
            <v>10</v>
          </cell>
          <cell r="K139">
            <v>5</v>
          </cell>
          <cell r="L139">
            <v>45909</v>
          </cell>
          <cell r="M139">
            <v>1</v>
          </cell>
          <cell r="O139">
            <v>45911</v>
          </cell>
          <cell r="P139">
            <v>10</v>
          </cell>
          <cell r="T139" t="str">
            <v>000000000006663-2</v>
          </cell>
        </row>
        <row r="140">
          <cell r="D140">
            <v>45909</v>
          </cell>
          <cell r="E140" t="str">
            <v>25I05-02</v>
          </cell>
          <cell r="F140">
            <v>30</v>
          </cell>
          <cell r="G140">
            <v>888.58</v>
          </cell>
          <cell r="H140">
            <v>888.71</v>
          </cell>
          <cell r="I140" t="str">
            <v>25I05-02</v>
          </cell>
          <cell r="J140">
            <v>1246</v>
          </cell>
          <cell r="K140">
            <v>623</v>
          </cell>
          <cell r="L140">
            <v>45910</v>
          </cell>
          <cell r="M140">
            <v>15</v>
          </cell>
          <cell r="O140">
            <v>2000</v>
          </cell>
          <cell r="T140" t="str">
            <v>000000000006663-2</v>
          </cell>
        </row>
        <row r="141">
          <cell r="C141">
            <v>2000</v>
          </cell>
          <cell r="D141">
            <v>45909</v>
          </cell>
          <cell r="E141" t="str">
            <v>25I05-02</v>
          </cell>
          <cell r="F141">
            <v>28</v>
          </cell>
          <cell r="G141">
            <v>888.46</v>
          </cell>
          <cell r="H141">
            <v>888.73</v>
          </cell>
          <cell r="I141" t="str">
            <v>25I05-01</v>
          </cell>
          <cell r="J141">
            <v>752</v>
          </cell>
          <cell r="K141">
            <v>376</v>
          </cell>
          <cell r="L141">
            <v>45911</v>
          </cell>
          <cell r="M141">
            <v>4</v>
          </cell>
          <cell r="O141">
            <v>1004</v>
          </cell>
          <cell r="T141" t="str">
            <v>000000000006663-2</v>
          </cell>
        </row>
        <row r="142">
          <cell r="D142">
            <v>45909</v>
          </cell>
          <cell r="E142" t="str">
            <v>25I05-02</v>
          </cell>
          <cell r="F142">
            <v>28</v>
          </cell>
          <cell r="G142">
            <v>888.46</v>
          </cell>
          <cell r="H142">
            <v>888.73</v>
          </cell>
          <cell r="K142">
            <v>0</v>
          </cell>
          <cell r="O142">
            <v>5</v>
          </cell>
          <cell r="T142" t="str">
            <v>000000000006663-2</v>
          </cell>
        </row>
        <row r="143">
          <cell r="C143">
            <v>2</v>
          </cell>
          <cell r="D143">
            <v>45910</v>
          </cell>
          <cell r="E143" t="str">
            <v>25I05-02</v>
          </cell>
          <cell r="F143">
            <v>26</v>
          </cell>
          <cell r="G143">
            <v>888.35</v>
          </cell>
          <cell r="H143">
            <v>888.74</v>
          </cell>
          <cell r="K143">
            <v>0</v>
          </cell>
          <cell r="O143">
            <v>10</v>
          </cell>
          <cell r="T143" t="str">
            <v>000000000006663-2</v>
          </cell>
        </row>
        <row r="144">
          <cell r="C144" t="str">
            <v>LED-A888</v>
          </cell>
          <cell r="D144">
            <v>45910</v>
          </cell>
          <cell r="E144" t="str">
            <v>25I05-01</v>
          </cell>
          <cell r="F144">
            <v>28</v>
          </cell>
          <cell r="G144">
            <v>888.46</v>
          </cell>
          <cell r="H144">
            <v>888.43</v>
          </cell>
          <cell r="K144">
            <v>0</v>
          </cell>
          <cell r="L144" t="str">
            <v>旧品加工</v>
          </cell>
          <cell r="M144">
            <v>11</v>
          </cell>
          <cell r="O144">
            <v>1</v>
          </cell>
          <cell r="T144" t="str">
            <v>000000000006663-2</v>
          </cell>
        </row>
        <row r="145">
          <cell r="C145">
            <v>20</v>
          </cell>
          <cell r="D145">
            <v>45910</v>
          </cell>
          <cell r="E145" t="str">
            <v>25I05-01</v>
          </cell>
          <cell r="F145">
            <v>28</v>
          </cell>
          <cell r="G145">
            <v>888.46</v>
          </cell>
          <cell r="H145">
            <v>888.43</v>
          </cell>
          <cell r="K145">
            <v>0</v>
          </cell>
          <cell r="L145" t="str">
            <v>持出端材</v>
          </cell>
          <cell r="O145" t="str">
            <v>C/M</v>
          </cell>
          <cell r="T145" t="str">
            <v>000000000006663-2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1</v>
          </cell>
          <cell r="O146" t="str">
            <v>T/U</v>
          </cell>
          <cell r="P146">
            <v>10</v>
          </cell>
          <cell r="T146" t="str">
            <v>000000000006663-2</v>
          </cell>
        </row>
        <row r="147">
          <cell r="C147" t="str">
            <v>8FL281304 6110　L=1478</v>
          </cell>
          <cell r="D147">
            <v>45904</v>
          </cell>
          <cell r="E147" t="str">
            <v>25H29-06</v>
          </cell>
          <cell r="I147" t="str">
            <v>25H29-06</v>
          </cell>
          <cell r="J147">
            <v>14</v>
          </cell>
          <cell r="K147">
            <v>14</v>
          </cell>
          <cell r="L147">
            <v>45911</v>
          </cell>
          <cell r="M147">
            <v>5</v>
          </cell>
          <cell r="O147">
            <v>45911</v>
          </cell>
          <cell r="P147">
            <v>6</v>
          </cell>
          <cell r="T147" t="str">
            <v>000000000006668</v>
          </cell>
        </row>
        <row r="148">
          <cell r="D148">
            <v>45910</v>
          </cell>
          <cell r="E148" t="str">
            <v>25I05-01</v>
          </cell>
          <cell r="F148">
            <v>26</v>
          </cell>
          <cell r="G148">
            <v>1478.58</v>
          </cell>
          <cell r="H148">
            <v>1478.46</v>
          </cell>
          <cell r="I148" t="str">
            <v>25I05-01</v>
          </cell>
          <cell r="J148">
            <v>420</v>
          </cell>
          <cell r="K148">
            <v>420</v>
          </cell>
          <cell r="O148">
            <v>500</v>
          </cell>
          <cell r="T148" t="str">
            <v>000000000006668</v>
          </cell>
        </row>
        <row r="149">
          <cell r="C149">
            <v>500</v>
          </cell>
          <cell r="D149">
            <v>45910</v>
          </cell>
          <cell r="E149" t="str">
            <v>25I05-01</v>
          </cell>
          <cell r="F149">
            <v>26</v>
          </cell>
          <cell r="G149">
            <v>1478.58</v>
          </cell>
          <cell r="H149">
            <v>1478.64</v>
          </cell>
          <cell r="I149" t="str">
            <v>25I06-03</v>
          </cell>
          <cell r="J149">
            <v>72</v>
          </cell>
          <cell r="K149">
            <v>72</v>
          </cell>
          <cell r="O149">
            <v>506</v>
          </cell>
          <cell r="T149" t="str">
            <v>000000000006668</v>
          </cell>
        </row>
        <row r="150">
          <cell r="D150">
            <v>45911</v>
          </cell>
          <cell r="E150" t="str">
            <v>25I06-03</v>
          </cell>
          <cell r="F150">
            <v>26</v>
          </cell>
          <cell r="G150">
            <v>1478.58</v>
          </cell>
          <cell r="H150">
            <v>1478.85</v>
          </cell>
          <cell r="K150">
            <v>0</v>
          </cell>
          <cell r="O150">
            <v>6</v>
          </cell>
          <cell r="T150" t="str">
            <v>000000000006668</v>
          </cell>
        </row>
        <row r="151">
          <cell r="C151">
            <v>1</v>
          </cell>
          <cell r="D151">
            <v>45911</v>
          </cell>
          <cell r="E151" t="str">
            <v>25I06-03</v>
          </cell>
          <cell r="F151">
            <v>26</v>
          </cell>
          <cell r="G151">
            <v>1478.58</v>
          </cell>
          <cell r="H151">
            <v>1478.74</v>
          </cell>
          <cell r="K151">
            <v>0</v>
          </cell>
          <cell r="O151">
            <v>6</v>
          </cell>
          <cell r="T151" t="str">
            <v>000000000006668</v>
          </cell>
        </row>
        <row r="152">
          <cell r="C152" t="str">
            <v>LED-A1478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14</v>
          </cell>
          <cell r="O152">
            <v>0</v>
          </cell>
          <cell r="T152" t="str">
            <v>000000000006668</v>
          </cell>
        </row>
        <row r="153">
          <cell r="C153">
            <v>2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C/M</v>
          </cell>
          <cell r="T153" t="str">
            <v>000000000006668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T/U</v>
          </cell>
          <cell r="P154">
            <v>6</v>
          </cell>
          <cell r="T154" t="str">
            <v>000000000006668</v>
          </cell>
        </row>
        <row r="155">
          <cell r="C155" t="str">
            <v>8FL281304 8310　L=748</v>
          </cell>
          <cell r="D155">
            <v>45898</v>
          </cell>
          <cell r="E155" t="str">
            <v>25H26-02</v>
          </cell>
          <cell r="I155" t="str">
            <v>25H26-02</v>
          </cell>
          <cell r="J155">
            <v>8</v>
          </cell>
          <cell r="K155">
            <v>4</v>
          </cell>
          <cell r="L155">
            <v>45911</v>
          </cell>
          <cell r="M155">
            <v>2</v>
          </cell>
          <cell r="O155">
            <v>45911</v>
          </cell>
          <cell r="T155" t="str">
            <v>000000000006670</v>
          </cell>
        </row>
        <row r="156">
          <cell r="D156">
            <v>45911</v>
          </cell>
          <cell r="E156" t="str">
            <v>25I06-03</v>
          </cell>
          <cell r="F156">
            <v>28</v>
          </cell>
          <cell r="G156">
            <v>748.39</v>
          </cell>
          <cell r="H156">
            <v>748.19</v>
          </cell>
          <cell r="I156" t="str">
            <v>25I06-03</v>
          </cell>
          <cell r="J156">
            <v>192</v>
          </cell>
          <cell r="K156">
            <v>96</v>
          </cell>
          <cell r="O156">
            <v>200</v>
          </cell>
          <cell r="T156" t="str">
            <v>000000000006670</v>
          </cell>
        </row>
        <row r="157">
          <cell r="C157">
            <v>200</v>
          </cell>
          <cell r="D157">
            <v>45911</v>
          </cell>
          <cell r="E157" t="str">
            <v>25I06-03</v>
          </cell>
          <cell r="F157">
            <v>28</v>
          </cell>
          <cell r="G157">
            <v>748.39</v>
          </cell>
          <cell r="H157">
            <v>748.26</v>
          </cell>
          <cell r="K157">
            <v>0</v>
          </cell>
          <cell r="O157">
            <v>100</v>
          </cell>
          <cell r="T157" t="str">
            <v>000000000006670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000000000006670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000000000006670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8</v>
          </cell>
          <cell r="O160">
            <v>0</v>
          </cell>
          <cell r="T160" t="str">
            <v>000000000006670</v>
          </cell>
        </row>
        <row r="161">
          <cell r="C161">
            <v>2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C</v>
          </cell>
          <cell r="T161" t="str">
            <v>000000000006670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U</v>
          </cell>
          <cell r="P162">
            <v>0</v>
          </cell>
          <cell r="T162" t="str">
            <v>000000000006670</v>
          </cell>
        </row>
        <row r="163">
          <cell r="C163" t="str">
            <v>8FL281304 5010　L=888</v>
          </cell>
          <cell r="D163">
            <v>45910</v>
          </cell>
          <cell r="E163" t="str">
            <v>25I05-01</v>
          </cell>
          <cell r="I163" t="str">
            <v>25I05-01</v>
          </cell>
          <cell r="J163">
            <v>8</v>
          </cell>
          <cell r="K163">
            <v>4</v>
          </cell>
          <cell r="L163">
            <v>45911</v>
          </cell>
          <cell r="M163">
            <v>1</v>
          </cell>
          <cell r="O163">
            <v>45912</v>
          </cell>
          <cell r="P163">
            <v>3</v>
          </cell>
          <cell r="T163" t="str">
            <v>000000000006665</v>
          </cell>
        </row>
        <row r="164">
          <cell r="D164">
            <v>45911</v>
          </cell>
          <cell r="E164" t="str">
            <v>25I06-03</v>
          </cell>
          <cell r="F164">
            <v>26</v>
          </cell>
          <cell r="G164">
            <v>888.35</v>
          </cell>
          <cell r="H164">
            <v>888.18</v>
          </cell>
          <cell r="I164" t="str">
            <v>25I06-03</v>
          </cell>
          <cell r="J164">
            <v>695</v>
          </cell>
          <cell r="K164">
            <v>348</v>
          </cell>
          <cell r="L164">
            <v>45912</v>
          </cell>
          <cell r="M164">
            <v>6</v>
          </cell>
          <cell r="O164">
            <v>700</v>
          </cell>
          <cell r="T164" t="str">
            <v>000000000006665</v>
          </cell>
        </row>
        <row r="165">
          <cell r="C165">
            <v>700</v>
          </cell>
          <cell r="D165">
            <v>45911</v>
          </cell>
          <cell r="E165" t="str">
            <v>25I06-03</v>
          </cell>
          <cell r="F165">
            <v>28</v>
          </cell>
          <cell r="G165">
            <v>888.46</v>
          </cell>
          <cell r="H165">
            <v>888.34</v>
          </cell>
          <cell r="K165">
            <v>0</v>
          </cell>
          <cell r="O165">
            <v>352</v>
          </cell>
          <cell r="P165">
            <v>2</v>
          </cell>
          <cell r="T165" t="str">
            <v>000000000006665</v>
          </cell>
        </row>
        <row r="166">
          <cell r="D166">
            <v>45911</v>
          </cell>
          <cell r="E166" t="str">
            <v>25I06-03</v>
          </cell>
          <cell r="F166">
            <v>26</v>
          </cell>
          <cell r="G166">
            <v>888.35</v>
          </cell>
          <cell r="H166">
            <v>888.33</v>
          </cell>
          <cell r="K166">
            <v>0</v>
          </cell>
          <cell r="O166">
            <v>3</v>
          </cell>
          <cell r="T166" t="str">
            <v>000000000006665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5</v>
          </cell>
          <cell r="T167" t="str">
            <v>000000000006665</v>
          </cell>
        </row>
        <row r="168">
          <cell r="C168" t="str">
            <v>LED-A888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9</v>
          </cell>
          <cell r="O168">
            <v>1</v>
          </cell>
          <cell r="T168" t="str">
            <v>000000000006665</v>
          </cell>
        </row>
        <row r="169">
          <cell r="C169">
            <v>7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C/U</v>
          </cell>
          <cell r="T169" t="str">
            <v>000000000006665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1</v>
          </cell>
          <cell r="O170" t="str">
            <v>T/U</v>
          </cell>
          <cell r="P170">
            <v>5</v>
          </cell>
          <cell r="T170" t="str">
            <v>000000000006665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O171">
            <v>0</v>
          </cell>
          <cell r="T171" t="str">
            <v>000000000006666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000000000006666</v>
          </cell>
        </row>
        <row r="173">
          <cell r="C173">
            <v>2000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000000000006666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000000000006666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000000000006666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000000000006666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持出端材</v>
          </cell>
          <cell r="T177" t="str">
            <v>000000000006666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P178">
            <v>0</v>
          </cell>
          <cell r="T178" t="str">
            <v>000000000006666</v>
          </cell>
        </row>
        <row r="179">
          <cell r="C179" t="str">
            <v>GA-770 (特注)BR</v>
          </cell>
          <cell r="I179">
            <v>0</v>
          </cell>
          <cell r="J179" t="e">
            <v>#VALUE!</v>
          </cell>
          <cell r="K179" t="e">
            <v>#VALUE!</v>
          </cell>
          <cell r="O179">
            <v>0</v>
          </cell>
          <cell r="T179" t="str">
            <v>000000000007239</v>
          </cell>
        </row>
        <row r="180">
          <cell r="G180" t="str">
            <v/>
          </cell>
          <cell r="I180" t="str">
            <v/>
          </cell>
          <cell r="K180" t="e">
            <v>#VALUE!</v>
          </cell>
          <cell r="O180" t="e">
            <v>#VALUE!</v>
          </cell>
          <cell r="T180" t="str">
            <v>000000000007239</v>
          </cell>
        </row>
        <row r="181">
          <cell r="C181">
            <v>6</v>
          </cell>
          <cell r="G181" t="str">
            <v/>
          </cell>
          <cell r="K181" t="e">
            <v>#VALUE!</v>
          </cell>
          <cell r="O181" t="str">
            <v/>
          </cell>
          <cell r="T181" t="str">
            <v>000000000007239</v>
          </cell>
        </row>
        <row r="182">
          <cell r="G182" t="str">
            <v/>
          </cell>
          <cell r="K182" t="e">
            <v>#VALUE!</v>
          </cell>
          <cell r="O182" t="str">
            <v/>
          </cell>
          <cell r="T182" t="str">
            <v>000000000007239</v>
          </cell>
        </row>
        <row r="183">
          <cell r="C183" t="str">
            <v xml:space="preserve"> 図面確認</v>
          </cell>
          <cell r="G183" t="str">
            <v/>
          </cell>
          <cell r="K183" t="e">
            <v>#VALUE!</v>
          </cell>
          <cell r="O183">
            <v>0</v>
          </cell>
          <cell r="T183" t="str">
            <v>000000000007239</v>
          </cell>
        </row>
        <row r="184">
          <cell r="C184" t="str">
            <v>SB-246</v>
          </cell>
          <cell r="G184" t="str">
            <v/>
          </cell>
          <cell r="K184" t="e">
            <v>#VALUE!</v>
          </cell>
          <cell r="L184" t="str">
            <v>旧品加工</v>
          </cell>
          <cell r="O184" t="e">
            <v>#VALUE!</v>
          </cell>
          <cell r="T184" t="str">
            <v>000000000007239</v>
          </cell>
        </row>
        <row r="185">
          <cell r="C185">
            <v>0</v>
          </cell>
          <cell r="G185" t="str">
            <v/>
          </cell>
          <cell r="K185" t="e">
            <v>#VALUE!</v>
          </cell>
          <cell r="L185" t="str">
            <v>持出端材</v>
          </cell>
          <cell r="T185" t="str">
            <v>000000000007239</v>
          </cell>
        </row>
        <row r="186">
          <cell r="G186" t="str">
            <v/>
          </cell>
          <cell r="K186" t="e">
            <v>#VALUE!</v>
          </cell>
          <cell r="L186" t="str">
            <v>α端材</v>
          </cell>
          <cell r="M186" t="e">
            <v>#VALUE!</v>
          </cell>
          <cell r="P186">
            <v>0</v>
          </cell>
          <cell r="T186" t="str">
            <v>000000000007239</v>
          </cell>
        </row>
        <row r="187">
          <cell r="C187" t="str">
            <v>PK-59827 L=500</v>
          </cell>
          <cell r="I187">
            <v>0</v>
          </cell>
          <cell r="J187">
            <v>0</v>
          </cell>
          <cell r="K187">
            <v>0</v>
          </cell>
          <cell r="O187">
            <v>0</v>
          </cell>
          <cell r="T187" t="str">
            <v>000000000006874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000000000006874</v>
          </cell>
        </row>
        <row r="189">
          <cell r="C189">
            <v>750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000000000006874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000000000006874</v>
          </cell>
        </row>
        <row r="191">
          <cell r="C191">
            <v>3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000000000006874</v>
          </cell>
        </row>
        <row r="192">
          <cell r="C192" t="str">
            <v>PK-59827 L=500用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T192" t="str">
            <v>000000000006874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持出端材</v>
          </cell>
          <cell r="T193" t="str">
            <v>000000000006874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P194">
            <v>0</v>
          </cell>
          <cell r="T194" t="str">
            <v>000000000006874</v>
          </cell>
        </row>
        <row r="195">
          <cell r="C195" t="str">
            <v>PK-59827 L=700</v>
          </cell>
          <cell r="I195">
            <v>0</v>
          </cell>
          <cell r="J195">
            <v>0</v>
          </cell>
          <cell r="K195">
            <v>0</v>
          </cell>
          <cell r="O195">
            <v>0</v>
          </cell>
          <cell r="T195" t="str">
            <v>000000000006875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000000000006875</v>
          </cell>
        </row>
        <row r="197">
          <cell r="C197">
            <v>1100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000000000006875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000000000006875</v>
          </cell>
        </row>
        <row r="199">
          <cell r="C199">
            <v>2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000000000006875</v>
          </cell>
        </row>
        <row r="200">
          <cell r="C200" t="str">
            <v>PK-59827 L=700用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000000000006875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持出端材</v>
          </cell>
          <cell r="T201" t="str">
            <v>000000000006875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P202">
            <v>0</v>
          </cell>
          <cell r="T202" t="str">
            <v>000000000006875</v>
          </cell>
        </row>
        <row r="203">
          <cell r="C203" t="str">
            <v>灯具カバーPC IN 2110　L=1815</v>
          </cell>
          <cell r="I203">
            <v>0</v>
          </cell>
          <cell r="J203">
            <v>0</v>
          </cell>
          <cell r="K203">
            <v>0</v>
          </cell>
          <cell r="O203">
            <v>0</v>
          </cell>
          <cell r="T203" t="str">
            <v>000000000006742-1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000000000006742-1</v>
          </cell>
        </row>
        <row r="205">
          <cell r="C205">
            <v>80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000000000006742-1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000000000006742-1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000000000006742-1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000000000006742-1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持出端材</v>
          </cell>
          <cell r="T209" t="str">
            <v>000000000006742-1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P210">
            <v>0</v>
          </cell>
          <cell r="T210" t="str">
            <v>000000000006742-1</v>
          </cell>
        </row>
        <row r="211">
          <cell r="C211" t="str">
            <v>灯具カバーPC IN 2100　L=1923</v>
          </cell>
          <cell r="I211">
            <v>0</v>
          </cell>
          <cell r="J211">
            <v>0</v>
          </cell>
          <cell r="K211">
            <v>0</v>
          </cell>
          <cell r="O211">
            <v>0</v>
          </cell>
          <cell r="T211" t="str">
            <v>000000000006737-1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000000000006737-1</v>
          </cell>
        </row>
        <row r="213">
          <cell r="C213">
            <v>96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000000000006737-1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000000000006737-1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000000000006737-1</v>
          </cell>
        </row>
        <row r="216">
          <cell r="C216" t="str">
            <v>灯具-2　L＝1996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000000000006737-1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持出端材</v>
          </cell>
          <cell r="T217" t="str">
            <v>000000000006737-1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P218">
            <v>0</v>
          </cell>
          <cell r="T218" t="str">
            <v>000000000006737-1</v>
          </cell>
        </row>
        <row r="219">
          <cell r="C219" t="str">
            <v>灯具カバーPC IN 2100　L=1923</v>
          </cell>
          <cell r="I219">
            <v>0</v>
          </cell>
          <cell r="J219">
            <v>0</v>
          </cell>
          <cell r="K219">
            <v>0</v>
          </cell>
          <cell r="O219">
            <v>0</v>
          </cell>
          <cell r="T219" t="str">
            <v>000000000006737-2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000000000006737-2</v>
          </cell>
        </row>
        <row r="221">
          <cell r="C221">
            <v>96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000000000006737-2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000000000006737-2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000000000006737-2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000000000006737-2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持出端材</v>
          </cell>
          <cell r="T225" t="str">
            <v>000000000006737-2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P226">
            <v>0</v>
          </cell>
          <cell r="T226" t="str">
            <v>000000000006737-2</v>
          </cell>
        </row>
        <row r="227">
          <cell r="C227" t="str">
            <v>灯具カバーPC IN 2130　L=908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000000000006738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000000000006738</v>
          </cell>
        </row>
        <row r="229">
          <cell r="C229">
            <v>192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000000000006738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000000000006738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000000000006738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000000000006738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持出端材</v>
          </cell>
          <cell r="T233" t="str">
            <v>000000000006738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000000000006738</v>
          </cell>
        </row>
        <row r="235">
          <cell r="C235" t="str">
            <v>灯具カバーPC IN 2480　L=954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000000000006740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000000000006740</v>
          </cell>
        </row>
        <row r="237">
          <cell r="C237">
            <v>96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000000000006740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000000000006740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000000000006740</v>
          </cell>
        </row>
        <row r="240">
          <cell r="C240" t="str">
            <v>灯具-1　L=1370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000000000006740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000000000006740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000000000006740</v>
          </cell>
        </row>
        <row r="243">
          <cell r="C243" t="str">
            <v>灯具カバーPC IN 2460　L=1291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000000000006739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000000000006739</v>
          </cell>
        </row>
        <row r="245">
          <cell r="C245">
            <v>96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000000000006739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000000000006739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000000000006739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000000000006739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000000000006739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000000000006739</v>
          </cell>
        </row>
        <row r="251">
          <cell r="C251" t="str">
            <v>灯具カバーPC IN 2050　L=1183.5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000000000006733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000000000006733</v>
          </cell>
        </row>
        <row r="253">
          <cell r="C253">
            <v>196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000000000006733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000000000006733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000000000006733</v>
          </cell>
        </row>
        <row r="256">
          <cell r="C256" t="str">
            <v>灯具-1　L=1370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000000000006733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000000000006733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000000000006733</v>
          </cell>
        </row>
        <row r="259">
          <cell r="C259" t="str">
            <v>灯具カバーPC IN 2490　L=1264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000000000006741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000000000006741</v>
          </cell>
        </row>
        <row r="261">
          <cell r="C261">
            <v>96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000000000006741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000000000006741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000000000006741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000000000006741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000000000006741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000000000006741</v>
          </cell>
        </row>
        <row r="267">
          <cell r="C267" t="str">
            <v>灯具カバーPC IN 2110　L=1815</v>
          </cell>
          <cell r="I267">
            <v>0</v>
          </cell>
          <cell r="J267">
            <v>0</v>
          </cell>
          <cell r="K267">
            <v>0</v>
          </cell>
          <cell r="O267">
            <v>0</v>
          </cell>
          <cell r="T267" t="str">
            <v>000000000006742-2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000000000006742-2</v>
          </cell>
        </row>
        <row r="269">
          <cell r="C269">
            <v>320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000000000006742-2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000000000006742-2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000000000006742-2</v>
          </cell>
        </row>
        <row r="272">
          <cell r="C272" t="str">
            <v>灯具-2　L＝1996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000000000006742-2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持出端材</v>
          </cell>
          <cell r="T273" t="str">
            <v>000000000006742-2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P274">
            <v>0</v>
          </cell>
          <cell r="T274" t="str">
            <v>000000000006742-2</v>
          </cell>
        </row>
        <row r="275">
          <cell r="C275">
            <v>45924</v>
          </cell>
          <cell r="I275">
            <v>0</v>
          </cell>
          <cell r="J275" t="e">
            <v>#DIV/0!</v>
          </cell>
          <cell r="K275" t="e">
            <v>#DIV/0!</v>
          </cell>
          <cell r="O275">
            <v>0</v>
          </cell>
          <cell r="T275" t="str">
            <v/>
          </cell>
        </row>
        <row r="276">
          <cell r="G276" t="str">
            <v/>
          </cell>
          <cell r="I276" t="str">
            <v/>
          </cell>
          <cell r="K276" t="e">
            <v>#DIV/0!</v>
          </cell>
          <cell r="O276" t="e">
            <v>#DIV/0!</v>
          </cell>
          <cell r="T276" t="str">
            <v/>
          </cell>
        </row>
        <row r="277">
          <cell r="C277" t="str">
            <v>-</v>
          </cell>
          <cell r="G277" t="str">
            <v/>
          </cell>
          <cell r="K277" t="e">
            <v>#DIV/0!</v>
          </cell>
          <cell r="O277" t="str">
            <v/>
          </cell>
          <cell r="T277" t="str">
            <v/>
          </cell>
        </row>
        <row r="278">
          <cell r="G278" t="str">
            <v/>
          </cell>
          <cell r="K278" t="e">
            <v>#DIV/0!</v>
          </cell>
          <cell r="O278" t="str">
            <v/>
          </cell>
          <cell r="T278" t="str">
            <v/>
          </cell>
        </row>
        <row r="279">
          <cell r="G279" t="str">
            <v/>
          </cell>
          <cell r="K279" t="e">
            <v>#DIV/0!</v>
          </cell>
          <cell r="O279">
            <v>0</v>
          </cell>
          <cell r="T279" t="str">
            <v/>
          </cell>
        </row>
        <row r="280">
          <cell r="G280" t="str">
            <v/>
          </cell>
          <cell r="K280" t="e">
            <v>#DIV/0!</v>
          </cell>
          <cell r="L280" t="str">
            <v>旧品加工</v>
          </cell>
          <cell r="O280" t="e">
            <v>#DIV/0!</v>
          </cell>
          <cell r="T280" t="str">
            <v/>
          </cell>
        </row>
        <row r="281">
          <cell r="C281" t="e">
            <v>#N/A</v>
          </cell>
          <cell r="G281" t="str">
            <v/>
          </cell>
          <cell r="K281" t="e">
            <v>#DIV/0!</v>
          </cell>
          <cell r="L281" t="str">
            <v>持出端材</v>
          </cell>
          <cell r="T281" t="str">
            <v/>
          </cell>
        </row>
        <row r="282">
          <cell r="G282" t="str">
            <v/>
          </cell>
          <cell r="K282" t="e">
            <v>#DIV/0!</v>
          </cell>
          <cell r="L282" t="str">
            <v>α端材</v>
          </cell>
          <cell r="M282" t="e">
            <v>#DIV/0!</v>
          </cell>
          <cell r="P282">
            <v>0</v>
          </cell>
          <cell r="T282" t="str">
            <v/>
          </cell>
        </row>
        <row r="283">
          <cell r="C283" t="str">
            <v>8FL281304 4810　L=297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000000000007052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000000000007052</v>
          </cell>
        </row>
        <row r="285">
          <cell r="C285">
            <v>300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000000000007052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000000000007052</v>
          </cell>
        </row>
        <row r="287">
          <cell r="C287">
            <v>6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000000000007052</v>
          </cell>
        </row>
        <row r="288">
          <cell r="C288" t="str">
            <v>LED-A300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000000000007052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000000000007052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000000000007052</v>
          </cell>
        </row>
        <row r="291">
          <cell r="C291" t="str">
            <v>8FL281304 4910　L=592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000000000007054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000000000007054</v>
          </cell>
        </row>
        <row r="293">
          <cell r="C293">
            <v>300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000000000007054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000000000007054</v>
          </cell>
        </row>
        <row r="295">
          <cell r="C295">
            <v>3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000000000007054</v>
          </cell>
        </row>
        <row r="296">
          <cell r="C296" t="str">
            <v>LED-A592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000000000007054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000000000007054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000000000007054</v>
          </cell>
        </row>
        <row r="299">
          <cell r="C299" t="str">
            <v>8FL281304 5010　L=888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000000000007060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000000000007060</v>
          </cell>
        </row>
        <row r="301">
          <cell r="C301">
            <v>3000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000000000007060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000000000007060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000000000007060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000000000007060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000000000007060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000000000007060</v>
          </cell>
        </row>
        <row r="307">
          <cell r="C307" t="str">
            <v>8FL281304 8310　L=748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000000000007285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000000000007285</v>
          </cell>
        </row>
        <row r="309">
          <cell r="C309">
            <v>200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000000000007285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000000000007285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000000000007285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000000000007285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000000000007285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000000000007285</v>
          </cell>
        </row>
        <row r="315">
          <cell r="C315" t="str">
            <v>8FL281304 8310　L=748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000000000007056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000000000007056</v>
          </cell>
        </row>
        <row r="317">
          <cell r="C317">
            <v>200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000000000007056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000000000007056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000000000007056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000000000007056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000000000007056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000000000007056</v>
          </cell>
        </row>
        <row r="323">
          <cell r="C323" t="str">
            <v>8FL281304 4810　L=297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000000000007053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000000000007053</v>
          </cell>
        </row>
        <row r="325">
          <cell r="C325">
            <v>300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000000000007053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000000000007053</v>
          </cell>
        </row>
        <row r="327">
          <cell r="C327">
            <v>6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000000000007053</v>
          </cell>
        </row>
        <row r="328">
          <cell r="C328" t="str">
            <v>LED-A300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000000000007053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000000000007053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000000000007053</v>
          </cell>
        </row>
        <row r="331">
          <cell r="C331" t="str">
            <v>8FL281304 4910　L=592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000000000007055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000000000007055</v>
          </cell>
        </row>
        <row r="333">
          <cell r="C333">
            <v>300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000000000007055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000000000007055</v>
          </cell>
        </row>
        <row r="335">
          <cell r="C335">
            <v>3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000000000007055</v>
          </cell>
        </row>
        <row r="336">
          <cell r="C336" t="str">
            <v>LED-A592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000000000007055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000000000007055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000000000007055</v>
          </cell>
        </row>
        <row r="339">
          <cell r="C339" t="str">
            <v>8FL281304 5010　L=888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000000000007061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000000000007061</v>
          </cell>
        </row>
        <row r="341">
          <cell r="C341">
            <v>3000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000000000007061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000000000007061</v>
          </cell>
        </row>
        <row r="343">
          <cell r="C343">
            <v>2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000000000007061</v>
          </cell>
        </row>
        <row r="344">
          <cell r="C344" t="str">
            <v>LED-A888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000000000007061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000000000007061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000000000007061</v>
          </cell>
        </row>
        <row r="347">
          <cell r="C347" t="str">
            <v>8FL281304 6110　L=1478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000000000007059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000000000007059</v>
          </cell>
        </row>
        <row r="349">
          <cell r="C349">
            <v>600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000000000007059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000000000007059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000000000007059</v>
          </cell>
        </row>
        <row r="352">
          <cell r="C352" t="str">
            <v>LED-A1478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000000000007059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000000000007059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000000000007059</v>
          </cell>
        </row>
        <row r="355">
          <cell r="C355" t="str">
            <v>8FL281304 8310　L=748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000000000007057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000000000007057</v>
          </cell>
        </row>
        <row r="357">
          <cell r="C357">
            <v>200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000000000007057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000000000007057</v>
          </cell>
        </row>
        <row r="359">
          <cell r="C359">
            <v>2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000000000007057</v>
          </cell>
        </row>
        <row r="360">
          <cell r="C360" t="str">
            <v>LED-A888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000000000007057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000000000007057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000000000007057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000000000007058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000000000007058</v>
          </cell>
        </row>
        <row r="365">
          <cell r="C365">
            <v>900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000000000007058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000000000007058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000000000007058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000000000007058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000000000007058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000000000007058</v>
          </cell>
        </row>
        <row r="371">
          <cell r="C371" t="str">
            <v>8FL281304 5010　L=888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000000000007286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000000000007286</v>
          </cell>
        </row>
        <row r="373">
          <cell r="C373">
            <v>100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000000000007286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000000000007286</v>
          </cell>
        </row>
        <row r="375">
          <cell r="C375">
            <v>2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000000000007286</v>
          </cell>
        </row>
        <row r="376">
          <cell r="C376" t="str">
            <v>LED-A888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000000000007286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000000000007286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000000000007286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000000000007287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000000000007287</v>
          </cell>
        </row>
        <row r="381">
          <cell r="C381">
            <v>1000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000000000007287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000000000007287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000000000007287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000000000007287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000000000007287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000000000007287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000000000007288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000000000007288</v>
          </cell>
        </row>
        <row r="389">
          <cell r="C389">
            <v>400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000000000007288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000000000007288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000000000007288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000000000007288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000000000007288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000000000007288</v>
          </cell>
        </row>
        <row r="395">
          <cell r="C395" t="str">
            <v>8FL281304 4910　L=592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000000000007284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000000000007284</v>
          </cell>
        </row>
        <row r="397">
          <cell r="C397">
            <v>400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000000000007284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000000000007284</v>
          </cell>
        </row>
        <row r="399">
          <cell r="C399">
            <v>3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000000000007284</v>
          </cell>
        </row>
        <row r="400">
          <cell r="C400" t="str">
            <v>LED-A592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000000000007284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000000000007284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000000000007284</v>
          </cell>
        </row>
        <row r="403">
          <cell r="C403" t="str">
            <v>8FL281304 8110　L=444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000000000007283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000000000007283</v>
          </cell>
        </row>
        <row r="405">
          <cell r="C405">
            <v>100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000000000007283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000000000007283</v>
          </cell>
        </row>
        <row r="407">
          <cell r="C407">
            <v>4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000000000007283</v>
          </cell>
        </row>
        <row r="408">
          <cell r="C408" t="str">
            <v>LED-A444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000000000007283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000000000007283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000000000007283</v>
          </cell>
        </row>
        <row r="411">
          <cell r="C411" t="str">
            <v>8FL281304 4810　L=297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000000000007281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000000000007281</v>
          </cell>
        </row>
        <row r="413">
          <cell r="C413">
            <v>200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000000000007281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000000000007281</v>
          </cell>
        </row>
        <row r="415">
          <cell r="C415">
            <v>6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000000000007281</v>
          </cell>
        </row>
        <row r="416">
          <cell r="C416" t="str">
            <v>LED-A300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000000000007281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000000000007281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000000000007281</v>
          </cell>
        </row>
        <row r="419">
          <cell r="C419" t="str">
            <v>8FL281304 6110　L=1478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000000000007290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000000000007290</v>
          </cell>
        </row>
        <row r="421">
          <cell r="C421">
            <v>1300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000000000007290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000000000007290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000000000007290</v>
          </cell>
        </row>
        <row r="424">
          <cell r="C424" t="str">
            <v>LED-A1478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000000000007290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000000000007290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000000000007290</v>
          </cell>
        </row>
        <row r="427">
          <cell r="C427" t="str">
            <v>8FL281304 4810　L=297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000000000007282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000000000007282</v>
          </cell>
        </row>
        <row r="429">
          <cell r="C429">
            <v>300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000000000007282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000000000007282</v>
          </cell>
        </row>
        <row r="431">
          <cell r="C431">
            <v>6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000000000007282</v>
          </cell>
        </row>
        <row r="432">
          <cell r="C432" t="str">
            <v>LED-A300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000000000007282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000000000007282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000000000007282</v>
          </cell>
        </row>
        <row r="435">
          <cell r="C435" t="str">
            <v>8FL281304 5010　L=888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000000000007289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000000000007289</v>
          </cell>
        </row>
        <row r="437">
          <cell r="C437">
            <v>2000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000000000007289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000000000007289</v>
          </cell>
        </row>
        <row r="439">
          <cell r="C439">
            <v>2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000000000007289</v>
          </cell>
        </row>
        <row r="440">
          <cell r="C440" t="str">
            <v>LED-A888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000000000007289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000000000007289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000000000007289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topLeftCell="A23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9" t="s">
        <v>0</v>
      </c>
      <c r="C1" s="103"/>
      <c r="D1" s="103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3"/>
      <c r="C2" s="103"/>
      <c r="D2" s="103"/>
      <c r="E2" s="12"/>
      <c r="F2" s="12"/>
      <c r="G2" s="12"/>
      <c r="H2" s="12"/>
      <c r="I2" s="12"/>
      <c r="J2" s="12"/>
    </row>
    <row r="3" spans="1:10" ht="14.25" customHeight="1">
      <c r="A3" s="139" t="s">
        <v>1</v>
      </c>
      <c r="B3" s="139" t="s">
        <v>2</v>
      </c>
      <c r="C3" s="139" t="s">
        <v>3</v>
      </c>
      <c r="D3" s="130">
        <v>748</v>
      </c>
      <c r="E3" s="139" t="s">
        <v>4</v>
      </c>
      <c r="F3" s="164" t="s">
        <v>5</v>
      </c>
      <c r="G3" s="103"/>
      <c r="H3" s="158"/>
      <c r="I3" s="13" t="s">
        <v>6</v>
      </c>
      <c r="J3" s="13" t="s">
        <v>7</v>
      </c>
    </row>
    <row r="4" spans="1:10" ht="14.25" customHeight="1">
      <c r="A4" s="103"/>
      <c r="B4" s="103"/>
      <c r="C4" s="103"/>
      <c r="D4" s="103"/>
      <c r="E4" s="103"/>
      <c r="F4" s="103"/>
      <c r="G4" s="103"/>
      <c r="H4" s="158"/>
      <c r="I4" s="142"/>
      <c r="J4" s="142"/>
    </row>
    <row r="5" spans="1:10" ht="17.45" customHeight="1">
      <c r="A5" s="102" t="s">
        <v>8</v>
      </c>
      <c r="B5" s="102" t="s">
        <v>9</v>
      </c>
      <c r="E5" s="102" t="s">
        <v>10</v>
      </c>
      <c r="F5" s="160" t="s">
        <v>11</v>
      </c>
      <c r="G5" s="103"/>
      <c r="H5" s="158"/>
      <c r="I5" s="143"/>
      <c r="J5" s="143"/>
    </row>
    <row r="6" spans="1:10" ht="17.45" customHeight="1">
      <c r="A6" s="103"/>
      <c r="B6" s="103"/>
      <c r="E6" s="103"/>
      <c r="F6" s="103"/>
      <c r="G6" s="103"/>
      <c r="H6" s="158"/>
      <c r="I6" s="14"/>
      <c r="J6" s="14"/>
    </row>
    <row r="7" spans="1:10" ht="17.45" customHeight="1">
      <c r="A7" s="102" t="s">
        <v>12</v>
      </c>
      <c r="B7" s="102" t="s">
        <v>13</v>
      </c>
      <c r="E7" s="2" t="s">
        <v>14</v>
      </c>
      <c r="F7" s="156" t="s">
        <v>15</v>
      </c>
      <c r="G7" s="103"/>
      <c r="H7" s="21"/>
    </row>
    <row r="8" spans="1:10" ht="17.45" customHeight="1">
      <c r="A8" s="103"/>
      <c r="B8" s="103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45916</v>
      </c>
      <c r="E9" s="2" t="s">
        <v>19</v>
      </c>
      <c r="F9" s="162">
        <v>100</v>
      </c>
      <c r="G9" s="103"/>
      <c r="H9" s="21"/>
    </row>
    <row r="10" spans="1:10" ht="17.45" customHeight="1">
      <c r="A10" s="2" t="s">
        <v>20</v>
      </c>
      <c r="B10" s="4">
        <v>45916</v>
      </c>
      <c r="E10" s="2" t="s">
        <v>21</v>
      </c>
      <c r="F10" s="21">
        <v>2</v>
      </c>
      <c r="G10" s="163" t="s">
        <v>22</v>
      </c>
      <c r="H10" s="147">
        <v>200</v>
      </c>
      <c r="I10" s="148"/>
      <c r="J10" s="149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50"/>
      <c r="H11" s="150"/>
      <c r="I11" s="145"/>
      <c r="J11" s="151"/>
    </row>
    <row r="12" spans="1:10" ht="13.5" customHeight="1">
      <c r="A12" s="141" t="s">
        <v>25</v>
      </c>
      <c r="B12" s="103"/>
      <c r="C12" s="103"/>
      <c r="D12" s="20"/>
      <c r="F12" s="3"/>
      <c r="G12" s="152" t="s">
        <v>26</v>
      </c>
      <c r="H12" s="161" t="s">
        <v>27</v>
      </c>
      <c r="I12" s="157" t="s">
        <v>28</v>
      </c>
      <c r="J12" s="158"/>
    </row>
    <row r="13" spans="1:10" ht="13.5" customHeight="1">
      <c r="A13" s="103"/>
      <c r="B13" s="103"/>
      <c r="C13" s="103"/>
      <c r="D13" s="20"/>
      <c r="F13" s="3"/>
      <c r="G13" s="153"/>
      <c r="H13" s="153"/>
      <c r="I13" s="145"/>
      <c r="J13" s="151"/>
    </row>
    <row r="14" spans="1:10" ht="13.5" customHeight="1">
      <c r="A14" s="1" t="s">
        <v>29</v>
      </c>
    </row>
    <row r="15" spans="1:10" ht="63" customHeight="1" thickBot="1">
      <c r="A15" s="154"/>
      <c r="B15" s="155"/>
      <c r="C15" s="155"/>
      <c r="D15" s="155"/>
      <c r="E15" s="155"/>
      <c r="F15" s="155"/>
      <c r="G15" s="155"/>
      <c r="H15" s="155"/>
      <c r="I15" s="155"/>
      <c r="J15" s="155"/>
    </row>
    <row r="16" spans="1:10" ht="18.75">
      <c r="A16" s="23" t="s">
        <v>30</v>
      </c>
      <c r="B16" s="16" t="s">
        <v>31</v>
      </c>
      <c r="C16" s="107" t="s">
        <v>32</v>
      </c>
      <c r="D16" s="108"/>
      <c r="E16" s="16" t="s">
        <v>33</v>
      </c>
      <c r="F16" s="107" t="s">
        <v>34</v>
      </c>
      <c r="G16" s="108"/>
      <c r="H16" s="108"/>
      <c r="I16" s="146" t="s">
        <v>35</v>
      </c>
      <c r="J16" s="10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04" t="s">
        <v>37</v>
      </c>
      <c r="D18" s="105"/>
      <c r="E18" s="24" t="s">
        <v>38</v>
      </c>
      <c r="F18" s="104" t="s">
        <v>39</v>
      </c>
      <c r="G18" s="105"/>
      <c r="H18" s="105"/>
      <c r="I18" s="129"/>
      <c r="J18" s="105"/>
    </row>
    <row r="19" spans="1:10" s="7" customFormat="1" ht="16.5" customHeight="1">
      <c r="A19" s="22">
        <v>1</v>
      </c>
      <c r="B19" s="25" t="s">
        <v>36</v>
      </c>
      <c r="C19" s="104" t="s">
        <v>37</v>
      </c>
      <c r="D19" s="105"/>
      <c r="E19" s="24" t="s">
        <v>40</v>
      </c>
      <c r="F19" s="104" t="s">
        <v>41</v>
      </c>
      <c r="G19" s="105"/>
      <c r="H19" s="105"/>
      <c r="I19" s="129"/>
      <c r="J19" s="105"/>
    </row>
    <row r="20" spans="1:10" s="7" customFormat="1" ht="16.5" customHeight="1">
      <c r="A20" s="22"/>
      <c r="B20" s="25"/>
      <c r="C20" s="104"/>
      <c r="D20" s="105"/>
      <c r="E20" s="24"/>
      <c r="F20" s="104"/>
      <c r="G20" s="105"/>
      <c r="H20" s="105"/>
      <c r="I20" s="129"/>
      <c r="J20" s="105"/>
    </row>
    <row r="21" spans="1:10" s="7" customFormat="1" ht="16.5" customHeight="1">
      <c r="A21" s="22"/>
      <c r="B21" s="25"/>
      <c r="C21" s="104"/>
      <c r="D21" s="105"/>
      <c r="E21" s="24"/>
      <c r="F21" s="104"/>
      <c r="G21" s="105"/>
      <c r="H21" s="105"/>
      <c r="I21" s="129"/>
      <c r="J21" s="105"/>
    </row>
    <row r="22" spans="1:10" s="7" customFormat="1" ht="16.5" customHeight="1">
      <c r="A22" s="22"/>
      <c r="B22" s="25"/>
      <c r="C22" s="104"/>
      <c r="D22" s="105"/>
      <c r="E22" s="24"/>
      <c r="F22" s="104"/>
      <c r="G22" s="105"/>
      <c r="H22" s="105"/>
      <c r="I22" s="129"/>
      <c r="J22" s="105"/>
    </row>
    <row r="23" spans="1:10" s="7" customFormat="1" ht="16.5" customHeight="1">
      <c r="A23" s="22"/>
      <c r="B23" s="25"/>
      <c r="C23" s="104"/>
      <c r="D23" s="105"/>
      <c r="E23" s="24"/>
      <c r="F23" s="104"/>
      <c r="G23" s="105"/>
      <c r="H23" s="105"/>
      <c r="I23" s="129"/>
      <c r="J23" s="105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44" t="s">
        <v>47</v>
      </c>
      <c r="D26" s="145"/>
      <c r="E26" s="18"/>
      <c r="F26" s="144" t="s">
        <v>29</v>
      </c>
      <c r="G26" s="145"/>
      <c r="H26" s="145"/>
      <c r="I26" s="145"/>
      <c r="J26" s="145"/>
    </row>
    <row r="27" spans="1:10">
      <c r="A27" s="9"/>
      <c r="C27" s="7"/>
      <c r="D27" s="7"/>
      <c r="E27" s="7"/>
    </row>
    <row r="28" spans="1:10" s="5" customFormat="1" ht="14.25" customHeight="1">
      <c r="A28" s="104" t="s">
        <v>48</v>
      </c>
      <c r="B28" s="140"/>
      <c r="C28" s="104" t="s">
        <v>49</v>
      </c>
      <c r="D28" s="140"/>
      <c r="E28" s="140"/>
      <c r="F28" s="26" t="s">
        <v>50</v>
      </c>
      <c r="G28" s="128">
        <v>100</v>
      </c>
      <c r="H28" s="140"/>
      <c r="I28" s="128">
        <v>1</v>
      </c>
      <c r="J28" s="140"/>
    </row>
    <row r="29" spans="1:10" s="7" customFormat="1" ht="24.95" customHeight="1">
      <c r="A29" s="106" t="s">
        <v>51</v>
      </c>
      <c r="B29" s="105"/>
      <c r="C29" s="104"/>
      <c r="D29" s="105"/>
      <c r="E29" s="105"/>
      <c r="F29" s="104"/>
      <c r="G29" s="105"/>
      <c r="H29" s="105"/>
      <c r="I29" s="105"/>
      <c r="J29" s="105"/>
    </row>
    <row r="30" spans="1:10" s="5" customFormat="1" ht="14.25" customHeight="1">
      <c r="A30" s="104" t="s">
        <v>52</v>
      </c>
      <c r="B30" s="140"/>
      <c r="C30" s="104" t="s">
        <v>53</v>
      </c>
      <c r="D30" s="140"/>
      <c r="E30" s="140"/>
      <c r="F30" s="26" t="s">
        <v>36</v>
      </c>
      <c r="G30" s="128">
        <v>2</v>
      </c>
      <c r="H30" s="140"/>
      <c r="I30" s="128">
        <v>0.02</v>
      </c>
      <c r="J30" s="140"/>
    </row>
    <row r="31" spans="1:10" s="7" customFormat="1" ht="24.95" customHeight="1">
      <c r="A31" s="106" t="s">
        <v>54</v>
      </c>
      <c r="B31" s="105"/>
      <c r="C31" s="104" t="s">
        <v>55</v>
      </c>
      <c r="D31" s="105"/>
      <c r="E31" s="105"/>
      <c r="F31" s="104"/>
      <c r="G31" s="105"/>
      <c r="H31" s="105"/>
      <c r="I31" s="105"/>
      <c r="J31" s="105"/>
    </row>
    <row r="32" spans="1:10" s="5" customFormat="1" ht="14.25" customHeight="1">
      <c r="A32" s="104" t="s">
        <v>56</v>
      </c>
      <c r="B32" s="140"/>
      <c r="C32" s="104" t="s">
        <v>57</v>
      </c>
      <c r="D32" s="140"/>
      <c r="E32" s="140"/>
      <c r="F32" s="26"/>
      <c r="G32" s="128">
        <v>0.2</v>
      </c>
      <c r="H32" s="140"/>
      <c r="I32" s="128">
        <v>2E-3</v>
      </c>
      <c r="J32" s="140"/>
    </row>
    <row r="33" spans="1:14" s="7" customFormat="1" ht="24.95" customHeight="1">
      <c r="A33" s="106" t="s">
        <v>58</v>
      </c>
      <c r="B33" s="105"/>
      <c r="C33" s="104" t="s">
        <v>59</v>
      </c>
      <c r="D33" s="105"/>
      <c r="E33" s="105"/>
      <c r="F33" s="104"/>
      <c r="G33" s="105"/>
      <c r="H33" s="105"/>
      <c r="I33" s="105"/>
      <c r="J33" s="105"/>
    </row>
    <row r="34" spans="1:14" s="5" customFormat="1" ht="14.25" customHeight="1">
      <c r="A34" s="104" t="s">
        <v>60</v>
      </c>
      <c r="B34" s="140"/>
      <c r="C34" s="104" t="s">
        <v>61</v>
      </c>
      <c r="D34" s="140"/>
      <c r="E34" s="140"/>
      <c r="F34" s="26"/>
      <c r="G34" s="128">
        <v>0.2</v>
      </c>
      <c r="H34" s="140"/>
      <c r="I34" s="128">
        <v>2E-3</v>
      </c>
      <c r="J34" s="140"/>
    </row>
    <row r="35" spans="1:14" s="7" customFormat="1" ht="24.95" customHeight="1">
      <c r="A35" s="106" t="s">
        <v>62</v>
      </c>
      <c r="B35" s="105"/>
      <c r="C35" s="104" t="s">
        <v>63</v>
      </c>
      <c r="D35" s="105"/>
      <c r="E35" s="105"/>
      <c r="F35" s="104"/>
      <c r="G35" s="105"/>
      <c r="H35" s="105"/>
      <c r="I35" s="105"/>
      <c r="J35" s="105"/>
    </row>
    <row r="36" spans="1:14" s="5" customFormat="1" ht="14.25" customHeight="1">
      <c r="A36" s="104"/>
      <c r="B36" s="140"/>
      <c r="C36" s="104"/>
      <c r="D36" s="140"/>
      <c r="E36" s="140"/>
      <c r="F36" s="26"/>
      <c r="G36" s="128"/>
      <c r="H36" s="140"/>
      <c r="I36" s="128"/>
      <c r="J36" s="140"/>
    </row>
    <row r="37" spans="1:14" s="7" customFormat="1" ht="24.95" customHeight="1" thickBot="1">
      <c r="A37" s="106"/>
      <c r="B37" s="105"/>
      <c r="C37" s="104"/>
      <c r="D37" s="105"/>
      <c r="E37" s="105"/>
      <c r="F37" s="104"/>
      <c r="G37" s="105"/>
      <c r="H37" s="105"/>
      <c r="I37" s="105"/>
      <c r="J37" s="105"/>
    </row>
    <row r="38" spans="1:14" s="5" customFormat="1" ht="18" customHeight="1">
      <c r="A38" s="109" t="s">
        <v>73</v>
      </c>
      <c r="B38" s="110"/>
      <c r="C38" s="110"/>
      <c r="D38" s="110"/>
      <c r="E38" s="111" t="s">
        <v>74</v>
      </c>
      <c r="F38" s="112"/>
      <c r="G38" s="27" t="s">
        <v>75</v>
      </c>
      <c r="H38" s="113" t="s">
        <v>76</v>
      </c>
      <c r="I38" s="114"/>
      <c r="J38" s="28" t="s">
        <v>77</v>
      </c>
    </row>
    <row r="39" spans="1:14" s="7" customFormat="1" ht="18" customHeight="1">
      <c r="A39" s="115" t="str">
        <f>_xlfn.XLOOKUP(B3,[1]VFDB2!A:A,[1]VFDB2!A:A)</f>
        <v>J1JAZZB10807480</v>
      </c>
      <c r="B39" s="116"/>
      <c r="C39" s="116"/>
      <c r="D39" s="116"/>
      <c r="E39" s="96" t="str" cm="1">
        <f t="array" ref="E39">IFERROR(IF(ISBLANK(INDEX(_xlfn._xlws.FILTER([1]加工記録２!$C$3:$C$100000, [1]加工記録２!$T$3:$T$100000=B5), 6)), "", INDEX(_xlfn._xlws.FILTER([1]加工記録２!$C$3:$C$100000, [1]加工記録２!$T$3:$T$100000=B5), 6)),"")</f>
        <v>LED-A888</v>
      </c>
      <c r="F39" s="97"/>
      <c r="G39" s="119" cm="1">
        <f t="array" ref="G39">IFERROR(IF(ISBLANK(INDEX(_xlfn._xlws.FILTER([1]加工記録２!$C$3:$C$100000, [1]加工記録２!$T$3:$T$100000=B5), 7)), " ", INDEX(_xlfn._xlws.FILTER([1]加工記録２!$C$3:$C$100000, [1]加工記録２!$T$3:$T$100000=B5), 7))," ")</f>
        <v>2</v>
      </c>
      <c r="H39" s="29" t="s">
        <v>78</v>
      </c>
      <c r="I39" s="30" cm="1">
        <f t="array" ref="I39:J39">IFERROR(IF(ISBLANK(INDEX(_xlfn._xlws.FILTER([1]加工記録２!$O$3:$P$100000, [1]加工記録２!$T$3:$T$100000=B5), 1)), "", INDEX(_xlfn._xlws.FILTER([1]加工記録２!$O$3:$P$100000, [1]加工記録２!$T$3:$T$100000=B5), 1)),"")</f>
        <v>45911</v>
      </c>
      <c r="J39" s="31" t="str">
        <v/>
      </c>
    </row>
    <row r="40" spans="1:14" s="5" customFormat="1" ht="18" customHeight="1">
      <c r="A40" s="117"/>
      <c r="B40" s="118"/>
      <c r="C40" s="118"/>
      <c r="D40" s="118"/>
      <c r="E40" s="96"/>
      <c r="F40" s="97"/>
      <c r="G40" s="119"/>
      <c r="H40" s="29" t="s">
        <v>79</v>
      </c>
      <c r="I40" s="32" cm="1">
        <f t="array" ref="I40:J40">IFERROR(IF(ISBLANK(INDEX(_xlfn._xlws.FILTER([1]加工記録２!$O$3:$P$100000, [1]加工記録２!$T$3:$T$100000=B5), 2)), "", INDEX(_xlfn._xlws.FILTER([1]加工記録２!$O$3:$P$100000, [1]加工記録２!$T$3:$T$100000=B5), 2)),"")</f>
        <v>200</v>
      </c>
      <c r="J40" s="33" t="str">
        <v/>
      </c>
      <c r="K40" s="34"/>
    </row>
    <row r="41" spans="1:14" s="7" customFormat="1" ht="18" customHeight="1">
      <c r="A41" s="88" t="s">
        <v>80</v>
      </c>
      <c r="B41" s="133" t="str">
        <f>_xlfn.XLOOKUP(B3,[1]VFDB2!A:A,[1]VFDB2!J:J)</f>
        <v>〇</v>
      </c>
      <c r="C41" s="135" t="s">
        <v>81</v>
      </c>
      <c r="D41" s="137">
        <f>_xlfn.XLOOKUP(B3,[1]VFDB2!A:A,[1]VFDB2!P:P)</f>
        <v>2</v>
      </c>
      <c r="E41" s="96" t="str">
        <f>_xlfn.XLOOKUP(B3,[1]VFDB2!A:A,[1]VFDB2!V:V)</f>
        <v>1箱目の梱包数 目視確認　以降、重量測定</v>
      </c>
      <c r="F41" s="97"/>
      <c r="G41" s="98"/>
      <c r="H41" s="35" t="s">
        <v>82</v>
      </c>
      <c r="I41" s="32" cm="1">
        <f t="array" ref="I41:J41">IFERROR(IF(ISBLANK(INDEX(_xlfn._xlws.FILTER([1]加工記録２!$O$3:$P$100000, [1]加工記録２!$T$3:$T$100000=B5), 3)), "", INDEX(_xlfn._xlws.FILTER([1]加工記録２!$O$3:$P$100000, [1]加工記録２!$T$3:$T$100000=B5), 3)),"")</f>
        <v>100</v>
      </c>
      <c r="J41" s="36" t="str">
        <v/>
      </c>
      <c r="K41" s="37"/>
    </row>
    <row r="42" spans="1:14" s="5" customFormat="1" ht="18" customHeight="1">
      <c r="A42" s="120"/>
      <c r="B42" s="134"/>
      <c r="C42" s="136"/>
      <c r="D42" s="138"/>
      <c r="E42" s="96"/>
      <c r="F42" s="97"/>
      <c r="G42" s="98"/>
      <c r="H42" s="35" t="s">
        <v>83</v>
      </c>
      <c r="I42" s="32" cm="1">
        <f t="array" ref="I42:J42">IFERROR(IF(ISBLANK(INDEX(_xlfn._xlws.FILTER([1]加工記録２!$O$3:$P$100000, [1]加工記録２!$T$3:$T$100000=B5), 4)), "", INDEX(_xlfn._xlws.FILTER([1]加工記録２!$O$3:$P$100000, [1]加工記録２!$T$3:$T$100000=B5), 4)),"")</f>
        <v>0</v>
      </c>
      <c r="J42" s="38" t="str">
        <v/>
      </c>
      <c r="K42" s="34"/>
    </row>
    <row r="43" spans="1:14" s="7" customFormat="1" ht="18" customHeight="1">
      <c r="A43" s="121" t="s">
        <v>84</v>
      </c>
      <c r="B43" s="123">
        <f>D3</f>
        <v>748</v>
      </c>
      <c r="C43" s="125" t="s">
        <v>85</v>
      </c>
      <c r="D43" s="94" t="str">
        <f>_xlfn.XLOOKUP(B3,[1]VFDB2!A:A,[1]VFDB2!L:L)</f>
        <v>+0.5</v>
      </c>
      <c r="E43" s="96" t="str">
        <f>_xlfn.XLOOKUP(B3,[1]VFDB2!A:A,[1]VFDB2!W:W)</f>
        <v>L=888用　クラフト紙</v>
      </c>
      <c r="F43" s="97"/>
      <c r="G43" s="98"/>
      <c r="H43" s="35" t="s">
        <v>86</v>
      </c>
      <c r="I43" s="32" cm="1">
        <f t="array" ref="I43:J43">IFERROR(IF(ISBLANK(INDEX(_xlfn._xlws.FILTER([1]加工記録２!$O$3:$P$100000, [1]加工記録２!$T$3:$T$100000=B5), 5)), "", INDEX(_xlfn._xlws.FILTER([1]加工記録２!$O$3:$P$100000, [1]加工記録２!$T$3:$T$100000=B5), 5)),"")</f>
        <v>0</v>
      </c>
      <c r="J43" s="39" t="str">
        <v/>
      </c>
      <c r="K43" s="37"/>
    </row>
    <row r="44" spans="1:14" s="5" customFormat="1" ht="18" customHeight="1">
      <c r="A44" s="122"/>
      <c r="B44" s="124"/>
      <c r="C44" s="126"/>
      <c r="D44" s="127"/>
      <c r="E44" s="96"/>
      <c r="F44" s="97"/>
      <c r="G44" s="98"/>
      <c r="H44" s="35" t="s">
        <v>87</v>
      </c>
      <c r="I44" s="32" cm="1">
        <f t="array" ref="I44:J44">IFERROR(IF(ISBLANK(INDEX(_xlfn._xlws.FILTER([1]加工記録２!$O$3:$P$100000, [1]加工記録２!$T$3:$T$100000=B5), 6)), "", INDEX(_xlfn._xlws.FILTER([1]加工記録２!$O$3:$P$100000, [1]加工記録２!$T$3:$T$100000=B5), 6)),"")</f>
        <v>0</v>
      </c>
      <c r="J44" s="40" t="str">
        <v/>
      </c>
      <c r="K44" s="34"/>
    </row>
    <row r="45" spans="1:14" s="7" customFormat="1" ht="18" customHeight="1">
      <c r="A45" s="88" t="s">
        <v>88</v>
      </c>
      <c r="B45" s="90" t="str">
        <f>_xlfn.XLOOKUP(B3,[1]VFDB2!A:A,[1]VFDB2!AC:AC)</f>
        <v>換算表確認</v>
      </c>
      <c r="C45" s="92" t="s">
        <v>89</v>
      </c>
      <c r="D45" s="94" t="str">
        <f>_xlfn.XLOOKUP(B3,[1]VFDB2!A:A,[1]VFDB2!K:K)</f>
        <v>－0.5</v>
      </c>
      <c r="E45" s="96" t="str">
        <f>_xlfn.XLOOKUP(B3,[1]VFDB2!A:A,[1]VFDB2!R:R)</f>
        <v>ラベル１枚　長手無　鉢巻１回</v>
      </c>
      <c r="F45" s="97"/>
      <c r="G45" s="98"/>
      <c r="H45" s="35" t="s">
        <v>90</v>
      </c>
      <c r="I45" s="32" t="str" cm="1">
        <f t="array" ref="I45:J45">IFERROR(IF(ISBLANK(INDEX(_xlfn._xlws.FILTER([1]加工記録２!$O$3:$P$100000, [1]加工記録２!$T$3:$T$100000=B5), 7)), "", INDEX(_xlfn._xlws.FILTER([1]加工記録２!$O$3:$P$100000, [1]加工記録２!$T$3:$T$100000=B5), 7)),"")</f>
        <v>C</v>
      </c>
      <c r="J45" s="41" t="str">
        <v/>
      </c>
      <c r="K45" s="37"/>
    </row>
    <row r="46" spans="1:14" s="5" customFormat="1" ht="18" customHeight="1" thickBot="1">
      <c r="A46" s="89"/>
      <c r="B46" s="91"/>
      <c r="C46" s="93"/>
      <c r="D46" s="95"/>
      <c r="E46" s="99"/>
      <c r="F46" s="100"/>
      <c r="G46" s="101"/>
      <c r="H46" s="42" t="s">
        <v>91</v>
      </c>
      <c r="I46" s="43" t="str" cm="1">
        <f t="array" ref="I46:J46">IFERROR(IF(ISBLANK(INDEX(_xlfn._xlws.FILTER([1]加工記録２!$O$3:$P$100000, [1]加工記録２!$T$3:$T$100000=B5), 8)), "", INDEX(_xlfn._xlws.FILTER([1]加工記録２!$O$3:$P$100000, [1]加工記録２!$T$3:$T$100000=B5), 8)),"")</f>
        <v>U</v>
      </c>
      <c r="J46" s="44">
        <v>0</v>
      </c>
    </row>
    <row r="47" spans="1:14" s="55" customFormat="1" ht="18.95" customHeight="1">
      <c r="A47" s="45" t="s">
        <v>92</v>
      </c>
      <c r="B47" s="46" t="s">
        <v>93</v>
      </c>
      <c r="C47" s="47" t="s">
        <v>94</v>
      </c>
      <c r="D47" s="47" t="s">
        <v>95</v>
      </c>
      <c r="E47" s="48" t="s">
        <v>96</v>
      </c>
      <c r="F47" s="49" t="s">
        <v>97</v>
      </c>
      <c r="G47" s="50" t="s">
        <v>98</v>
      </c>
      <c r="H47" s="51" t="s">
        <v>99</v>
      </c>
      <c r="I47" s="52" t="s">
        <v>100</v>
      </c>
      <c r="J47" s="53" t="s">
        <v>101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IFERROR(IF(ISBLANK(INDEX(_xlfn._xlws.FILTER([1]加工記録２!$D$3:$M$100000, [1]加工記録２!$T$3:$T$100000=B5), 1)), "", INDEX(_xlfn._xlws.FILTER([1]加工記録２!$D$3:$M$100000, [1]加工記録２!$T$3:$T$100000=B5), 1)),"")</f>
        <v>45898</v>
      </c>
      <c r="B48" s="57" t="str">
        <v>25H26-02</v>
      </c>
      <c r="C48" s="58" t="str">
        <v/>
      </c>
      <c r="D48" s="58" t="str">
        <v/>
      </c>
      <c r="E48" s="59" t="str">
        <v/>
      </c>
      <c r="F48" s="60" t="str">
        <v>25H26-02</v>
      </c>
      <c r="G48" s="61">
        <v>8</v>
      </c>
      <c r="H48" s="62">
        <v>4</v>
      </c>
      <c r="I48" s="63">
        <v>45911</v>
      </c>
      <c r="J48" s="64">
        <v>2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IFERROR(IF(ISBLANK(INDEX(_xlfn._xlws.FILTER([1]加工記録２!$D$3:$M$100000, [1]加工記録２!$T$3:$T$100000=B5), 2)), "", INDEX(_xlfn._xlws.FILTER([1]加工記録２!$D$3:$M$100000, [1]加工記録２!$T$3:$T$100000=B5), 2)),"")</f>
        <v>45911</v>
      </c>
      <c r="B49" s="68" t="str">
        <v>25I06-03</v>
      </c>
      <c r="C49" s="68">
        <v>28</v>
      </c>
      <c r="D49" s="68">
        <v>748.39</v>
      </c>
      <c r="E49" s="69">
        <v>748.19</v>
      </c>
      <c r="F49" s="70" t="str">
        <v>25I06-03</v>
      </c>
      <c r="G49" s="71">
        <v>192</v>
      </c>
      <c r="H49" s="72">
        <v>96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IFERROR(IF(ISBLANK(INDEX(_xlfn._xlws.FILTER([1]加工記録２!$D$3:$M$100000, [1]加工記録２!$T$3:$T$100000=B5), 3)), "", INDEX(_xlfn._xlws.FILTER([1]加工記録２!$D$3:$M$100000, [1]加工記録２!$T$3:$T$100000=B5), 3)),"")</f>
        <v>45911</v>
      </c>
      <c r="B50" s="68" t="str">
        <v>25I06-03</v>
      </c>
      <c r="C50" s="68">
        <v>28</v>
      </c>
      <c r="D50" s="68">
        <v>748.39</v>
      </c>
      <c r="E50" s="69">
        <v>748.26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IFERROR(IF(ISBLANK(INDEX(_xlfn._xlws.FILTER([1]加工記録２!$D$3:$M$100000, [1]加工記録２!$T$3:$T$100000=B5), 4)), "", INDEX(_xlfn._xlws.FILTER([1]加工記録２!$D$3:$M$100000, [1]加工記録２!$T$3:$T$100000=B5), 4)),"")</f>
        <v/>
      </c>
      <c r="B51" s="68" t="str">
        <v/>
      </c>
      <c r="C51" s="68" t="str">
        <v/>
      </c>
      <c r="D51" s="68" t="str">
        <v/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IFERROR(IF(ISBLANK(INDEX(_xlfn._xlws.FILTER([1]加工記録２!$D$3:$M$100000, [1]加工記録２!$T$3:$T$100000=B5), 5)), "", INDEX(_xlfn._xlws.FILTER([1]加工記録２!$D$3:$M$100000, [1]加工記録２!$T$3:$T$100000=B5),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IFERROR(IF(ISBLANK(INDEX(_xlfn._xlws.FILTER([1]加工記録２!$D$3:$M$100000, [1]加工記録２!$T$3:$T$100000=B5), 6)), "", INDEX(_xlfn._xlws.FILTER([1]加工記録２!$D$3:$M$100000, [1]加工記録２!$T$3:$T$100000=B5),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8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IFERROR(IF(ISBLANK(INDEX(_xlfn._xlws.FILTER([1]加工記録２!$D$3:$M$100000, [1]加工記録２!$T$3:$T$100000=B5), 7)), "", INDEX(_xlfn._xlws.FILTER([1]加工記録２!$D$3:$M$100000, [1]加工記録２!$T$3:$T$100000=B5),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IFERROR(IF(ISBLANK(INDEX(_xlfn._xlws.FILTER([1]加工記録２!$D$3:$M$100000, [1]加工記録２!$T$3:$T$100000=B5), 8)), "", INDEX(_xlfn._xlws.FILTER([1]加工記録２!$D$3:$M$100000, [1]加工記録２!$T$3:$T$100000=B5),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9" t="s">
        <v>0</v>
      </c>
      <c r="C58" s="103"/>
      <c r="D58" s="103"/>
      <c r="E58" s="11"/>
      <c r="F58" s="11"/>
      <c r="G58" s="11"/>
      <c r="H58" s="11"/>
      <c r="I58" s="11"/>
      <c r="J58" s="11"/>
    </row>
    <row r="59" spans="1:14" ht="14.25" customHeight="1">
      <c r="A59" s="12"/>
      <c r="B59" s="103"/>
      <c r="C59" s="103"/>
      <c r="D59" s="103"/>
      <c r="E59" s="12"/>
      <c r="F59" s="12"/>
      <c r="G59" s="12"/>
      <c r="H59" s="12"/>
      <c r="I59" s="12"/>
      <c r="J59" s="12"/>
    </row>
    <row r="60" spans="1:14" ht="14.25" customHeight="1">
      <c r="A60" s="139" t="s">
        <v>1</v>
      </c>
      <c r="B60" s="139" t="s">
        <v>64</v>
      </c>
      <c r="C60" s="139" t="s">
        <v>3</v>
      </c>
      <c r="D60" s="130">
        <v>888</v>
      </c>
      <c r="E60" s="139" t="s">
        <v>4</v>
      </c>
      <c r="F60" s="164" t="s">
        <v>65</v>
      </c>
      <c r="G60" s="103"/>
      <c r="H60" s="158"/>
      <c r="I60" s="13" t="s">
        <v>6</v>
      </c>
      <c r="J60" s="13" t="s">
        <v>7</v>
      </c>
    </row>
    <row r="61" spans="1:14" ht="14.25" customHeight="1">
      <c r="A61" s="103"/>
      <c r="B61" s="103"/>
      <c r="C61" s="103"/>
      <c r="D61" s="103"/>
      <c r="E61" s="103"/>
      <c r="F61" s="103"/>
      <c r="G61" s="103"/>
      <c r="H61" s="158"/>
      <c r="I61" s="142"/>
      <c r="J61" s="142"/>
    </row>
    <row r="62" spans="1:14" ht="17.45" customHeight="1">
      <c r="A62" s="102" t="s">
        <v>8</v>
      </c>
      <c r="B62" s="102" t="s">
        <v>66</v>
      </c>
      <c r="E62" s="102" t="s">
        <v>10</v>
      </c>
      <c r="F62" s="160" t="s">
        <v>67</v>
      </c>
      <c r="G62" s="103"/>
      <c r="H62" s="158"/>
      <c r="I62" s="143"/>
      <c r="J62" s="143"/>
    </row>
    <row r="63" spans="1:14" ht="17.45" customHeight="1">
      <c r="A63" s="103"/>
      <c r="B63" s="103"/>
      <c r="E63" s="103"/>
      <c r="F63" s="103"/>
      <c r="G63" s="103"/>
      <c r="H63" s="158"/>
      <c r="I63" s="14"/>
      <c r="J63" s="14"/>
    </row>
    <row r="64" spans="1:14" ht="17.45" customHeight="1">
      <c r="A64" s="102" t="s">
        <v>12</v>
      </c>
      <c r="B64" s="102" t="s">
        <v>68</v>
      </c>
      <c r="E64" s="2" t="s">
        <v>14</v>
      </c>
      <c r="F64" s="156" t="s">
        <v>15</v>
      </c>
      <c r="G64" s="103"/>
      <c r="H64" s="21"/>
    </row>
    <row r="65" spans="1:10" ht="17.45" customHeight="1">
      <c r="A65" s="103"/>
      <c r="B65" s="103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45901</v>
      </c>
      <c r="E66" s="2" t="s">
        <v>19</v>
      </c>
      <c r="F66" s="162">
        <v>100</v>
      </c>
      <c r="G66" s="103"/>
      <c r="H66" s="21"/>
    </row>
    <row r="67" spans="1:10" ht="17.45" customHeight="1">
      <c r="A67" s="2" t="s">
        <v>20</v>
      </c>
      <c r="B67" s="4">
        <v>45901</v>
      </c>
      <c r="E67" s="2" t="s">
        <v>21</v>
      </c>
      <c r="F67" s="21">
        <v>16</v>
      </c>
      <c r="G67" s="163" t="s">
        <v>22</v>
      </c>
      <c r="H67" s="147">
        <v>1600</v>
      </c>
      <c r="I67" s="148"/>
      <c r="J67" s="149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50"/>
      <c r="H68" s="150"/>
      <c r="I68" s="145"/>
      <c r="J68" s="151"/>
    </row>
    <row r="69" spans="1:10" ht="13.5" customHeight="1">
      <c r="A69" s="141" t="s">
        <v>69</v>
      </c>
      <c r="B69" s="103"/>
      <c r="C69" s="103"/>
      <c r="D69" s="20"/>
      <c r="F69" s="3"/>
      <c r="G69" s="152" t="s">
        <v>26</v>
      </c>
      <c r="H69" s="161" t="s">
        <v>27</v>
      </c>
      <c r="I69" s="157" t="s">
        <v>28</v>
      </c>
      <c r="J69" s="158"/>
    </row>
    <row r="70" spans="1:10" ht="13.5" customHeight="1">
      <c r="A70" s="103"/>
      <c r="B70" s="103"/>
      <c r="C70" s="103"/>
      <c r="D70" s="20"/>
      <c r="F70" s="3"/>
      <c r="G70" s="153"/>
      <c r="H70" s="153"/>
      <c r="I70" s="145"/>
      <c r="J70" s="151"/>
    </row>
    <row r="71" spans="1:10" ht="13.5" customHeight="1">
      <c r="A71" s="1" t="s">
        <v>29</v>
      </c>
    </row>
    <row r="72" spans="1:10" ht="63" customHeight="1">
      <c r="A72" s="154"/>
      <c r="B72" s="155"/>
      <c r="C72" s="155"/>
      <c r="D72" s="155"/>
      <c r="E72" s="155"/>
      <c r="F72" s="155"/>
      <c r="G72" s="155"/>
      <c r="H72" s="155"/>
      <c r="I72" s="155"/>
      <c r="J72" s="155"/>
    </row>
    <row r="73" spans="1:10" ht="18.75">
      <c r="A73" s="23" t="s">
        <v>30</v>
      </c>
      <c r="B73" s="16" t="s">
        <v>31</v>
      </c>
      <c r="C73" s="107" t="s">
        <v>32</v>
      </c>
      <c r="D73" s="108"/>
      <c r="E73" s="16" t="s">
        <v>33</v>
      </c>
      <c r="F73" s="107" t="s">
        <v>34</v>
      </c>
      <c r="G73" s="108"/>
      <c r="H73" s="108"/>
      <c r="I73" s="146" t="s">
        <v>35</v>
      </c>
      <c r="J73" s="10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04" t="s">
        <v>37</v>
      </c>
      <c r="D75" s="103"/>
      <c r="E75" s="24" t="s">
        <v>38</v>
      </c>
      <c r="F75" s="104" t="s">
        <v>39</v>
      </c>
      <c r="G75" s="103"/>
      <c r="H75" s="103"/>
      <c r="I75" s="129"/>
      <c r="J75" s="103"/>
    </row>
    <row r="76" spans="1:10" ht="16.5" customHeight="1">
      <c r="A76" s="22">
        <v>1</v>
      </c>
      <c r="B76" s="25" t="s">
        <v>36</v>
      </c>
      <c r="C76" s="104" t="s">
        <v>37</v>
      </c>
      <c r="D76" s="103"/>
      <c r="E76" s="24" t="s">
        <v>40</v>
      </c>
      <c r="F76" s="104" t="s">
        <v>41</v>
      </c>
      <c r="G76" s="103"/>
      <c r="H76" s="103"/>
      <c r="I76" s="129"/>
      <c r="J76" s="103"/>
    </row>
    <row r="77" spans="1:10" ht="16.5" customHeight="1">
      <c r="A77" s="22"/>
      <c r="B77" s="25"/>
      <c r="C77" s="104"/>
      <c r="D77" s="103"/>
      <c r="E77" s="24"/>
      <c r="F77" s="104"/>
      <c r="G77" s="103"/>
      <c r="H77" s="103"/>
      <c r="I77" s="129"/>
      <c r="J77" s="103"/>
    </row>
    <row r="78" spans="1:10" ht="16.5" customHeight="1">
      <c r="A78" s="22"/>
      <c r="B78" s="25"/>
      <c r="C78" s="104"/>
      <c r="D78" s="103"/>
      <c r="E78" s="24"/>
      <c r="F78" s="104"/>
      <c r="G78" s="103"/>
      <c r="H78" s="103"/>
      <c r="I78" s="129"/>
      <c r="J78" s="103"/>
    </row>
    <row r="79" spans="1:10" ht="16.5" customHeight="1">
      <c r="A79" s="22"/>
      <c r="B79" s="25"/>
      <c r="C79" s="104"/>
      <c r="D79" s="103"/>
      <c r="E79" s="24"/>
      <c r="F79" s="104"/>
      <c r="G79" s="103"/>
      <c r="H79" s="103"/>
      <c r="I79" s="129"/>
      <c r="J79" s="103"/>
    </row>
    <row r="80" spans="1:10" ht="16.5" customHeight="1">
      <c r="A80" s="22"/>
      <c r="B80" s="25"/>
      <c r="C80" s="104"/>
      <c r="D80" s="103"/>
      <c r="E80" s="24"/>
      <c r="F80" s="104"/>
      <c r="G80" s="103"/>
      <c r="H80" s="103"/>
      <c r="I80" s="129"/>
      <c r="J80" s="103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1" t="s">
        <v>42</v>
      </c>
      <c r="B82" s="132"/>
      <c r="C82" s="131" t="s">
        <v>43</v>
      </c>
      <c r="D82" s="132"/>
      <c r="E82" s="132"/>
      <c r="F82" s="17" t="s">
        <v>44</v>
      </c>
      <c r="G82" s="131" t="s">
        <v>45</v>
      </c>
      <c r="H82" s="132"/>
      <c r="I82" s="131" t="s">
        <v>46</v>
      </c>
      <c r="J82" s="132"/>
    </row>
    <row r="83" spans="1:10" ht="14.25" customHeight="1">
      <c r="A83" s="8"/>
      <c r="B83" s="18"/>
      <c r="C83" s="144" t="s">
        <v>47</v>
      </c>
      <c r="D83" s="145"/>
      <c r="E83" s="18"/>
      <c r="F83" s="144" t="s">
        <v>29</v>
      </c>
      <c r="G83" s="145"/>
      <c r="H83" s="145"/>
      <c r="I83" s="145"/>
      <c r="J83" s="145"/>
    </row>
    <row r="84" spans="1:10">
      <c r="A84" s="9"/>
      <c r="C84" s="7"/>
      <c r="D84" s="7"/>
      <c r="E84" s="7"/>
    </row>
    <row r="85" spans="1:10" ht="14.25" customHeight="1">
      <c r="A85" s="104" t="s">
        <v>48</v>
      </c>
      <c r="B85" s="103"/>
      <c r="C85" s="104" t="s">
        <v>49</v>
      </c>
      <c r="D85" s="103"/>
      <c r="E85" s="103"/>
      <c r="F85" s="26" t="s">
        <v>50</v>
      </c>
      <c r="G85" s="128">
        <v>800</v>
      </c>
      <c r="H85" s="103"/>
      <c r="I85" s="128">
        <v>8</v>
      </c>
      <c r="J85" s="103"/>
    </row>
    <row r="86" spans="1:10" ht="24.95" customHeight="1">
      <c r="A86" s="106" t="s">
        <v>51</v>
      </c>
      <c r="B86" s="103"/>
      <c r="C86" s="104"/>
      <c r="D86" s="103"/>
      <c r="E86" s="103"/>
      <c r="F86" s="104"/>
      <c r="G86" s="103"/>
      <c r="H86" s="103"/>
      <c r="I86" s="103"/>
      <c r="J86" s="103"/>
    </row>
    <row r="87" spans="1:10" ht="14.25" customHeight="1">
      <c r="A87" s="104" t="s">
        <v>52</v>
      </c>
      <c r="B87" s="103"/>
      <c r="C87" s="104" t="s">
        <v>53</v>
      </c>
      <c r="D87" s="103"/>
      <c r="E87" s="103"/>
      <c r="F87" s="26" t="s">
        <v>36</v>
      </c>
      <c r="G87" s="128">
        <v>16</v>
      </c>
      <c r="H87" s="103"/>
      <c r="I87" s="128">
        <v>0.16</v>
      </c>
      <c r="J87" s="103"/>
    </row>
    <row r="88" spans="1:10" ht="24.95" customHeight="1">
      <c r="A88" s="106" t="s">
        <v>54</v>
      </c>
      <c r="B88" s="103"/>
      <c r="C88" s="104" t="s">
        <v>55</v>
      </c>
      <c r="D88" s="103"/>
      <c r="E88" s="103"/>
      <c r="F88" s="104"/>
      <c r="G88" s="103"/>
      <c r="H88" s="103"/>
      <c r="I88" s="103"/>
      <c r="J88" s="103"/>
    </row>
    <row r="89" spans="1:10" ht="14.25" customHeight="1">
      <c r="A89" s="104" t="s">
        <v>70</v>
      </c>
      <c r="B89" s="103"/>
      <c r="C89" s="104" t="s">
        <v>57</v>
      </c>
      <c r="D89" s="103"/>
      <c r="E89" s="103"/>
      <c r="F89" s="26"/>
      <c r="G89" s="128">
        <v>176</v>
      </c>
      <c r="H89" s="103"/>
      <c r="I89" s="128">
        <v>1.76</v>
      </c>
      <c r="J89" s="103"/>
    </row>
    <row r="90" spans="1:10" ht="24.95" customHeight="1">
      <c r="A90" s="106" t="s">
        <v>71</v>
      </c>
      <c r="B90" s="103"/>
      <c r="C90" s="104" t="s">
        <v>72</v>
      </c>
      <c r="D90" s="103"/>
      <c r="E90" s="103"/>
      <c r="F90" s="104"/>
      <c r="G90" s="103"/>
      <c r="H90" s="103"/>
      <c r="I90" s="103"/>
      <c r="J90" s="103"/>
    </row>
    <row r="91" spans="1:10" ht="14.25" customHeight="1">
      <c r="A91" s="104" t="s">
        <v>60</v>
      </c>
      <c r="B91" s="103"/>
      <c r="C91" s="104" t="s">
        <v>61</v>
      </c>
      <c r="D91" s="103"/>
      <c r="E91" s="103"/>
      <c r="F91" s="26"/>
      <c r="G91" s="128">
        <v>1.6</v>
      </c>
      <c r="H91" s="103"/>
      <c r="I91" s="128">
        <v>1.6E-2</v>
      </c>
      <c r="J91" s="103"/>
    </row>
    <row r="92" spans="1:10" ht="24.95" customHeight="1">
      <c r="A92" s="106" t="s">
        <v>62</v>
      </c>
      <c r="B92" s="103"/>
      <c r="C92" s="104" t="s">
        <v>63</v>
      </c>
      <c r="D92" s="103"/>
      <c r="E92" s="103"/>
      <c r="F92" s="104"/>
      <c r="G92" s="103"/>
      <c r="H92" s="103"/>
      <c r="I92" s="103"/>
      <c r="J92" s="103"/>
    </row>
    <row r="93" spans="1:10" ht="14.25" customHeight="1">
      <c r="A93" s="104"/>
      <c r="B93" s="103"/>
      <c r="C93" s="104"/>
      <c r="D93" s="103"/>
      <c r="E93" s="103"/>
      <c r="F93" s="26"/>
      <c r="G93" s="128"/>
      <c r="H93" s="103"/>
      <c r="I93" s="128"/>
      <c r="J93" s="103"/>
    </row>
    <row r="94" spans="1:10" ht="24.95" customHeight="1" thickBot="1">
      <c r="A94" s="106"/>
      <c r="B94" s="103"/>
      <c r="C94" s="104"/>
      <c r="D94" s="103"/>
      <c r="E94" s="103"/>
      <c r="F94" s="104"/>
      <c r="G94" s="103"/>
      <c r="H94" s="103"/>
      <c r="I94" s="103"/>
      <c r="J94" s="103"/>
    </row>
    <row r="95" spans="1:10" s="5" customFormat="1" ht="18" customHeight="1">
      <c r="A95" s="109" t="s">
        <v>73</v>
      </c>
      <c r="B95" s="110"/>
      <c r="C95" s="110"/>
      <c r="D95" s="110"/>
      <c r="E95" s="111" t="s">
        <v>74</v>
      </c>
      <c r="F95" s="112"/>
      <c r="G95" s="27" t="s">
        <v>75</v>
      </c>
      <c r="H95" s="113" t="s">
        <v>76</v>
      </c>
      <c r="I95" s="114"/>
      <c r="J95" s="28" t="s">
        <v>77</v>
      </c>
    </row>
    <row r="96" spans="1:10" s="7" customFormat="1" ht="18" customHeight="1">
      <c r="A96" s="115" t="str">
        <f>_xlfn.XLOOKUP(B60,[1]VFDB2!A:A,[1]VFDB2!A:A)</f>
        <v>J1JAZZB10808880</v>
      </c>
      <c r="B96" s="116"/>
      <c r="C96" s="116"/>
      <c r="D96" s="116"/>
      <c r="E96" s="96" t="str" cm="1">
        <f t="array" ref="E96">IFERROR(IF(ISBLANK(INDEX(_xlfn._xlws.FILTER([1]加工記録２!$C$3:$C$100000, [1]加工記録２!$T$3:$T$100000=B62), 6)), "", INDEX(_xlfn._xlws.FILTER([1]加工記録２!$C$3:$C$100000, [1]加工記録２!$T$3:$T$100000=B62), 6)),"")</f>
        <v>LED-A888</v>
      </c>
      <c r="F96" s="97"/>
      <c r="G96" s="119" cm="1">
        <f t="array" ref="G96">IFERROR(IF(ISBLANK(INDEX(_xlfn._xlws.FILTER([1]加工記録２!$C$3:$C$100000, [1]加工記録２!$T$3:$T$100000=B62), 7)), " ", INDEX(_xlfn._xlws.FILTER([1]加工記録２!$C$3:$C$100000, [1]加工記録２!$T$3:$T$100000=B62), 7))," ")</f>
        <v>16</v>
      </c>
      <c r="H96" s="29" t="s">
        <v>78</v>
      </c>
      <c r="I96" s="30" cm="1">
        <f t="array" ref="I96:J96">IFERROR(IF(ISBLANK(INDEX(_xlfn._xlws.FILTER([1]加工記録２!$O$3:$P$100000, [1]加工記録２!$T$3:$T$100000=B62), 1)), "", INDEX(_xlfn._xlws.FILTER([1]加工記録２!$O$3:$P$100000, [1]加工記録２!$T$3:$T$100000=B62), 1)),"")</f>
        <v>45897</v>
      </c>
      <c r="J96" s="31">
        <v>4</v>
      </c>
    </row>
    <row r="97" spans="1:14" s="5" customFormat="1" ht="18" customHeight="1">
      <c r="A97" s="117"/>
      <c r="B97" s="118"/>
      <c r="C97" s="118"/>
      <c r="D97" s="118"/>
      <c r="E97" s="96"/>
      <c r="F97" s="97"/>
      <c r="G97" s="119"/>
      <c r="H97" s="29" t="s">
        <v>79</v>
      </c>
      <c r="I97" s="32" cm="1">
        <f t="array" ref="I97:J97">IFERROR(IF(ISBLANK(INDEX(_xlfn._xlws.FILTER([1]加工記録２!$O$3:$P$100000, [1]加工記録２!$T$3:$T$100000=B62), 2)), "", INDEX(_xlfn._xlws.FILTER([1]加工記録２!$O$3:$P$100000, [1]加工記録２!$T$3:$T$100000=B62), 2)),"")</f>
        <v>1600</v>
      </c>
      <c r="J97" s="33" t="str">
        <v/>
      </c>
      <c r="K97" s="34"/>
    </row>
    <row r="98" spans="1:14" s="7" customFormat="1" ht="18" customHeight="1">
      <c r="A98" s="88" t="s">
        <v>80</v>
      </c>
      <c r="B98" s="133" t="str">
        <f>_xlfn.XLOOKUP(B60,[1]VFDB2!A:A,[1]VFDB2!J:J)</f>
        <v>〇</v>
      </c>
      <c r="C98" s="135" t="s">
        <v>81</v>
      </c>
      <c r="D98" s="137">
        <f>_xlfn.XLOOKUP(B60,[1]VFDB2!A:A,[1]VFDB2!P:P)</f>
        <v>2</v>
      </c>
      <c r="E98" s="96" t="str">
        <f>_xlfn.XLOOKUP(B60,[1]VFDB2!A:A,[1]VFDB2!V:V)</f>
        <v>1箱目の梱包数 目視確認　以降、重量測定</v>
      </c>
      <c r="F98" s="97"/>
      <c r="G98" s="98"/>
      <c r="H98" s="35" t="s">
        <v>82</v>
      </c>
      <c r="I98" s="32" cm="1">
        <f t="array" ref="I98:J98">IFERROR(IF(ISBLANK(INDEX(_xlfn._xlws.FILTER([1]加工記録２!$O$3:$P$100000, [1]加工記録２!$T$3:$T$100000=B62), 3)), "", INDEX(_xlfn._xlws.FILTER([1]加工記録２!$O$3:$P$100000, [1]加工記録２!$T$3:$T$100000=B62), 3)),"")</f>
        <v>803</v>
      </c>
      <c r="J98" s="36">
        <v>2</v>
      </c>
      <c r="K98" s="37"/>
    </row>
    <row r="99" spans="1:14" s="5" customFormat="1" ht="18" customHeight="1">
      <c r="A99" s="120"/>
      <c r="B99" s="134"/>
      <c r="C99" s="136"/>
      <c r="D99" s="138"/>
      <c r="E99" s="96"/>
      <c r="F99" s="97"/>
      <c r="G99" s="98"/>
      <c r="H99" s="35" t="s">
        <v>83</v>
      </c>
      <c r="I99" s="32" cm="1">
        <f t="array" ref="I99:J99">IFERROR(IF(ISBLANK(INDEX(_xlfn._xlws.FILTER([1]加工記録２!$O$3:$P$100000, [1]加工記録２!$T$3:$T$100000=B62), 4)), "", INDEX(_xlfn._xlws.FILTER([1]加工記録２!$O$3:$P$100000, [1]加工記録２!$T$3:$T$100000=B62), 4)),"")</f>
        <v>3</v>
      </c>
      <c r="J99" s="38" t="str">
        <v/>
      </c>
      <c r="K99" s="34"/>
    </row>
    <row r="100" spans="1:14" s="7" customFormat="1" ht="18" customHeight="1">
      <c r="A100" s="121" t="s">
        <v>84</v>
      </c>
      <c r="B100" s="123">
        <f>D60</f>
        <v>888</v>
      </c>
      <c r="C100" s="125" t="s">
        <v>85</v>
      </c>
      <c r="D100" s="94" t="str">
        <f>_xlfn.XLOOKUP(B60,[1]VFDB2!A:A,[1]VFDB2!L:L)</f>
        <v>+0.5</v>
      </c>
      <c r="E100" s="96" t="str">
        <f>_xlfn.XLOOKUP(B60,[1]VFDB2!A:A,[1]VFDB2!W:W)</f>
        <v>L=888用　クラフト紙</v>
      </c>
      <c r="F100" s="97"/>
      <c r="G100" s="98"/>
      <c r="H100" s="35" t="s">
        <v>86</v>
      </c>
      <c r="I100" s="32" cm="1">
        <f t="array" ref="I100:J100">IFERROR(IF(ISBLANK(INDEX(_xlfn._xlws.FILTER([1]加工記録２!$O$3:$P$100000, [1]加工記録２!$T$3:$T$100000=B62), 5)), "", INDEX(_xlfn._xlws.FILTER([1]加工記録２!$O$3:$P$100000, [1]加工記録２!$T$3:$T$100000=B62), 5)),"")</f>
        <v>6</v>
      </c>
      <c r="J100" s="39" t="str">
        <v/>
      </c>
      <c r="K100" s="37"/>
    </row>
    <row r="101" spans="1:14" s="5" customFormat="1" ht="18" customHeight="1">
      <c r="A101" s="122"/>
      <c r="B101" s="124"/>
      <c r="C101" s="126"/>
      <c r="D101" s="127"/>
      <c r="E101" s="96"/>
      <c r="F101" s="97"/>
      <c r="G101" s="98"/>
      <c r="H101" s="35" t="s">
        <v>87</v>
      </c>
      <c r="I101" s="32" cm="1">
        <f t="array" ref="I101:J101">IFERROR(IF(ISBLANK(INDEX(_xlfn._xlws.FILTER([1]加工記録２!$O$3:$P$100000, [1]加工記録２!$T$3:$T$100000=B62), 6)), "", INDEX(_xlfn._xlws.FILTER([1]加工記録２!$O$3:$P$100000, [1]加工記録２!$T$3:$T$100000=B62), 6)),"")</f>
        <v>0</v>
      </c>
      <c r="J101" s="40" t="str">
        <v/>
      </c>
      <c r="K101" s="34"/>
    </row>
    <row r="102" spans="1:14" s="7" customFormat="1" ht="18" customHeight="1">
      <c r="A102" s="88" t="s">
        <v>88</v>
      </c>
      <c r="B102" s="90" t="str">
        <f>_xlfn.XLOOKUP(B60,[1]VFDB2!A:A,[1]VFDB2!AC:AC)</f>
        <v>換算表確認</v>
      </c>
      <c r="C102" s="92" t="s">
        <v>89</v>
      </c>
      <c r="D102" s="94" t="str">
        <f>_xlfn.XLOOKUP(B60,[1]VFDB2!A:A,[1]VFDB2!K:K)</f>
        <v>－0.5</v>
      </c>
      <c r="E102" s="96" t="str">
        <f>_xlfn.XLOOKUP(B60,[1]VFDB2!A:A,[1]VFDB2!R:R)</f>
        <v>ラベル１枚　長手無　鉢巻１回</v>
      </c>
      <c r="F102" s="97"/>
      <c r="G102" s="98"/>
      <c r="H102" s="35" t="s">
        <v>90</v>
      </c>
      <c r="I102" s="32" t="str" cm="1">
        <f t="array" ref="I102:J102">IFERROR(IF(ISBLANK(INDEX(_xlfn._xlws.FILTER([1]加工記録２!$O$3:$P$100000, [1]加工記録２!$T$3:$T$100000=B62), 7)), "", INDEX(_xlfn._xlws.FILTER([1]加工記録２!$O$3:$P$100000, [1]加工記録２!$T$3:$T$100000=B62), 7)),"")</f>
        <v>水野</v>
      </c>
      <c r="J102" s="41" t="str">
        <v/>
      </c>
      <c r="K102" s="37"/>
    </row>
    <row r="103" spans="1:14" s="5" customFormat="1" ht="18" customHeight="1" thickBot="1">
      <c r="A103" s="89"/>
      <c r="B103" s="91"/>
      <c r="C103" s="93"/>
      <c r="D103" s="95"/>
      <c r="E103" s="99"/>
      <c r="F103" s="100"/>
      <c r="G103" s="101"/>
      <c r="H103" s="42" t="s">
        <v>91</v>
      </c>
      <c r="I103" s="43" t="str" cm="1">
        <f t="array" ref="I103:J103">IFERROR(IF(ISBLANK(INDEX(_xlfn._xlws.FILTER([1]加工記録２!$O$3:$P$100000, [1]加工記録２!$T$3:$T$100000=B62), 8)), "", INDEX(_xlfn._xlws.FILTER([1]加工記録２!$O$3:$P$100000, [1]加工記録２!$T$3:$T$100000=B62), 8)),"")</f>
        <v>高森・上野</v>
      </c>
      <c r="J103" s="44">
        <v>6</v>
      </c>
    </row>
    <row r="104" spans="1:14" s="55" customFormat="1" ht="18.95" customHeight="1">
      <c r="A104" s="45" t="s">
        <v>92</v>
      </c>
      <c r="B104" s="46" t="s">
        <v>93</v>
      </c>
      <c r="C104" s="47" t="s">
        <v>94</v>
      </c>
      <c r="D104" s="47" t="s">
        <v>95</v>
      </c>
      <c r="E104" s="48" t="s">
        <v>96</v>
      </c>
      <c r="F104" s="49" t="s">
        <v>97</v>
      </c>
      <c r="G104" s="50" t="s">
        <v>98</v>
      </c>
      <c r="H104" s="51" t="s">
        <v>99</v>
      </c>
      <c r="I104" s="52" t="s">
        <v>100</v>
      </c>
      <c r="J104" s="53" t="s">
        <v>101</v>
      </c>
      <c r="K104" s="54"/>
      <c r="L104" s="54"/>
      <c r="M104" s="54"/>
      <c r="N104" s="54"/>
    </row>
    <row r="105" spans="1:14" s="66" customFormat="1" ht="18.95" customHeight="1">
      <c r="A105" s="56" t="str" cm="1">
        <f t="array" ref="A105:J105">IFERROR(IF(ISBLANK(INDEX(_xlfn._xlws.FILTER([1]加工記録２!$D$3:$M$100000, [1]加工記録２!$T$3:$T$100000=B62), 1)), "", INDEX(_xlfn._xlws.FILTER([1]加工記録２!$D$3:$M$100000, [1]加工記録２!$T$3:$T$100000=B62), 1)),"")</f>
        <v/>
      </c>
      <c r="B105" s="57" t="str">
        <v/>
      </c>
      <c r="C105" s="58" t="str">
        <v/>
      </c>
      <c r="D105" s="58" t="str">
        <v/>
      </c>
      <c r="E105" s="59" t="str">
        <v/>
      </c>
      <c r="F105" s="60">
        <v>0</v>
      </c>
      <c r="G105" s="61">
        <v>0</v>
      </c>
      <c r="H105" s="62">
        <v>0</v>
      </c>
      <c r="I105" s="63">
        <v>45896</v>
      </c>
      <c r="J105" s="64">
        <v>3</v>
      </c>
      <c r="K105" s="65"/>
      <c r="L105" s="65"/>
      <c r="M105" s="65"/>
      <c r="N105" s="65"/>
    </row>
    <row r="106" spans="1:14" s="66" customFormat="1" ht="18.95" customHeight="1">
      <c r="A106" s="67" cm="1">
        <f t="array" ref="A106:J106">IFERROR(IF(ISBLANK(INDEX(_xlfn._xlws.FILTER([1]加工記録２!$D$3:$M$100000, [1]加工記録２!$T$3:$T$100000=B62), 2)), "", INDEX(_xlfn._xlws.FILTER([1]加工記録２!$D$3:$M$100000, [1]加工記録２!$T$3:$T$100000=B62), 2)),"")</f>
        <v>45896</v>
      </c>
      <c r="B106" s="68" t="str">
        <v>25G31-11</v>
      </c>
      <c r="C106" s="68">
        <v>28</v>
      </c>
      <c r="D106" s="68">
        <v>888.46</v>
      </c>
      <c r="E106" s="69">
        <v>888.56</v>
      </c>
      <c r="F106" s="70" t="str">
        <v>25G31-11</v>
      </c>
      <c r="G106" s="71">
        <v>1558</v>
      </c>
      <c r="H106" s="72">
        <v>779</v>
      </c>
      <c r="I106" s="63">
        <v>45897</v>
      </c>
      <c r="J106" s="64">
        <v>13</v>
      </c>
      <c r="K106" s="65"/>
      <c r="L106" s="65"/>
      <c r="M106" s="65"/>
      <c r="N106" s="65"/>
    </row>
    <row r="107" spans="1:14" s="66" customFormat="1" ht="18.95" customHeight="1">
      <c r="A107" s="67" cm="1">
        <f t="array" ref="A107:J107">IFERROR(IF(ISBLANK(INDEX(_xlfn._xlws.FILTER([1]加工記録２!$D$3:$M$100000, [1]加工記録２!$T$3:$T$100000=B62), 3)), "", INDEX(_xlfn._xlws.FILTER([1]加工記録２!$D$3:$M$100000, [1]加工記録２!$T$3:$T$100000=B62), 3)),"")</f>
        <v>45896</v>
      </c>
      <c r="B107" s="68" t="str">
        <v>25G31-11</v>
      </c>
      <c r="C107" s="68">
        <v>26</v>
      </c>
      <c r="D107" s="68">
        <v>888.35</v>
      </c>
      <c r="E107" s="69">
        <v>888.65</v>
      </c>
      <c r="F107" s="70" t="str">
        <v>25H26-02</v>
      </c>
      <c r="G107" s="71">
        <v>48</v>
      </c>
      <c r="H107" s="72">
        <v>24</v>
      </c>
      <c r="I107" s="63" t="str">
        <v/>
      </c>
      <c r="J107" s="64" t="str">
        <v/>
      </c>
      <c r="K107" s="65"/>
      <c r="L107" s="65"/>
      <c r="M107" s="65"/>
      <c r="N107" s="65"/>
    </row>
    <row r="108" spans="1:14" s="66" customFormat="1" ht="18.95" customHeight="1">
      <c r="A108" s="67" cm="1">
        <f t="array" ref="A108:J108">IFERROR(IF(ISBLANK(INDEX(_xlfn._xlws.FILTER([1]加工記録２!$D$3:$M$100000, [1]加工記録２!$T$3:$T$100000=B62), 4)), "", INDEX(_xlfn._xlws.FILTER([1]加工記録２!$D$3:$M$100000, [1]加工記録２!$T$3:$T$100000=B62), 4)),"")</f>
        <v>45896</v>
      </c>
      <c r="B108" s="68" t="str">
        <v>25G31-11</v>
      </c>
      <c r="C108" s="68">
        <v>28</v>
      </c>
      <c r="D108" s="68">
        <v>888.46</v>
      </c>
      <c r="E108" s="69">
        <v>888.52</v>
      </c>
      <c r="F108" s="70" t="str">
        <v/>
      </c>
      <c r="G108" s="71" t="str">
        <v/>
      </c>
      <c r="H108" s="72">
        <v>0</v>
      </c>
      <c r="I108" s="63" t="str">
        <v/>
      </c>
      <c r="J108" s="64" t="str">
        <v/>
      </c>
      <c r="K108" s="65"/>
      <c r="L108" s="65"/>
      <c r="M108" s="65"/>
      <c r="N108" s="65"/>
    </row>
    <row r="109" spans="1:14" s="66" customFormat="1" ht="18.95" customHeight="1">
      <c r="A109" s="67" cm="1">
        <f t="array" ref="A109:J109">IFERROR(IF(ISBLANK(INDEX(_xlfn._xlws.FILTER([1]加工記録２!$D$3:$M$100000, [1]加工記録２!$T$3:$T$100000=B62), 5)), "", INDEX(_xlfn._xlws.FILTER([1]加工記録２!$D$3:$M$100000, [1]加工記録２!$T$3:$T$100000=B62), 5)),"")</f>
        <v>45896</v>
      </c>
      <c r="B109" s="68" t="str">
        <v>25H26-02</v>
      </c>
      <c r="C109" s="68">
        <v>28</v>
      </c>
      <c r="D109" s="68">
        <v>888.46</v>
      </c>
      <c r="E109" s="69">
        <v>888.58</v>
      </c>
      <c r="F109" s="70" t="str">
        <v/>
      </c>
      <c r="G109" s="71" t="str">
        <v/>
      </c>
      <c r="H109" s="72">
        <v>0</v>
      </c>
      <c r="I109" s="73" t="str">
        <v/>
      </c>
      <c r="J109" s="74" t="str">
        <v/>
      </c>
      <c r="K109" s="65"/>
      <c r="L109" s="65"/>
      <c r="M109" s="65"/>
      <c r="N109" s="65"/>
    </row>
    <row r="110" spans="1:14" s="66" customFormat="1" ht="18.95" customHeight="1">
      <c r="A110" s="67" t="str" cm="1">
        <f t="array" ref="A110:J110">IFERROR(IF(ISBLANK(INDEX(_xlfn._xlws.FILTER([1]加工記録２!$D$3:$M$100000, [1]加工記録２!$T$3:$T$100000=B62), 6)), "", INDEX(_xlfn._xlws.FILTER([1]加工記録２!$D$3:$M$100000, [1]加工記録２!$T$3:$T$100000=B62), 6)),"")</f>
        <v/>
      </c>
      <c r="B110" s="68" t="str">
        <v/>
      </c>
      <c r="C110" s="68" t="str">
        <v/>
      </c>
      <c r="D110" s="68" t="str">
        <v/>
      </c>
      <c r="E110" s="69" t="str">
        <v/>
      </c>
      <c r="F110" s="70" t="str">
        <v/>
      </c>
      <c r="G110" s="71" t="str">
        <v/>
      </c>
      <c r="H110" s="75">
        <v>0</v>
      </c>
      <c r="I110" s="76" t="str">
        <v>旧品加工</v>
      </c>
      <c r="J110" s="77" t="str">
        <v/>
      </c>
      <c r="K110" s="65"/>
      <c r="L110" s="65"/>
      <c r="M110" s="65"/>
      <c r="N110" s="65"/>
    </row>
    <row r="111" spans="1:14" s="66" customFormat="1" ht="18.95" customHeight="1">
      <c r="A111" s="67" t="str" cm="1">
        <f t="array" ref="A111:J111">IFERROR(IF(ISBLANK(INDEX(_xlfn._xlws.FILTER([1]加工記録２!$D$3:$M$100000, [1]加工記録２!$T$3:$T$100000=B62), 7)), "", INDEX(_xlfn._xlws.FILTER([1]加工記録２!$D$3:$M$100000, [1]加工記録２!$T$3:$T$100000=B62), 7)),"")</f>
        <v/>
      </c>
      <c r="B111" s="68" t="str">
        <v/>
      </c>
      <c r="C111" s="68" t="str">
        <v/>
      </c>
      <c r="D111" s="68" t="str">
        <v/>
      </c>
      <c r="E111" s="69" t="str">
        <v/>
      </c>
      <c r="F111" s="70" t="str">
        <v/>
      </c>
      <c r="G111" s="71" t="str">
        <v/>
      </c>
      <c r="H111" s="75">
        <v>0</v>
      </c>
      <c r="I111" s="78" t="str">
        <v>持出端材</v>
      </c>
      <c r="J111" s="79" t="str">
        <v/>
      </c>
      <c r="K111" s="65"/>
      <c r="L111" s="65"/>
      <c r="M111" s="65"/>
      <c r="N111" s="65"/>
    </row>
    <row r="112" spans="1:14" s="66" customFormat="1" ht="18.95" customHeight="1" thickBot="1">
      <c r="A112" s="80" t="str" cm="1">
        <f t="array" ref="A112:J112">IFERROR(IF(ISBLANK(INDEX(_xlfn._xlws.FILTER([1]加工記録２!$D$3:$M$100000, [1]加工記録２!$T$3:$T$100000=B62), 8)), "", INDEX(_xlfn._xlws.FILTER([1]加工記録２!$D$3:$M$100000, [1]加工記録２!$T$3:$T$100000=B62), 8)),"")</f>
        <v/>
      </c>
      <c r="B112" s="81" t="str">
        <v/>
      </c>
      <c r="C112" s="81" t="str">
        <v/>
      </c>
      <c r="D112" s="81" t="str">
        <v/>
      </c>
      <c r="E112" s="82" t="str">
        <v/>
      </c>
      <c r="F112" s="83" t="str">
        <v/>
      </c>
      <c r="G112" s="84" t="str">
        <v/>
      </c>
      <c r="H112" s="85">
        <v>0</v>
      </c>
      <c r="I112" s="86" t="str">
        <v>α端材</v>
      </c>
      <c r="J112" s="87">
        <v>0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214">
    <mergeCell ref="I87:J87"/>
    <mergeCell ref="C28:E28"/>
    <mergeCell ref="G32:H32"/>
    <mergeCell ref="A38:D38"/>
    <mergeCell ref="E38:F38"/>
    <mergeCell ref="H38:I38"/>
    <mergeCell ref="A39:D40"/>
    <mergeCell ref="E39:F40"/>
    <mergeCell ref="G39:G40"/>
    <mergeCell ref="A41:A42"/>
    <mergeCell ref="B41:B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F76:H76"/>
    <mergeCell ref="J4:J5"/>
    <mergeCell ref="A90:B90"/>
    <mergeCell ref="F33:J33"/>
    <mergeCell ref="C91:E91"/>
    <mergeCell ref="F3:H4"/>
    <mergeCell ref="I18:J18"/>
    <mergeCell ref="G34:H34"/>
    <mergeCell ref="A33:B33"/>
    <mergeCell ref="C76:D76"/>
    <mergeCell ref="A85:B85"/>
    <mergeCell ref="B64:B65"/>
    <mergeCell ref="F31:J31"/>
    <mergeCell ref="A35:B35"/>
    <mergeCell ref="G91:H91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I19:J19"/>
    <mergeCell ref="C18:D18"/>
    <mergeCell ref="C35:E35"/>
    <mergeCell ref="F64:G64"/>
    <mergeCell ref="C37:E37"/>
    <mergeCell ref="F5:H6"/>
    <mergeCell ref="A32:B32"/>
    <mergeCell ref="I23:J23"/>
    <mergeCell ref="C30:E30"/>
    <mergeCell ref="B3:B4"/>
    <mergeCell ref="I80:J80"/>
    <mergeCell ref="A87:B87"/>
    <mergeCell ref="H10:J11"/>
    <mergeCell ref="I32:J32"/>
    <mergeCell ref="H69:H70"/>
    <mergeCell ref="B60:B61"/>
    <mergeCell ref="A37:B37"/>
    <mergeCell ref="D3:D4"/>
    <mergeCell ref="A15:J15"/>
    <mergeCell ref="H12:H13"/>
    <mergeCell ref="C87:E87"/>
    <mergeCell ref="F9:G9"/>
    <mergeCell ref="I82:J82"/>
    <mergeCell ref="C33:E33"/>
    <mergeCell ref="F21:H21"/>
    <mergeCell ref="C25:E25"/>
    <mergeCell ref="C85:E85"/>
    <mergeCell ref="I30:J30"/>
    <mergeCell ref="C83:D83"/>
    <mergeCell ref="A30:B30"/>
    <mergeCell ref="F35:J35"/>
    <mergeCell ref="F77:H77"/>
    <mergeCell ref="F66:G66"/>
    <mergeCell ref="F7:G7"/>
    <mergeCell ref="F23:H23"/>
    <mergeCell ref="C20:D20"/>
    <mergeCell ref="C78:D78"/>
    <mergeCell ref="C36:E36"/>
    <mergeCell ref="I69:J70"/>
    <mergeCell ref="F88:J88"/>
    <mergeCell ref="C75:D75"/>
    <mergeCell ref="C22:D22"/>
    <mergeCell ref="C80:D80"/>
    <mergeCell ref="F26:J26"/>
    <mergeCell ref="C21:D21"/>
    <mergeCell ref="I77:J77"/>
    <mergeCell ref="C32:E32"/>
    <mergeCell ref="B58:D59"/>
    <mergeCell ref="C60:C61"/>
    <mergeCell ref="G25:H25"/>
    <mergeCell ref="C88:E88"/>
    <mergeCell ref="F62:H63"/>
    <mergeCell ref="I25:J25"/>
    <mergeCell ref="F78:H78"/>
    <mergeCell ref="C34:E34"/>
    <mergeCell ref="I61:I62"/>
    <mergeCell ref="C31:E31"/>
    <mergeCell ref="F16:H16"/>
    <mergeCell ref="I73:J73"/>
    <mergeCell ref="F37:J37"/>
    <mergeCell ref="J61:J62"/>
    <mergeCell ref="F20:H20"/>
    <mergeCell ref="I34:J34"/>
    <mergeCell ref="B62:B63"/>
    <mergeCell ref="F80:H80"/>
    <mergeCell ref="A82:B82"/>
    <mergeCell ref="A60:A61"/>
    <mergeCell ref="H67:J68"/>
    <mergeCell ref="F75:H75"/>
    <mergeCell ref="G36:H36"/>
    <mergeCell ref="C41:C42"/>
    <mergeCell ref="D41:D42"/>
    <mergeCell ref="E41:G42"/>
    <mergeCell ref="E60:E61"/>
    <mergeCell ref="A36:B36"/>
    <mergeCell ref="G69:G70"/>
    <mergeCell ref="A72:J72"/>
    <mergeCell ref="F79:H79"/>
    <mergeCell ref="I21:J21"/>
    <mergeCell ref="C23:D23"/>
    <mergeCell ref="F18:H18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A12:C13"/>
    <mergeCell ref="B5:B6"/>
    <mergeCell ref="A62:A63"/>
    <mergeCell ref="C16:D16"/>
    <mergeCell ref="I79:J79"/>
    <mergeCell ref="F19:H19"/>
    <mergeCell ref="A29:B29"/>
    <mergeCell ref="I78:J78"/>
    <mergeCell ref="D60:D61"/>
    <mergeCell ref="A25:B25"/>
    <mergeCell ref="I85:J85"/>
    <mergeCell ref="F94:J94"/>
    <mergeCell ref="B98:B99"/>
    <mergeCell ref="C98:C99"/>
    <mergeCell ref="D98:D99"/>
    <mergeCell ref="E98:G99"/>
    <mergeCell ref="E62:E63"/>
    <mergeCell ref="C93:E93"/>
    <mergeCell ref="A94:B94"/>
    <mergeCell ref="A91:B91"/>
    <mergeCell ref="C89:E89"/>
    <mergeCell ref="C94:E94"/>
    <mergeCell ref="A89:B89"/>
    <mergeCell ref="A93:B93"/>
    <mergeCell ref="F92:J92"/>
    <mergeCell ref="A92:B92"/>
    <mergeCell ref="F90:J90"/>
    <mergeCell ref="G89:H89"/>
    <mergeCell ref="C92:E92"/>
    <mergeCell ref="A102:A103"/>
    <mergeCell ref="B102:B103"/>
    <mergeCell ref="C102:C103"/>
    <mergeCell ref="D102:D103"/>
    <mergeCell ref="E102:G103"/>
    <mergeCell ref="A64:A65"/>
    <mergeCell ref="C29:E29"/>
    <mergeCell ref="A31:B31"/>
    <mergeCell ref="F73:H73"/>
    <mergeCell ref="C86:E86"/>
    <mergeCell ref="A95:D95"/>
    <mergeCell ref="E95:F95"/>
    <mergeCell ref="H95:I95"/>
    <mergeCell ref="A96:D97"/>
    <mergeCell ref="E96:F97"/>
    <mergeCell ref="G96:G97"/>
    <mergeCell ref="A98:A99"/>
    <mergeCell ref="A100:A101"/>
    <mergeCell ref="B100:B101"/>
    <mergeCell ref="C100:C101"/>
    <mergeCell ref="D100:D101"/>
    <mergeCell ref="E100:G101"/>
    <mergeCell ref="I89:J89"/>
    <mergeCell ref="G87:H87"/>
  </mergeCells>
  <phoneticPr fontId="2"/>
  <conditionalFormatting sqref="D50:D55">
    <cfRule type="cellIs" dxfId="5" priority="3" operator="equal">
      <formula>$D49</formula>
    </cfRule>
  </conditionalFormatting>
  <conditionalFormatting sqref="D107:D112">
    <cfRule type="cellIs" dxfId="4" priority="6" operator="equal">
      <formula>$D106</formula>
    </cfRule>
  </conditionalFormatting>
  <conditionalFormatting sqref="I39">
    <cfRule type="cellIs" dxfId="3" priority="1" operator="lessThan">
      <formula>45658</formula>
    </cfRule>
  </conditionalFormatting>
  <conditionalFormatting sqref="I96">
    <cfRule type="cellIs" dxfId="2" priority="4" operator="lessThan">
      <formula>45658</formula>
    </cfRule>
  </conditionalFormatting>
  <conditionalFormatting sqref="J46">
    <cfRule type="cellIs" dxfId="1" priority="2" operator="equal">
      <formula>0</formula>
    </cfRule>
  </conditionalFormatting>
  <conditionalFormatting sqref="J103">
    <cfRule type="cellIs" dxfId="0" priority="5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2025-08-25T00:26:45Z</cp:lastPrinted>
  <dcterms:created xsi:type="dcterms:W3CDTF">2024-07-11T02:08:33Z</dcterms:created>
  <dcterms:modified xsi:type="dcterms:W3CDTF">2025-09-12T07:29:59Z</dcterms:modified>
</cp:coreProperties>
</file>