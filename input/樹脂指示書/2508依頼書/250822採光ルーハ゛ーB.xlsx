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0CD23475-219C-4ADF-883C-13890211CD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<sst xmlns="http://schemas.openxmlformats.org/spreadsheetml/2006/main" count="93" uniqueCount="89">
  <si>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</si>
  <si>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</si>
  <si>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</si>
  <si>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</si>
  <si>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</si>
  <si>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</si>
  <si>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</si>
  <si>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</si>
  <si>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</si>
  <si>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000000000006531</t>
  </si>
  <si>
    <t>原料名</t>
  </si>
  <si>
    <t>(J6VZ027)(J6AH0460)</t>
  </si>
  <si>
    <t>発注明細№</t>
  </si>
  <si>
    <t>000000000783342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</si>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</sst>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2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3</xdr:row>
      <xdr:rowOff>76200</xdr:rowOff>
    </xdr:from>
    <xdr:to>
      <xdr:col>9</xdr:col>
      <xdr:colOff>600075</xdr:colOff>
      <xdr:row>5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85BAA58-D7E5-A7D8-8F56-2D44DAC1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19125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3</xdr:row>
      <xdr:rowOff>95251</xdr:rowOff>
    </xdr:from>
    <xdr:to>
      <xdr:col>8</xdr:col>
      <xdr:colOff>590551</xdr:colOff>
      <xdr:row>5</xdr:row>
      <xdr:rowOff>114301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C71948F-214D-8875-6A30-59C743E9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638176"/>
          <a:ext cx="419100" cy="41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C45">
            <v>1400</v>
          </cell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C47">
            <v>2</v>
          </cell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C48" t="str">
            <v>LED-A888</v>
          </cell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C49">
            <v>14</v>
          </cell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C53">
            <v>800</v>
          </cell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8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C59" t="str">
            <v>8FL281304 6110　L=1478</v>
          </cell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C61">
            <v>1900</v>
          </cell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C63">
            <v>1</v>
          </cell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C64" t="str">
            <v>LED-A1478</v>
          </cell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C65">
            <v>19</v>
          </cell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C67" t="str">
            <v>8FL281304 4810　L=297</v>
          </cell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C69">
            <v>200</v>
          </cell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C71">
            <v>6</v>
          </cell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C72" t="str">
            <v>LED-A300</v>
          </cell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C75" t="str">
            <v>8FL281304 4810　L=297</v>
          </cell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C77">
            <v>100</v>
          </cell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C79">
            <v>6</v>
          </cell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C80" t="str">
            <v>LED-A300</v>
          </cell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C81">
            <v>1</v>
          </cell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C83" t="str">
            <v>採光ルーバーパネルB　L=1996</v>
          </cell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C85">
            <v>546</v>
          </cell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C87">
            <v>1</v>
          </cell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C88" t="str">
            <v>上-1</v>
          </cell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C89">
            <v>13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C91" t="str">
            <v>灯具カバーPC IN 2090　L=840</v>
          </cell>
          <cell r="I91">
            <v>0</v>
          </cell>
          <cell r="J91">
            <v>0</v>
          </cell>
          <cell r="K91">
            <v>0</v>
          </cell>
          <cell r="O91">
            <v>0</v>
          </cell>
          <cell r="T91" t="str">
            <v>000000000006735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000000000006735</v>
          </cell>
        </row>
        <row r="93">
          <cell r="C93">
            <v>16</v>
          </cell>
          <cell r="G93" t="str">
            <v/>
          </cell>
          <cell r="K93">
            <v>0</v>
          </cell>
          <cell r="O93">
            <v>0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000000000006735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000000000006735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000000000006735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持出端材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P98">
            <v>0</v>
          </cell>
          <cell r="T98" t="str">
            <v>000000000006735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O99">
            <v>0</v>
          </cell>
          <cell r="T99" t="str">
            <v>000000000006736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000000000006736</v>
          </cell>
        </row>
        <row r="101">
          <cell r="C101">
            <v>176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000000000006736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000000000006736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持出端材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P106">
            <v>0</v>
          </cell>
          <cell r="T106" t="str">
            <v>000000000006736</v>
          </cell>
        </row>
        <row r="107">
          <cell r="C107" t="str">
            <v>灯具カバーPC IN 2070　L=1966</v>
          </cell>
          <cell r="I107">
            <v>0</v>
          </cell>
          <cell r="J107">
            <v>0</v>
          </cell>
          <cell r="K107">
            <v>0</v>
          </cell>
          <cell r="O107">
            <v>0</v>
          </cell>
          <cell r="T107" t="str">
            <v>000000000006734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000000000006734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000000000006734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000000000006734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000000000006734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持出端材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P114">
            <v>0</v>
          </cell>
          <cell r="T114" t="str">
            <v>000000000006734</v>
          </cell>
        </row>
        <row r="115">
          <cell r="C115" t="str">
            <v>8FL281304 4910　L=592</v>
          </cell>
          <cell r="I115">
            <v>0</v>
          </cell>
          <cell r="J115">
            <v>0</v>
          </cell>
          <cell r="K115">
            <v>0</v>
          </cell>
          <cell r="O115">
            <v>0</v>
          </cell>
          <cell r="T115" t="str">
            <v>000000000006654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000000000006654</v>
          </cell>
        </row>
        <row r="117">
          <cell r="C117">
            <v>300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000000000006654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000000000006654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000000000006654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持出端材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P122">
            <v>0</v>
          </cell>
          <cell r="T122" t="str">
            <v>000000000006654</v>
          </cell>
        </row>
        <row r="123">
          <cell r="C123" t="str">
            <v>8FL281304 8110　L=444</v>
          </cell>
          <cell r="I123">
            <v>0</v>
          </cell>
          <cell r="J123">
            <v>0</v>
          </cell>
          <cell r="K123">
            <v>0</v>
          </cell>
          <cell r="O123">
            <v>0</v>
          </cell>
          <cell r="T123" t="str">
            <v>000000000006669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000000000006669</v>
          </cell>
        </row>
        <row r="125">
          <cell r="C125">
            <v>100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C127">
            <v>4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C128" t="str">
            <v>LED-A444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000000000006669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持出端材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P130">
            <v>0</v>
          </cell>
          <cell r="T130" t="str">
            <v>000000000006669</v>
          </cell>
        </row>
        <row r="131">
          <cell r="C131" t="str">
            <v>8FL281304 4810　L=297</v>
          </cell>
          <cell r="I131">
            <v>0</v>
          </cell>
          <cell r="J131">
            <v>0</v>
          </cell>
          <cell r="K131">
            <v>0</v>
          </cell>
          <cell r="O131">
            <v>0</v>
          </cell>
          <cell r="T131" t="str">
            <v>000000000006652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000000000006652</v>
          </cell>
        </row>
        <row r="133">
          <cell r="C133">
            <v>300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000000000006652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持出端材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P138">
            <v>0</v>
          </cell>
          <cell r="T138" t="str">
            <v>000000000006652</v>
          </cell>
        </row>
        <row r="139">
          <cell r="C139" t="str">
            <v>8FL281304 5010　L=888</v>
          </cell>
          <cell r="I139">
            <v>0</v>
          </cell>
          <cell r="J139">
            <v>0</v>
          </cell>
          <cell r="K139">
            <v>0</v>
          </cell>
          <cell r="O139">
            <v>0</v>
          </cell>
          <cell r="T139" t="str">
            <v>000000000006663-2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000000000006663-2</v>
          </cell>
        </row>
        <row r="141">
          <cell r="C141">
            <v>2000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000000000006663-2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000000000006663-2</v>
          </cell>
        </row>
        <row r="143">
          <cell r="C143">
            <v>2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000000000006663-2</v>
          </cell>
        </row>
        <row r="144">
          <cell r="C144" t="str">
            <v>LED-A888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0</v>
          </cell>
          <cell r="T144" t="str">
            <v>000000000006663-2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持出端材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P146">
            <v>0</v>
          </cell>
          <cell r="T146" t="str">
            <v>000000000006663-2</v>
          </cell>
        </row>
        <row r="147">
          <cell r="C147" t="str">
            <v>8FL281304 5010　L=888</v>
          </cell>
          <cell r="I147">
            <v>0</v>
          </cell>
          <cell r="J147">
            <v>0</v>
          </cell>
          <cell r="K147">
            <v>0</v>
          </cell>
          <cell r="O147">
            <v>0</v>
          </cell>
          <cell r="T147" t="str">
            <v>000000000006665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000000000006665</v>
          </cell>
        </row>
        <row r="149">
          <cell r="C149">
            <v>700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000000000006665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000000000006665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000000000006665</v>
          </cell>
        </row>
        <row r="152">
          <cell r="C152" t="str">
            <v>LED-A888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0</v>
          </cell>
          <cell r="T152" t="str">
            <v>000000000006665</v>
          </cell>
        </row>
        <row r="153">
          <cell r="C153">
            <v>2</v>
          </cell>
          <cell r="G153" t="str">
            <v/>
          </cell>
          <cell r="K153">
            <v>0</v>
          </cell>
          <cell r="L153" t="str">
            <v>持出端材</v>
          </cell>
          <cell r="T153" t="str">
            <v>000000000006665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P154">
            <v>0</v>
          </cell>
          <cell r="T154" t="str">
            <v>000000000006665</v>
          </cell>
        </row>
        <row r="155">
          <cell r="C155" t="str">
            <v>8FL281304 6110　L=1478</v>
          </cell>
          <cell r="I155">
            <v>0</v>
          </cell>
          <cell r="J155">
            <v>0</v>
          </cell>
          <cell r="K155">
            <v>0</v>
          </cell>
          <cell r="O155">
            <v>0</v>
          </cell>
          <cell r="T155" t="str">
            <v>000000000006668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000000000006668</v>
          </cell>
        </row>
        <row r="157">
          <cell r="C157">
            <v>500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000000000006668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000000000006668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000000000006668</v>
          </cell>
        </row>
        <row r="160">
          <cell r="C160" t="str">
            <v>LED-A1478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000000000006668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持出端材</v>
          </cell>
          <cell r="T161" t="str">
            <v>000000000006668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P162">
            <v>0</v>
          </cell>
          <cell r="T162" t="str">
            <v>000000000006668</v>
          </cell>
        </row>
        <row r="163">
          <cell r="C163" t="str">
            <v>8FL281304 8310　L=748</v>
          </cell>
          <cell r="I163">
            <v>0</v>
          </cell>
          <cell r="J163">
            <v>0</v>
          </cell>
          <cell r="K163">
            <v>0</v>
          </cell>
          <cell r="O163">
            <v>0</v>
          </cell>
          <cell r="T163" t="str">
            <v>000000000006670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000000000006670</v>
          </cell>
        </row>
        <row r="165">
          <cell r="C165">
            <v>200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000000000006670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000000000006670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000000000006670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O168">
            <v>0</v>
          </cell>
          <cell r="T168" t="str">
            <v>000000000006670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持出端材</v>
          </cell>
          <cell r="T169" t="str">
            <v>000000000006670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P170">
            <v>0</v>
          </cell>
          <cell r="T170" t="str">
            <v>000000000006670</v>
          </cell>
        </row>
        <row r="171">
          <cell r="C171" t="str">
            <v>灯具カバーPC IN 2100　L=1923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000000000006737-1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000000000006737-1</v>
          </cell>
        </row>
        <row r="173">
          <cell r="C173">
            <v>32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000000000006737-1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000000000006737-1</v>
          </cell>
        </row>
        <row r="175">
          <cell r="C175">
            <v>1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000000000006737-1</v>
          </cell>
        </row>
        <row r="176">
          <cell r="C176" t="str">
            <v>灯具-2　L＝1996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000000000006737-1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000000000006737-1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000000000006737-1</v>
          </cell>
        </row>
        <row r="179">
          <cell r="C179" t="str">
            <v>灯具カバーPC IN 2110　L=1815</v>
          </cell>
          <cell r="I179">
            <v>0</v>
          </cell>
          <cell r="J179">
            <v>0</v>
          </cell>
          <cell r="K179">
            <v>0</v>
          </cell>
          <cell r="O179">
            <v>0</v>
          </cell>
          <cell r="T179" t="str">
            <v>000000000006742-1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000000000006742-1</v>
          </cell>
        </row>
        <row r="181">
          <cell r="C181">
            <v>48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000000000006742-1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000000000006742-1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000000000006742-1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000000000006742-1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持出端材</v>
          </cell>
          <cell r="T185" t="str">
            <v>000000000006742-1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P186">
            <v>0</v>
          </cell>
          <cell r="T186" t="str">
            <v>000000000006742-1</v>
          </cell>
        </row>
        <row r="187">
          <cell r="C187" t="str">
            <v>8FL281304 5010　L=888</v>
          </cell>
          <cell r="I187">
            <v>0</v>
          </cell>
          <cell r="J187">
            <v>0</v>
          </cell>
          <cell r="K187">
            <v>0</v>
          </cell>
          <cell r="O187">
            <v>0</v>
          </cell>
          <cell r="T187" t="str">
            <v>000000000006666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000000000006666</v>
          </cell>
        </row>
        <row r="189">
          <cell r="C189">
            <v>2000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000000000006666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000000000006666</v>
          </cell>
        </row>
        <row r="191">
          <cell r="C191">
            <v>2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000000000006666</v>
          </cell>
        </row>
        <row r="192">
          <cell r="C192" t="str">
            <v>LED-A888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T192" t="str">
            <v>000000000006666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持出端材</v>
          </cell>
          <cell r="T193" t="str">
            <v>000000000006666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P194">
            <v>0</v>
          </cell>
          <cell r="T194" t="str">
            <v>000000000006666</v>
          </cell>
        </row>
        <row r="195">
          <cell r="C195" t="str">
            <v>灯具カバーPC IN 2130　L=908</v>
          </cell>
          <cell r="I195">
            <v>0</v>
          </cell>
          <cell r="J195">
            <v>0</v>
          </cell>
          <cell r="K195">
            <v>0</v>
          </cell>
          <cell r="O195">
            <v>0</v>
          </cell>
          <cell r="T195" t="str">
            <v>000000000006738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000000000006738</v>
          </cell>
        </row>
        <row r="197">
          <cell r="C197">
            <v>192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000000000006738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000000000006738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000000000006738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000000000006738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持出端材</v>
          </cell>
          <cell r="T201" t="str">
            <v>000000000006738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P202">
            <v>0</v>
          </cell>
          <cell r="T202" t="str">
            <v>000000000006738</v>
          </cell>
        </row>
        <row r="203">
          <cell r="C203" t="str">
            <v>灯具カバーPC IN 2460　L=1291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000000000006739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000000000006739</v>
          </cell>
        </row>
        <row r="205">
          <cell r="C205">
            <v>96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000000000006739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000000000006739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000000000006739</v>
          </cell>
        </row>
        <row r="208">
          <cell r="C208" t="str">
            <v>灯具-1　L=1370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000000000006739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000000000006739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000000000006739</v>
          </cell>
        </row>
        <row r="211">
          <cell r="I211">
            <v>0</v>
          </cell>
          <cell r="J211" t="e">
            <v>#DIV/0!</v>
          </cell>
          <cell r="K211" t="e">
            <v>#DIV/0!</v>
          </cell>
          <cell r="O211">
            <v>0</v>
          </cell>
          <cell r="T211" t="str">
            <v/>
          </cell>
        </row>
        <row r="212">
          <cell r="G212" t="str">
            <v/>
          </cell>
          <cell r="I212" t="str">
            <v/>
          </cell>
          <cell r="K212" t="e">
            <v>#DIV/0!</v>
          </cell>
          <cell r="O212" t="e">
            <v>#DIV/0!</v>
          </cell>
          <cell r="T212" t="str">
            <v/>
          </cell>
        </row>
        <row r="213">
          <cell r="G213" t="str">
            <v/>
          </cell>
          <cell r="K213" t="e">
            <v>#DIV/0!</v>
          </cell>
          <cell r="O213" t="str">
            <v/>
          </cell>
          <cell r="T213" t="str">
            <v/>
          </cell>
        </row>
        <row r="214">
          <cell r="G214" t="str">
            <v/>
          </cell>
          <cell r="K214" t="e">
            <v>#DIV/0!</v>
          </cell>
          <cell r="O214" t="str">
            <v/>
          </cell>
          <cell r="T214" t="str">
            <v/>
          </cell>
        </row>
        <row r="215">
          <cell r="G215" t="str">
            <v/>
          </cell>
          <cell r="K215" t="e">
            <v>#DIV/0!</v>
          </cell>
          <cell r="O215">
            <v>0</v>
          </cell>
          <cell r="T215" t="str">
            <v/>
          </cell>
        </row>
        <row r="216">
          <cell r="G216" t="str">
            <v/>
          </cell>
          <cell r="K216" t="e">
            <v>#DIV/0!</v>
          </cell>
          <cell r="L216" t="str">
            <v>旧品加工</v>
          </cell>
          <cell r="O216" t="e">
            <v>#DIV/0!</v>
          </cell>
          <cell r="T216" t="str">
            <v/>
          </cell>
        </row>
        <row r="217">
          <cell r="C217" t="e">
            <v>#DIV/0!</v>
          </cell>
          <cell r="G217" t="str">
            <v/>
          </cell>
          <cell r="K217" t="e">
            <v>#DIV/0!</v>
          </cell>
          <cell r="L217" t="str">
            <v>持出端材</v>
          </cell>
          <cell r="T217" t="str">
            <v/>
          </cell>
        </row>
        <row r="218">
          <cell r="G218" t="str">
            <v/>
          </cell>
          <cell r="K218" t="e">
            <v>#DIV/0!</v>
          </cell>
          <cell r="L218" t="str">
            <v>α端材</v>
          </cell>
          <cell r="M218" t="e">
            <v>#DIV/0!</v>
          </cell>
          <cell r="P218">
            <v>0</v>
          </cell>
          <cell r="T218" t="str">
            <v/>
          </cell>
        </row>
        <row r="219">
          <cell r="C219" t="str">
            <v>PK-59827 L=500</v>
          </cell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000000000006874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000000000006874</v>
          </cell>
        </row>
        <row r="221">
          <cell r="C221">
            <v>750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000000000006874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000000000006874</v>
          </cell>
        </row>
        <row r="223">
          <cell r="C223">
            <v>3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000000000006874</v>
          </cell>
        </row>
        <row r="224">
          <cell r="C224" t="str">
            <v>PK-59827 L=500用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000000000006874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000000000006874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000000000006874</v>
          </cell>
        </row>
        <row r="227">
          <cell r="I227">
            <v>0</v>
          </cell>
          <cell r="J227" t="e">
            <v>#DIV/0!</v>
          </cell>
          <cell r="K227" t="e">
            <v>#DIV/0!</v>
          </cell>
          <cell r="O227">
            <v>0</v>
          </cell>
          <cell r="T227" t="str">
            <v/>
          </cell>
        </row>
        <row r="228">
          <cell r="G228" t="str">
            <v/>
          </cell>
          <cell r="I228" t="str">
            <v/>
          </cell>
          <cell r="K228" t="e">
            <v>#DIV/0!</v>
          </cell>
          <cell r="O228" t="e">
            <v>#DIV/0!</v>
          </cell>
          <cell r="T228" t="str">
            <v/>
          </cell>
        </row>
        <row r="229">
          <cell r="G229" t="str">
            <v/>
          </cell>
          <cell r="K229" t="e">
            <v>#DIV/0!</v>
          </cell>
          <cell r="O229" t="str">
            <v/>
          </cell>
          <cell r="T229" t="str">
            <v/>
          </cell>
        </row>
        <row r="230">
          <cell r="G230" t="str">
            <v/>
          </cell>
          <cell r="K230" t="e">
            <v>#DIV/0!</v>
          </cell>
          <cell r="O230" t="str">
            <v/>
          </cell>
          <cell r="T230" t="str">
            <v/>
          </cell>
        </row>
        <row r="231">
          <cell r="G231" t="str">
            <v/>
          </cell>
          <cell r="K231" t="e">
            <v>#DIV/0!</v>
          </cell>
          <cell r="O231">
            <v>0</v>
          </cell>
          <cell r="T231" t="str">
            <v/>
          </cell>
        </row>
        <row r="232">
          <cell r="G232" t="str">
            <v/>
          </cell>
          <cell r="K232" t="e">
            <v>#DIV/0!</v>
          </cell>
          <cell r="L232" t="str">
            <v>旧品加工</v>
          </cell>
          <cell r="O232" t="e">
            <v>#DIV/0!</v>
          </cell>
          <cell r="T232" t="str">
            <v/>
          </cell>
        </row>
        <row r="233">
          <cell r="C233" t="e">
            <v>#DIV/0!</v>
          </cell>
          <cell r="G233" t="str">
            <v/>
          </cell>
          <cell r="K233" t="e">
            <v>#DIV/0!</v>
          </cell>
          <cell r="L233" t="str">
            <v>持出端材</v>
          </cell>
          <cell r="T233" t="str">
            <v/>
          </cell>
        </row>
        <row r="234">
          <cell r="G234" t="str">
            <v/>
          </cell>
          <cell r="K234" t="e">
            <v>#DIV/0!</v>
          </cell>
          <cell r="L234" t="str">
            <v>α端材</v>
          </cell>
          <cell r="M234" t="e">
            <v>#DIV/0!</v>
          </cell>
          <cell r="P234">
            <v>0</v>
          </cell>
          <cell r="T234" t="str">
            <v/>
          </cell>
        </row>
        <row r="235">
          <cell r="C235" t="str">
            <v>灯具カバーPC IN 2480　L=954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000000000006740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000000000006740</v>
          </cell>
        </row>
        <row r="237">
          <cell r="C237">
            <v>96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000000000006740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000000000006740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000000000006740</v>
          </cell>
        </row>
        <row r="240">
          <cell r="C240" t="str">
            <v>灯具-1　L=1370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000000000006740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000000000006740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000000000006740</v>
          </cell>
        </row>
        <row r="243">
          <cell r="C243" t="str">
            <v>灯具カバーPC IN 2050　L=1183.5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000000000006733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000000000006733</v>
          </cell>
        </row>
        <row r="245">
          <cell r="C245">
            <v>196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000000000006733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000000000006733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000000000006733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000000000006733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000000000006733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000000000006733</v>
          </cell>
        </row>
        <row r="251">
          <cell r="C251" t="str">
            <v>灯具カバーPC IN 2490　L=1264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000000000006741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000000000006741</v>
          </cell>
        </row>
        <row r="253">
          <cell r="C253">
            <v>96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000000000006741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000000000006741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000000000006741</v>
          </cell>
        </row>
        <row r="256">
          <cell r="C256" t="str">
            <v>灯具-1　L=1370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000000000006741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000000000006741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000000000006741</v>
          </cell>
        </row>
        <row r="259">
          <cell r="C259" t="str">
            <v>灯具カバーPC IN 2110　L=1815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000000000006742-2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000000000006742-2</v>
          </cell>
        </row>
        <row r="261">
          <cell r="C261">
            <v>352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000000000006742-2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000000000006742-2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000000000006742-2</v>
          </cell>
        </row>
        <row r="264">
          <cell r="C264" t="str">
            <v>灯具-2　L＝1996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000000000006742-2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000000000006742-2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000000000006742-2</v>
          </cell>
        </row>
        <row r="267">
          <cell r="I267">
            <v>0</v>
          </cell>
          <cell r="J267" t="e">
            <v>#DIV/0!</v>
          </cell>
          <cell r="K267" t="e">
            <v>#DIV/0!</v>
          </cell>
          <cell r="O267">
            <v>0</v>
          </cell>
          <cell r="T267" t="str">
            <v/>
          </cell>
        </row>
        <row r="268">
          <cell r="G268" t="str">
            <v/>
          </cell>
          <cell r="I268" t="str">
            <v/>
          </cell>
          <cell r="K268" t="e">
            <v>#DIV/0!</v>
          </cell>
          <cell r="O268" t="e">
            <v>#DIV/0!</v>
          </cell>
          <cell r="T268" t="str">
            <v/>
          </cell>
        </row>
        <row r="269">
          <cell r="G269" t="str">
            <v/>
          </cell>
          <cell r="K269" t="e">
            <v>#DIV/0!</v>
          </cell>
          <cell r="O269" t="str">
            <v/>
          </cell>
          <cell r="T269" t="str">
            <v/>
          </cell>
        </row>
        <row r="270">
          <cell r="G270" t="str">
            <v/>
          </cell>
          <cell r="K270" t="e">
            <v>#DIV/0!</v>
          </cell>
          <cell r="O270" t="str">
            <v/>
          </cell>
          <cell r="T270" t="str">
            <v/>
          </cell>
        </row>
        <row r="271">
          <cell r="G271" t="str">
            <v/>
          </cell>
          <cell r="K271" t="e">
            <v>#DIV/0!</v>
          </cell>
          <cell r="O271">
            <v>0</v>
          </cell>
          <cell r="T271" t="str">
            <v/>
          </cell>
        </row>
        <row r="272">
          <cell r="G272" t="str">
            <v/>
          </cell>
          <cell r="K272" t="e">
            <v>#DIV/0!</v>
          </cell>
          <cell r="L272" t="str">
            <v>旧品加工</v>
          </cell>
          <cell r="O272" t="e">
            <v>#DIV/0!</v>
          </cell>
          <cell r="T272" t="str">
            <v/>
          </cell>
        </row>
        <row r="273">
          <cell r="C273" t="e">
            <v>#DIV/0!</v>
          </cell>
          <cell r="G273" t="str">
            <v/>
          </cell>
          <cell r="K273" t="e">
            <v>#DIV/0!</v>
          </cell>
          <cell r="L273" t="str">
            <v>持出端材</v>
          </cell>
          <cell r="T273" t="str">
            <v/>
          </cell>
        </row>
        <row r="274">
          <cell r="G274" t="str">
            <v/>
          </cell>
          <cell r="K274" t="e">
            <v>#DIV/0!</v>
          </cell>
          <cell r="L274" t="str">
            <v>α端材</v>
          </cell>
          <cell r="M274" t="e">
            <v>#DIV/0!</v>
          </cell>
          <cell r="P274">
            <v>0</v>
          </cell>
          <cell r="T274" t="str">
            <v/>
          </cell>
        </row>
        <row r="275">
          <cell r="C275" t="str">
            <v>PK-59827 L=700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000000000006875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000000000006875</v>
          </cell>
        </row>
        <row r="277">
          <cell r="C277">
            <v>1100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000000000006875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000000000006875</v>
          </cell>
        </row>
        <row r="279">
          <cell r="C279">
            <v>2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000000000006875</v>
          </cell>
        </row>
        <row r="280">
          <cell r="C280" t="str">
            <v>PK-59827 L=700用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000000000006875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000000000006875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000000000006875</v>
          </cell>
        </row>
        <row r="283">
          <cell r="I283">
            <v>0</v>
          </cell>
          <cell r="J283" t="e">
            <v>#DIV/0!</v>
          </cell>
          <cell r="K283" t="e">
            <v>#DIV/0!</v>
          </cell>
          <cell r="O283">
            <v>0</v>
          </cell>
          <cell r="T283" t="str">
            <v/>
          </cell>
        </row>
        <row r="284">
          <cell r="G284" t="str">
            <v/>
          </cell>
          <cell r="I284" t="str">
            <v/>
          </cell>
          <cell r="K284" t="e">
            <v>#DIV/0!</v>
          </cell>
          <cell r="O284" t="e">
            <v>#DIV/0!</v>
          </cell>
          <cell r="T284" t="str">
            <v/>
          </cell>
        </row>
        <row r="285">
          <cell r="G285" t="str">
            <v/>
          </cell>
          <cell r="K285" t="e">
            <v>#DIV/0!</v>
          </cell>
          <cell r="O285" t="str">
            <v/>
          </cell>
          <cell r="T285" t="str">
            <v/>
          </cell>
        </row>
        <row r="286">
          <cell r="G286" t="str">
            <v/>
          </cell>
          <cell r="K286" t="e">
            <v>#DIV/0!</v>
          </cell>
          <cell r="O286" t="str">
            <v/>
          </cell>
          <cell r="T286" t="str">
            <v/>
          </cell>
        </row>
        <row r="287">
          <cell r="G287" t="str">
            <v/>
          </cell>
          <cell r="K287" t="e">
            <v>#DIV/0!</v>
          </cell>
          <cell r="O287">
            <v>0</v>
          </cell>
          <cell r="T287" t="str">
            <v/>
          </cell>
        </row>
        <row r="288">
          <cell r="G288" t="str">
            <v/>
          </cell>
          <cell r="K288" t="e">
            <v>#DIV/0!</v>
          </cell>
          <cell r="L288" t="str">
            <v>旧品加工</v>
          </cell>
          <cell r="O288" t="e">
            <v>#DIV/0!</v>
          </cell>
          <cell r="T288" t="str">
            <v/>
          </cell>
        </row>
        <row r="289">
          <cell r="C289" t="e">
            <v>#DIV/0!</v>
          </cell>
          <cell r="G289" t="str">
            <v/>
          </cell>
          <cell r="K289" t="e">
            <v>#DIV/0!</v>
          </cell>
          <cell r="L289" t="str">
            <v>持出端材</v>
          </cell>
          <cell r="T289" t="str">
            <v/>
          </cell>
        </row>
        <row r="290">
          <cell r="G290" t="str">
            <v/>
          </cell>
          <cell r="K290" t="e">
            <v>#DIV/0!</v>
          </cell>
          <cell r="L290" t="str">
            <v>α端材</v>
          </cell>
          <cell r="M290" t="e">
            <v>#DIV/0!</v>
          </cell>
          <cell r="P290">
            <v>0</v>
          </cell>
          <cell r="T290" t="str">
            <v/>
          </cell>
        </row>
        <row r="291">
          <cell r="C291" t="str">
            <v>灯具カバーPC IN 2100　L=1923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000000000006737-2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000000000006737-2</v>
          </cell>
        </row>
        <row r="293">
          <cell r="C293">
            <v>368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000000000006737-2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000000000006737-2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000000000006737-2</v>
          </cell>
        </row>
        <row r="296">
          <cell r="C296" t="str">
            <v>灯具-2　L＝1996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000000000006737-2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000000000006737-2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000000000006737-2</v>
          </cell>
        </row>
        <row r="299">
          <cell r="C299" t="str">
            <v>8FL281304 4810　L=297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000000000007052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000000000007052</v>
          </cell>
        </row>
        <row r="301">
          <cell r="C301">
            <v>300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000000000007052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000000000007052</v>
          </cell>
        </row>
        <row r="303">
          <cell r="C303">
            <v>6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000000000007052</v>
          </cell>
        </row>
        <row r="304">
          <cell r="C304" t="str">
            <v>LED-A300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000000000007052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000000000007052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000000000007052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000000000007054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000000000007054</v>
          </cell>
        </row>
        <row r="309">
          <cell r="C309">
            <v>300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000000000007054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000000000007054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000000000007054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000000000007054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000000000007054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000000000007054</v>
          </cell>
        </row>
        <row r="315">
          <cell r="C315" t="str">
            <v>8FL281304 5010　L=888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000000000007060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000000000007060</v>
          </cell>
        </row>
        <row r="317">
          <cell r="C317">
            <v>3000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000000000007060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000000000007060</v>
          </cell>
        </row>
        <row r="319">
          <cell r="C319">
            <v>2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000000000007060</v>
          </cell>
        </row>
        <row r="320">
          <cell r="C320" t="str">
            <v>LED-A888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000000000007060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000000000007060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000000000007060</v>
          </cell>
        </row>
        <row r="323">
          <cell r="C323" t="str">
            <v>8FL281304 8310　L=748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000000000007056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000000000007056</v>
          </cell>
        </row>
        <row r="325">
          <cell r="C325">
            <v>200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000000000007056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000000000007056</v>
          </cell>
        </row>
        <row r="327">
          <cell r="C327">
            <v>2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000000000007056</v>
          </cell>
        </row>
        <row r="328">
          <cell r="C328" t="str">
            <v>LED-A888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000000000007056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000000000007056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000000000007056</v>
          </cell>
        </row>
        <row r="331">
          <cell r="C331" t="str">
            <v>8FL281304 4810　L=297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000000000007053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000000000007053</v>
          </cell>
        </row>
        <row r="333">
          <cell r="C333">
            <v>300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000000000007053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000000000007053</v>
          </cell>
        </row>
        <row r="335">
          <cell r="C335">
            <v>6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000000000007053</v>
          </cell>
        </row>
        <row r="336">
          <cell r="C336" t="str">
            <v>LED-A300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000000000007053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000000000007053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000000000007053</v>
          </cell>
        </row>
        <row r="339">
          <cell r="C339" t="str">
            <v>8FL281304 4910　L=592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000000000007055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000000000007055</v>
          </cell>
        </row>
        <row r="341">
          <cell r="C341">
            <v>300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000000000007055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000000000007055</v>
          </cell>
        </row>
        <row r="343">
          <cell r="C343">
            <v>3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000000000007055</v>
          </cell>
        </row>
        <row r="344">
          <cell r="C344" t="str">
            <v>LED-A592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000000000007055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000000000007055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000000000007055</v>
          </cell>
        </row>
        <row r="347">
          <cell r="C347" t="str">
            <v>8FL281304 5010　L=888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000000000007061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000000000007061</v>
          </cell>
        </row>
        <row r="349">
          <cell r="C349">
            <v>3000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000000000007061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000000000007061</v>
          </cell>
        </row>
        <row r="351">
          <cell r="C351">
            <v>2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000000000007061</v>
          </cell>
        </row>
        <row r="352">
          <cell r="C352" t="str">
            <v>LED-A888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000000000007061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000000000007061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000000000007061</v>
          </cell>
        </row>
        <row r="355">
          <cell r="C355" t="str">
            <v>8FL281304 8310　L=748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000000000007057</v>
          </cell>
        </row>
        <row r="357">
          <cell r="C357">
            <v>200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000000000007057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000000000007057</v>
          </cell>
        </row>
        <row r="359">
          <cell r="C359">
            <v>2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000000000007057</v>
          </cell>
        </row>
        <row r="360">
          <cell r="C360" t="str">
            <v>LED-A888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000000000007057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000000000007058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000000000007058</v>
          </cell>
        </row>
        <row r="365">
          <cell r="C365">
            <v>900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000000000007058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000000000007058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000000000007058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000000000007058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000000000007058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000000000007058</v>
          </cell>
        </row>
        <row r="371">
          <cell r="C371" t="str">
            <v>8FL281304 6110　L=1478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000000000007059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000000000007059</v>
          </cell>
        </row>
        <row r="373">
          <cell r="C373">
            <v>600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000000000007059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000000000007059</v>
          </cell>
        </row>
        <row r="375">
          <cell r="C375">
            <v>1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000000000007059</v>
          </cell>
        </row>
        <row r="376">
          <cell r="C376" t="str">
            <v>LED-A1478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000000000007059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000000000007059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000000000007059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F37" sqref="F37:J37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2" t="s">
        <v>0</v>
      </c>
      <c r="C1" s="125"/>
      <c r="D1" s="125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5"/>
      <c r="C2" s="125"/>
      <c r="D2" s="125"/>
      <c r="E2" s="12"/>
      <c r="F2" s="12"/>
      <c r="G2" s="12"/>
      <c r="H2" s="12"/>
      <c r="I2" s="12"/>
      <c r="J2" s="12"/>
    </row>
    <row r="3" spans="1:10" ht="14.25" customHeight="1">
      <c r="A3" s="124" t="s">
        <v>1</v>
      </c>
      <c r="B3" s="124" t="s">
        <v>2</v>
      </c>
      <c r="C3" s="124" t="s">
        <v>3</v>
      </c>
      <c r="D3" s="141">
        <v>1996</v>
      </c>
      <c r="E3" s="124" t="s">
        <v>4</v>
      </c>
      <c r="F3" s="150" t="s">
        <v>5</v>
      </c>
      <c r="G3" s="125"/>
      <c r="H3" s="147"/>
      <c r="I3" s="13" t="s">
        <v>6</v>
      </c>
      <c r="J3" s="13" t="s">
        <v>7</v>
      </c>
    </row>
    <row r="4" spans="1:10" ht="14.25" customHeight="1">
      <c r="A4" s="125"/>
      <c r="B4" s="125"/>
      <c r="C4" s="125"/>
      <c r="D4" s="125"/>
      <c r="E4" s="125"/>
      <c r="F4" s="125"/>
      <c r="G4" s="125"/>
      <c r="H4" s="147"/>
      <c r="I4" s="144"/>
      <c r="J4" s="144"/>
    </row>
    <row r="5" spans="1:10" ht="17.45" customHeight="1">
      <c r="A5" s="137" t="s">
        <v>8</v>
      </c>
      <c r="B5" s="137" t="s">
        <v>9</v>
      </c>
      <c r="E5" s="137" t="s">
        <v>10</v>
      </c>
      <c r="F5" s="154" t="s">
        <v>11</v>
      </c>
      <c r="G5" s="125"/>
      <c r="H5" s="147"/>
      <c r="I5" s="145"/>
      <c r="J5" s="145"/>
    </row>
    <row r="6" spans="1:10" ht="17.45" customHeight="1">
      <c r="A6" s="125"/>
      <c r="B6" s="125"/>
      <c r="E6" s="125"/>
      <c r="F6" s="125"/>
      <c r="G6" s="125"/>
      <c r="H6" s="147"/>
      <c r="I6" s="14"/>
      <c r="J6" s="14"/>
    </row>
    <row r="7" spans="1:10" ht="17.45" customHeight="1">
      <c r="A7" s="137" t="s">
        <v>12</v>
      </c>
      <c r="B7" s="137" t="s">
        <v>13</v>
      </c>
      <c r="E7" s="2" t="s">
        <v>14</v>
      </c>
      <c r="F7" s="155" t="s">
        <v>15</v>
      </c>
      <c r="G7" s="125"/>
      <c r="H7" s="21"/>
    </row>
    <row r="8" spans="1:10" ht="17.45" customHeight="1">
      <c r="A8" s="125"/>
      <c r="B8" s="125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45901</v>
      </c>
      <c r="E9" s="2" t="s">
        <v>19</v>
      </c>
      <c r="F9" s="153">
        <v>42</v>
      </c>
      <c r="G9" s="125"/>
      <c r="H9" s="21"/>
    </row>
    <row r="10" spans="1:10" ht="17.45" customHeight="1">
      <c r="A10" s="2" t="s">
        <v>20</v>
      </c>
      <c r="B10" s="4">
        <v>45901</v>
      </c>
      <c r="E10" s="2" t="s">
        <v>21</v>
      </c>
      <c r="F10" s="21">
        <v>14</v>
      </c>
      <c r="G10" s="164" t="s">
        <v>22</v>
      </c>
      <c r="H10" s="159">
        <v>588</v>
      </c>
      <c r="I10" s="160"/>
      <c r="J10" s="161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62"/>
      <c r="H11" s="162"/>
      <c r="I11" s="127"/>
      <c r="J11" s="148"/>
    </row>
    <row r="12" spans="1:10" ht="13.5" customHeight="1">
      <c r="A12" s="163" t="s">
        <v>25</v>
      </c>
      <c r="B12" s="125"/>
      <c r="C12" s="125"/>
      <c r="D12" s="20"/>
      <c r="F12" s="3"/>
      <c r="G12" s="151" t="s">
        <v>26</v>
      </c>
      <c r="H12" s="142" t="s">
        <v>27</v>
      </c>
      <c r="I12" s="146" t="s">
        <v>28</v>
      </c>
      <c r="J12" s="147"/>
    </row>
    <row r="13" spans="1:10" ht="13.5" customHeight="1">
      <c r="A13" s="125"/>
      <c r="B13" s="125"/>
      <c r="C13" s="125"/>
      <c r="D13" s="20"/>
      <c r="F13" s="3"/>
      <c r="G13" s="143"/>
      <c r="H13" s="143"/>
      <c r="I13" s="127"/>
      <c r="J13" s="148"/>
    </row>
    <row r="14" spans="1:10" ht="13.5" customHeight="1">
      <c r="A14" s="1" t="s">
        <v>29</v>
      </c>
    </row>
    <row r="15" spans="1:10" ht="63" customHeight="1" thickBot="1">
      <c r="A15" s="156"/>
      <c r="B15" s="157"/>
      <c r="C15" s="157"/>
      <c r="D15" s="157"/>
      <c r="E15" s="157"/>
      <c r="F15" s="157"/>
      <c r="G15" s="157"/>
      <c r="H15" s="157"/>
      <c r="I15" s="157"/>
      <c r="J15" s="157"/>
    </row>
    <row r="16" spans="1:10" ht="18.75">
      <c r="A16" s="23" t="s">
        <v>30</v>
      </c>
      <c r="B16" s="16" t="s">
        <v>31</v>
      </c>
      <c r="C16" s="139" t="s">
        <v>32</v>
      </c>
      <c r="D16" s="140"/>
      <c r="E16" s="16" t="s">
        <v>33</v>
      </c>
      <c r="F16" s="139" t="s">
        <v>34</v>
      </c>
      <c r="G16" s="140"/>
      <c r="H16" s="140"/>
      <c r="I16" s="158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8" t="s">
        <v>37</v>
      </c>
      <c r="D18" s="99"/>
      <c r="E18" s="24" t="s">
        <v>38</v>
      </c>
      <c r="F18" s="98" t="s">
        <v>39</v>
      </c>
      <c r="G18" s="99"/>
      <c r="H18" s="99"/>
      <c r="I18" s="149"/>
      <c r="J18" s="99"/>
    </row>
    <row r="19" spans="1:10" s="7" customFormat="1" ht="16.5" customHeight="1">
      <c r="A19" s="22">
        <v>1</v>
      </c>
      <c r="B19" s="25" t="s">
        <v>36</v>
      </c>
      <c r="C19" s="98" t="s">
        <v>37</v>
      </c>
      <c r="D19" s="99"/>
      <c r="E19" s="24" t="s">
        <v>40</v>
      </c>
      <c r="F19" s="98" t="s">
        <v>41</v>
      </c>
      <c r="G19" s="99"/>
      <c r="H19" s="99"/>
      <c r="I19" s="149"/>
      <c r="J19" s="99"/>
    </row>
    <row r="20" spans="1:10" s="7" customFormat="1" ht="16.5" customHeight="1">
      <c r="A20" s="22"/>
      <c r="B20" s="25"/>
      <c r="C20" s="98"/>
      <c r="D20" s="99"/>
      <c r="E20" s="24"/>
      <c r="F20" s="98"/>
      <c r="G20" s="99"/>
      <c r="H20" s="99"/>
      <c r="I20" s="149"/>
      <c r="J20" s="99"/>
    </row>
    <row r="21" spans="1:10" s="7" customFormat="1" ht="16.5" customHeight="1">
      <c r="A21" s="22"/>
      <c r="B21" s="25"/>
      <c r="C21" s="98"/>
      <c r="D21" s="99"/>
      <c r="E21" s="24"/>
      <c r="F21" s="98"/>
      <c r="G21" s="99"/>
      <c r="H21" s="99"/>
      <c r="I21" s="149"/>
      <c r="J21" s="99"/>
    </row>
    <row r="22" spans="1:10" s="7" customFormat="1" ht="16.5" customHeight="1">
      <c r="A22" s="22"/>
      <c r="B22" s="25"/>
      <c r="C22" s="98"/>
      <c r="D22" s="99"/>
      <c r="E22" s="24"/>
      <c r="F22" s="98"/>
      <c r="G22" s="99"/>
      <c r="H22" s="99"/>
      <c r="I22" s="149"/>
      <c r="J22" s="99"/>
    </row>
    <row r="23" spans="1:10" s="7" customFormat="1" ht="16.5" customHeight="1">
      <c r="A23" s="22"/>
      <c r="B23" s="25"/>
      <c r="C23" s="98"/>
      <c r="D23" s="99"/>
      <c r="E23" s="24"/>
      <c r="F23" s="98"/>
      <c r="G23" s="99"/>
      <c r="H23" s="99"/>
      <c r="I23" s="149"/>
      <c r="J23" s="9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4" t="s">
        <v>42</v>
      </c>
      <c r="B25" s="95"/>
      <c r="C25" s="94" t="s">
        <v>43</v>
      </c>
      <c r="D25" s="95"/>
      <c r="E25" s="95"/>
      <c r="F25" s="17" t="s">
        <v>44</v>
      </c>
      <c r="G25" s="94" t="s">
        <v>45</v>
      </c>
      <c r="H25" s="95"/>
      <c r="I25" s="94" t="s">
        <v>46</v>
      </c>
      <c r="J25" s="95"/>
    </row>
    <row r="26" spans="1:10" ht="14.25" customHeight="1">
      <c r="A26" s="8"/>
      <c r="B26" s="18"/>
      <c r="C26" s="126" t="s">
        <v>47</v>
      </c>
      <c r="D26" s="127"/>
      <c r="E26" s="18"/>
      <c r="F26" s="126" t="s">
        <v>29</v>
      </c>
      <c r="G26" s="127"/>
      <c r="H26" s="127"/>
      <c r="I26" s="127"/>
      <c r="J26" s="127"/>
    </row>
    <row r="27" spans="1:10">
      <c r="A27" s="9"/>
      <c r="C27" s="7"/>
      <c r="D27" s="7"/>
      <c r="E27" s="7"/>
    </row>
    <row r="28" spans="1:10" s="5" customFormat="1" ht="14.25" customHeight="1">
      <c r="A28" s="98" t="s">
        <v>48</v>
      </c>
      <c r="B28" s="97"/>
      <c r="C28" s="98" t="s">
        <v>49</v>
      </c>
      <c r="D28" s="97"/>
      <c r="E28" s="97"/>
      <c r="F28" s="26" t="s">
        <v>50</v>
      </c>
      <c r="G28" s="96">
        <v>588</v>
      </c>
      <c r="H28" s="97"/>
      <c r="I28" s="96">
        <v>14</v>
      </c>
      <c r="J28" s="97"/>
    </row>
    <row r="29" spans="1:10" s="7" customFormat="1" ht="24.95" customHeight="1">
      <c r="A29" s="138" t="s">
        <v>51</v>
      </c>
      <c r="B29" s="99"/>
      <c r="C29" s="98" t="s">
        <v>11</v>
      </c>
      <c r="D29" s="99"/>
      <c r="E29" s="99"/>
      <c r="F29" s="98"/>
      <c r="G29" s="99"/>
      <c r="H29" s="99"/>
      <c r="I29" s="99"/>
      <c r="J29" s="99"/>
    </row>
    <row r="30" spans="1:10" s="5" customFormat="1" ht="14.25" customHeight="1">
      <c r="A30" s="98" t="s">
        <v>52</v>
      </c>
      <c r="B30" s="97"/>
      <c r="C30" s="98" t="s">
        <v>53</v>
      </c>
      <c r="D30" s="97"/>
      <c r="E30" s="97"/>
      <c r="F30" s="26" t="s">
        <v>54</v>
      </c>
      <c r="G30" s="96">
        <v>14.112</v>
      </c>
      <c r="H30" s="97"/>
      <c r="I30" s="96">
        <v>0.33600000000000002</v>
      </c>
      <c r="J30" s="97"/>
    </row>
    <row r="31" spans="1:10" s="7" customFormat="1" ht="24.95" customHeight="1">
      <c r="A31" s="138" t="s">
        <v>55</v>
      </c>
      <c r="B31" s="99"/>
      <c r="C31" s="98"/>
      <c r="D31" s="99"/>
      <c r="E31" s="99"/>
      <c r="F31" s="98"/>
      <c r="G31" s="99"/>
      <c r="H31" s="99"/>
      <c r="I31" s="99"/>
      <c r="J31" s="99"/>
    </row>
    <row r="32" spans="1:10" s="5" customFormat="1" ht="14.25" customHeight="1">
      <c r="A32" s="98" t="s">
        <v>56</v>
      </c>
      <c r="B32" s="97"/>
      <c r="C32" s="98" t="s">
        <v>57</v>
      </c>
      <c r="D32" s="97"/>
      <c r="E32" s="97"/>
      <c r="F32" s="26"/>
      <c r="G32" s="96">
        <v>0.58799999999999997</v>
      </c>
      <c r="H32" s="97"/>
      <c r="I32" s="96">
        <v>1.4E-2</v>
      </c>
      <c r="J32" s="97"/>
    </row>
    <row r="33" spans="1:14" s="7" customFormat="1" ht="24.95" customHeight="1">
      <c r="A33" s="138" t="s">
        <v>58</v>
      </c>
      <c r="B33" s="99"/>
      <c r="C33" s="98" t="s">
        <v>59</v>
      </c>
      <c r="D33" s="99"/>
      <c r="E33" s="99"/>
      <c r="F33" s="98"/>
      <c r="G33" s="99"/>
      <c r="H33" s="99"/>
      <c r="I33" s="99"/>
      <c r="J33" s="99"/>
    </row>
    <row r="34" spans="1:14" s="5" customFormat="1" ht="14.25" customHeight="1">
      <c r="A34" s="98"/>
      <c r="B34" s="97"/>
      <c r="C34" s="98"/>
      <c r="D34" s="97"/>
      <c r="E34" s="97"/>
      <c r="F34" s="26"/>
      <c r="G34" s="96"/>
      <c r="H34" s="97"/>
      <c r="I34" s="96"/>
      <c r="J34" s="97"/>
    </row>
    <row r="35" spans="1:14" s="7" customFormat="1" ht="24.95" customHeight="1">
      <c r="A35" s="138"/>
      <c r="B35" s="99"/>
      <c r="C35" s="98"/>
      <c r="D35" s="99"/>
      <c r="E35" s="99"/>
      <c r="F35" s="98"/>
      <c r="G35" s="99"/>
      <c r="H35" s="99"/>
      <c r="I35" s="99"/>
      <c r="J35" s="99"/>
    </row>
    <row r="36" spans="1:14" s="5" customFormat="1" ht="14.25" customHeight="1">
      <c r="A36" s="98"/>
      <c r="B36" s="97"/>
      <c r="C36" s="98"/>
      <c r="D36" s="97"/>
      <c r="E36" s="97"/>
      <c r="F36" s="26"/>
      <c r="G36" s="96"/>
      <c r="H36" s="97"/>
      <c r="I36" s="96"/>
      <c r="J36" s="97"/>
    </row>
    <row r="37" spans="1:14" s="7" customFormat="1" ht="24.95" customHeight="1" thickBot="1">
      <c r="A37" s="138"/>
      <c r="B37" s="99"/>
      <c r="C37" s="98"/>
      <c r="D37" s="99"/>
      <c r="E37" s="99"/>
      <c r="F37" s="98"/>
      <c r="G37" s="99"/>
      <c r="H37" s="99"/>
      <c r="I37" s="99"/>
      <c r="J37" s="99"/>
    </row>
    <row r="38" spans="1:14" s="5" customFormat="1" ht="18" customHeight="1">
      <c r="A38" s="88" t="s">
        <v>60</v>
      </c>
      <c r="B38" s="89"/>
      <c r="C38" s="89"/>
      <c r="D38" s="89"/>
      <c r="E38" s="90" t="s">
        <v>61</v>
      </c>
      <c r="F38" s="91"/>
      <c r="G38" s="27" t="s">
        <v>62</v>
      </c>
      <c r="H38" s="92" t="s">
        <v>63</v>
      </c>
      <c r="I38" s="93"/>
      <c r="J38" s="28" t="s">
        <v>64</v>
      </c>
    </row>
    <row r="39" spans="1:14" s="7" customFormat="1" ht="18" customHeight="1">
      <c r="A39" s="100" t="str">
        <f>_xlfn.XLOOKUP(B3,[1]VFDB2!A:A,[1]VFDB2!A:A)</f>
        <v>J1JAPAB00419960</v>
      </c>
      <c r="B39" s="101"/>
      <c r="C39" s="101"/>
      <c r="D39" s="101"/>
      <c r="E39" s="104" t="str" cm="1">
        <f t="array" ref="E39">IFERROR(IF(ISBLANK(INDEX(_xlfn._xlws.FILTER([1]加工記録２!$C$3:$C$100000, [1]加工記録２!$T$3:$T$100000=B5), 6)), "", INDEX(_xlfn._xlws.FILTER([1]加工記録２!$C$3:$C$100000, [1]加工記録２!$T$3:$T$100000=B5), 6)),"")</f>
        <v>上-1</v>
      </c>
      <c r="F39" s="105"/>
      <c r="G39" s="106" cm="1">
        <f t="array" ref="G39">IFERROR(IF(ISBLANK(INDEX(_xlfn._xlws.FILTER([1]加工記録２!$C$3:$C$100000, [1]加工記録２!$T$3:$T$100000=B5), 7)), " ", INDEX(_xlfn._xlws.FILTER([1]加工記録２!$C$3:$C$100000, [1]加工記録２!$T$3:$T$100000=B5), 7))," ")</f>
        <v>13</v>
      </c>
      <c r="H39" s="29" t="s">
        <v>65</v>
      </c>
      <c r="I39" s="30" cm="1">
        <f t="array" ref="I39:J39">IFERROR(IF(ISBLANK(INDEX(_xlfn._xlws.FILTER([1]加工記録２!$O$3:$P$100000, [1]加工記録２!$T$3:$T$100000=B5), 1)), "", INDEX(_xlfn._xlws.FILTER([1]加工記録２!$O$3:$P$100000, [1]加工記録２!$T$3:$T$100000=B5), 1)),"")</f>
        <v>45905</v>
      </c>
      <c r="J39" s="31">
        <v>19</v>
      </c>
    </row>
    <row r="40" spans="1:14" s="5" customFormat="1" ht="18" customHeight="1">
      <c r="A40" s="102"/>
      <c r="B40" s="103"/>
      <c r="C40" s="103"/>
      <c r="D40" s="103"/>
      <c r="E40" s="104"/>
      <c r="F40" s="105"/>
      <c r="G40" s="106"/>
      <c r="H40" s="29" t="s">
        <v>66</v>
      </c>
      <c r="I40" s="32" cm="1">
        <f t="array" ref="I40:J40">IFERROR(IF(ISBLANK(INDEX(_xlfn._xlws.FILTER([1]加工記録２!$O$3:$P$100000, [1]加工記録２!$T$3:$T$100000=B5), 2)), "", INDEX(_xlfn._xlws.FILTER([1]加工記録２!$O$3:$P$100000, [1]加工記録２!$T$3:$T$100000=B5), 2)),"")</f>
        <v>546</v>
      </c>
      <c r="J40" s="33">
        <v>47</v>
      </c>
      <c r="K40" s="34"/>
    </row>
    <row r="41" spans="1:14" s="7" customFormat="1" ht="18" customHeight="1">
      <c r="A41" s="107" t="s">
        <v>67</v>
      </c>
      <c r="B41" s="109" t="str">
        <f>_xlfn.XLOOKUP(B3,[1]VFDB2!A:A,[1]VFDB2!J:J)</f>
        <v>〇</v>
      </c>
      <c r="C41" s="111" t="s">
        <v>68</v>
      </c>
      <c r="D41" s="113">
        <f>_xlfn.XLOOKUP(B3,[1]VFDB2!A:A,[1]VFDB2!P:P)</f>
        <v>1</v>
      </c>
      <c r="E41" s="104">
        <f>_xlfn.XLOOKUP(B3,[1]VFDB2!A:A,[1]VFDB2!V:V)</f>
        <v>0</v>
      </c>
      <c r="F41" s="105"/>
      <c r="G41" s="115"/>
      <c r="H41" s="35" t="s">
        <v>69</v>
      </c>
      <c r="I41" s="32" cm="1">
        <f t="array" ref="I41:J41">IFERROR(IF(ISBLANK(INDEX(_xlfn._xlws.FILTER([1]加工記録２!$O$3:$P$100000, [1]加工記録２!$T$3:$T$100000=B5), 3)), "", INDEX(_xlfn._xlws.FILTER([1]加工記録２!$O$3:$P$100000, [1]加工記録２!$T$3:$T$100000=B5), 3)),"")</f>
        <v>612</v>
      </c>
      <c r="J41" s="36" t="str">
        <v/>
      </c>
      <c r="K41" s="37"/>
    </row>
    <row r="42" spans="1:14" s="5" customFormat="1" ht="18" customHeight="1">
      <c r="A42" s="108"/>
      <c r="B42" s="110"/>
      <c r="C42" s="112"/>
      <c r="D42" s="114"/>
      <c r="E42" s="104"/>
      <c r="F42" s="105"/>
      <c r="G42" s="115"/>
      <c r="H42" s="35" t="s">
        <v>70</v>
      </c>
      <c r="I42" s="32" cm="1">
        <f t="array" ref="I42:J42">IFERROR(IF(ISBLANK(INDEX(_xlfn._xlws.FILTER([1]加工記録２!$O$3:$P$100000, [1]加工記録２!$T$3:$T$100000=B5), 4)), "", INDEX(_xlfn._xlws.FILTER([1]加工記録２!$O$3:$P$100000, [1]加工記録２!$T$3:$T$100000=B5), 4)),"")</f>
        <v>66</v>
      </c>
      <c r="J42" s="38" t="str">
        <v/>
      </c>
      <c r="K42" s="34"/>
    </row>
    <row r="43" spans="1:14" s="7" customFormat="1" ht="18" customHeight="1">
      <c r="A43" s="116" t="s">
        <v>71</v>
      </c>
      <c r="B43" s="118">
        <f>D3</f>
        <v>1996</v>
      </c>
      <c r="C43" s="120" t="s">
        <v>72</v>
      </c>
      <c r="D43" s="122" t="str">
        <f>_xlfn.XLOOKUP(B3,[1]VFDB2!A:A,[1]VFDB2!L:L)</f>
        <v>+2</v>
      </c>
      <c r="E43" s="104" t="str">
        <f>_xlfn.XLOOKUP(B3,[1]VFDB2!A:A,[1]VFDB2!W:W)</f>
        <v>クラフト紙：1996型</v>
      </c>
      <c r="F43" s="105"/>
      <c r="G43" s="115"/>
      <c r="H43" s="35" t="s">
        <v>73</v>
      </c>
      <c r="I43" s="32" cm="1">
        <f t="array" ref="I43:J43">IFERROR(IF(ISBLANK(INDEX(_xlfn._xlws.FILTER([1]加工記録２!$O$3:$P$100000, [1]加工記録２!$T$3:$T$100000=B5), 5)), "", INDEX(_xlfn._xlws.FILTER([1]加工記録２!$O$3:$P$100000, [1]加工記録２!$T$3:$T$100000=B5), 5)),"")</f>
        <v>66</v>
      </c>
      <c r="J43" s="39" t="str">
        <v/>
      </c>
      <c r="K43" s="37"/>
    </row>
    <row r="44" spans="1:14" s="5" customFormat="1" ht="18" customHeight="1">
      <c r="A44" s="117"/>
      <c r="B44" s="119"/>
      <c r="C44" s="121"/>
      <c r="D44" s="123"/>
      <c r="E44" s="104"/>
      <c r="F44" s="105"/>
      <c r="G44" s="115"/>
      <c r="H44" s="35" t="s">
        <v>74</v>
      </c>
      <c r="I44" s="32" cm="1">
        <f t="array" ref="I44:J44">IFERROR(IF(ISBLANK(INDEX(_xlfn._xlws.FILTER([1]加工記録２!$O$3:$P$100000, [1]加工記録２!$T$3:$T$100000=B5), 6)), "", INDEX(_xlfn._xlws.FILTER([1]加工記録２!$O$3:$P$100000, [1]加工記録２!$T$3:$T$100000=B5), 6)),"")</f>
        <v>0</v>
      </c>
      <c r="J44" s="40" t="str">
        <v/>
      </c>
      <c r="K44" s="34"/>
    </row>
    <row r="45" spans="1:14" s="7" customFormat="1" ht="18" customHeight="1">
      <c r="A45" s="107" t="s">
        <v>75</v>
      </c>
      <c r="B45" s="129" t="str">
        <f>_xlfn.XLOOKUP(B3,[1]VFDB2!A:A,[1]VFDB2!AC:AC)</f>
        <v>換算表確認</v>
      </c>
      <c r="C45" s="131" t="s">
        <v>76</v>
      </c>
      <c r="D45" s="122">
        <f>_xlfn.XLOOKUP(B3,[1]VFDB2!A:A,[1]VFDB2!K:K)</f>
        <v>0</v>
      </c>
      <c r="E45" s="104" t="str">
        <f>_xlfn.XLOOKUP(B3,[1]VFDB2!A:A,[1]VFDB2!R:R)</f>
        <v>ラベル１枚　長手無　鉢巻２回</v>
      </c>
      <c r="F45" s="105"/>
      <c r="G45" s="115"/>
      <c r="H45" s="35" t="s">
        <v>77</v>
      </c>
      <c r="I45" s="32" t="str" cm="1">
        <f t="array" ref="I45:J45">IFERROR(IF(ISBLANK(INDEX(_xlfn._xlws.FILTER([1]加工記録２!$O$3:$P$100000, [1]加工記録２!$T$3:$T$100000=B5), 7)), "", INDEX(_xlfn._xlws.FILTER([1]加工記録２!$O$3:$P$100000, [1]加工記録２!$T$3:$T$100000=B5), 7)),"")</f>
        <v>C/M</v>
      </c>
      <c r="J45" s="41" t="str">
        <v/>
      </c>
      <c r="K45" s="37"/>
    </row>
    <row r="46" spans="1:14" s="5" customFormat="1" ht="18" customHeight="1" thickBot="1">
      <c r="A46" s="128"/>
      <c r="B46" s="130"/>
      <c r="C46" s="132"/>
      <c r="D46" s="133"/>
      <c r="E46" s="134"/>
      <c r="F46" s="135"/>
      <c r="G46" s="136"/>
      <c r="H46" s="42" t="s">
        <v>78</v>
      </c>
      <c r="I46" s="43" t="str" cm="1">
        <f t="array" ref="I46:J46">IFERROR(IF(ISBLANK(INDEX(_xlfn._xlws.FILTER([1]加工記録２!$O$3:$P$100000, [1]加工記録２!$T$3:$T$100000=B5), 8)), "", INDEX(_xlfn._xlws.FILTER([1]加工記録２!$O$3:$P$100000, [1]加工記録２!$T$3:$T$100000=B5), 8)),"")</f>
        <v>U/T</v>
      </c>
      <c r="J46" s="44">
        <v>66</v>
      </c>
    </row>
    <row r="47" spans="1:14" s="55" customFormat="1" ht="18.95" customHeight="1">
      <c r="A47" s="45" t="s">
        <v>79</v>
      </c>
      <c r="B47" s="46" t="s">
        <v>80</v>
      </c>
      <c r="C47" s="47" t="s">
        <v>81</v>
      </c>
      <c r="D47" s="47" t="s">
        <v>82</v>
      </c>
      <c r="E47" s="48" t="s">
        <v>83</v>
      </c>
      <c r="F47" s="49" t="s">
        <v>84</v>
      </c>
      <c r="G47" s="50" t="s">
        <v>85</v>
      </c>
      <c r="H47" s="51" t="s">
        <v>86</v>
      </c>
      <c r="I47" s="52" t="s">
        <v>87</v>
      </c>
      <c r="J47" s="53" t="s">
        <v>88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IFERROR(IF(ISBLANK(INDEX(_xlfn._xlws.FILTER([1]加工記録２!$D$3:$M$100000, [1]加工記録２!$T$3:$T$100000=B5), 1)), "", INDEX(_xlfn._xlws.FILTER([1]加工記録２!$D$3:$M$100000, [1]加工記録２!$T$3:$T$100000=B5), 1)),"")</f>
        <v>45869</v>
      </c>
      <c r="B48" s="57" t="str">
        <v>25G18-03</v>
      </c>
      <c r="C48" s="58" t="str">
        <v/>
      </c>
      <c r="D48" s="58" t="str">
        <v/>
      </c>
      <c r="E48" s="59" t="str">
        <v/>
      </c>
      <c r="F48" s="60" t="str">
        <v>25G18-03</v>
      </c>
      <c r="G48" s="61">
        <v>12</v>
      </c>
      <c r="H48" s="62">
        <v>12</v>
      </c>
      <c r="I48" s="63">
        <v>45904</v>
      </c>
      <c r="J48" s="64">
        <v>3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IFERROR(IF(ISBLANK(INDEX(_xlfn._xlws.FILTER([1]加工記録２!$D$3:$M$100000, [1]加工記録２!$T$3:$T$100000=B5), 2)), "", INDEX(_xlfn._xlws.FILTER([1]加工記録２!$D$3:$M$100000, [1]加工記録２!$T$3:$T$100000=B5), 2)),"")</f>
        <v>45904</v>
      </c>
      <c r="B49" s="68" t="str">
        <v>25H29-01</v>
      </c>
      <c r="C49" s="68">
        <v>30</v>
      </c>
      <c r="D49" s="68">
        <v>1997.3</v>
      </c>
      <c r="E49" s="69">
        <v>1998</v>
      </c>
      <c r="F49" s="70" t="str">
        <v>25H29-01</v>
      </c>
      <c r="G49" s="71">
        <v>300</v>
      </c>
      <c r="H49" s="72">
        <v>300</v>
      </c>
      <c r="I49" s="63">
        <v>45905</v>
      </c>
      <c r="J49" s="64">
        <v>10</v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IFERROR(IF(ISBLANK(INDEX(_xlfn._xlws.FILTER([1]加工記録２!$D$3:$M$100000, [1]加工記録２!$T$3:$T$100000=B5), 3)), "", INDEX(_xlfn._xlws.FILTER([1]加工記録２!$D$3:$M$100000, [1]加工記録２!$T$3:$T$100000=B5), 3)),"")</f>
        <v>45904</v>
      </c>
      <c r="B50" s="68" t="str">
        <v>25H29-01</v>
      </c>
      <c r="C50" s="68">
        <v>28</v>
      </c>
      <c r="D50" s="68">
        <v>1997.04</v>
      </c>
      <c r="E50" s="69">
        <v>1997.7</v>
      </c>
      <c r="F50" s="70" t="str">
        <v>25H29-02</v>
      </c>
      <c r="G50" s="71">
        <v>300</v>
      </c>
      <c r="H50" s="72">
        <v>300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cm="1">
        <f t="array" ref="A51:J51">IFERROR(IF(ISBLANK(INDEX(_xlfn._xlws.FILTER([1]加工記録２!$D$3:$M$100000, [1]加工記録２!$T$3:$T$100000=B5), 4)), "", INDEX(_xlfn._xlws.FILTER([1]加工記録２!$D$3:$M$100000, [1]加工記録２!$T$3:$T$100000=B5), 4)),"")</f>
        <v>45904</v>
      </c>
      <c r="B51" s="68" t="str">
        <v>25H29-02</v>
      </c>
      <c r="C51" s="68">
        <v>28</v>
      </c>
      <c r="D51" s="68">
        <v>1997.04</v>
      </c>
      <c r="E51" s="69">
        <v>1997.7</v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cm="1">
        <f t="array" ref="A52:J52">IFERROR(IF(ISBLANK(INDEX(_xlfn._xlws.FILTER([1]加工記録２!$D$3:$M$100000, [1]加工記録２!$T$3:$T$100000=B5), 5)), "", INDEX(_xlfn._xlws.FILTER([1]加工記録２!$D$3:$M$100000, [1]加工記録２!$T$3:$T$100000=B5), 5)),"")</f>
        <v>45905</v>
      </c>
      <c r="B52" s="68" t="str">
        <v>25H29-02</v>
      </c>
      <c r="C52" s="68">
        <v>26</v>
      </c>
      <c r="D52" s="68">
        <v>1996.78</v>
      </c>
      <c r="E52" s="69">
        <v>1997.6</v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cm="1">
        <f t="array" ref="A53:J53">IFERROR(IF(ISBLANK(INDEX(_xlfn._xlws.FILTER([1]加工記録２!$D$3:$M$100000, [1]加工記録２!$T$3:$T$100000=B5), 6)), "", INDEX(_xlfn._xlws.FILTER([1]加工記録２!$D$3:$M$100000, [1]加工記録２!$T$3:$T$100000=B5), 6)),"")</f>
        <v>45905</v>
      </c>
      <c r="B53" s="68" t="str">
        <v>25H29-02</v>
      </c>
      <c r="C53" s="68">
        <v>26</v>
      </c>
      <c r="D53" s="68">
        <v>1996.78</v>
      </c>
      <c r="E53" s="69">
        <v>1997.4</v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12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IFERROR(IF(ISBLANK(INDEX(_xlfn._xlws.FILTER([1]加工記録２!$D$3:$M$100000, [1]加工記録２!$T$3:$T$100000=B5), 7)), "", INDEX(_xlfn._xlws.FILTER([1]加工記録２!$D$3:$M$100000, [1]加工記録２!$T$3:$T$100000=B5),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IFERROR(IF(ISBLANK(INDEX(_xlfn._xlws.FILTER([1]加工記録２!$D$3:$M$100000, [1]加工記録２!$T$3:$T$100000=B5), 8)), "", INDEX(_xlfn._xlws.FILTER([1]加工記録２!$D$3:$M$100000, [1]加工記録２!$T$3:$T$100000=B5),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0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</sheetData>
  <mergeCells count="107">
    <mergeCell ref="A7:A8"/>
    <mergeCell ref="I16:J16"/>
    <mergeCell ref="G28:H28"/>
    <mergeCell ref="G30:H30"/>
    <mergeCell ref="C28:E28"/>
    <mergeCell ref="C30:E30"/>
    <mergeCell ref="H10:J11"/>
    <mergeCell ref="I32:J32"/>
    <mergeCell ref="A37:B37"/>
    <mergeCell ref="I34:J34"/>
    <mergeCell ref="I36:J36"/>
    <mergeCell ref="C16:D16"/>
    <mergeCell ref="A12:C13"/>
    <mergeCell ref="F19:H19"/>
    <mergeCell ref="G10:G11"/>
    <mergeCell ref="G36:H36"/>
    <mergeCell ref="A34:B34"/>
    <mergeCell ref="A36:B36"/>
    <mergeCell ref="C34:E34"/>
    <mergeCell ref="F37:J37"/>
    <mergeCell ref="B1:D2"/>
    <mergeCell ref="F9:G9"/>
    <mergeCell ref="C21:D21"/>
    <mergeCell ref="C23:D23"/>
    <mergeCell ref="F5:H6"/>
    <mergeCell ref="B5:B6"/>
    <mergeCell ref="F33:J33"/>
    <mergeCell ref="F20:H20"/>
    <mergeCell ref="A25:B25"/>
    <mergeCell ref="I22:J22"/>
    <mergeCell ref="C3:C4"/>
    <mergeCell ref="C32:E32"/>
    <mergeCell ref="B7:B8"/>
    <mergeCell ref="F7:G7"/>
    <mergeCell ref="C31:E31"/>
    <mergeCell ref="I28:J28"/>
    <mergeCell ref="C29:E29"/>
    <mergeCell ref="C33:E33"/>
    <mergeCell ref="C19:D19"/>
    <mergeCell ref="F21:H21"/>
    <mergeCell ref="A29:B29"/>
    <mergeCell ref="A31:B31"/>
    <mergeCell ref="C22:D22"/>
    <mergeCell ref="A15:J15"/>
    <mergeCell ref="J4:J5"/>
    <mergeCell ref="I12:J13"/>
    <mergeCell ref="F23:H23"/>
    <mergeCell ref="C20:D20"/>
    <mergeCell ref="F26:J26"/>
    <mergeCell ref="I21:J21"/>
    <mergeCell ref="I23:J23"/>
    <mergeCell ref="F3:H4"/>
    <mergeCell ref="C25:E25"/>
    <mergeCell ref="I20:J20"/>
    <mergeCell ref="I19:J19"/>
    <mergeCell ref="I4:I5"/>
    <mergeCell ref="I18:J18"/>
    <mergeCell ref="G12:G13"/>
    <mergeCell ref="F18:H18"/>
    <mergeCell ref="B3:B4"/>
    <mergeCell ref="C26:D26"/>
    <mergeCell ref="C36:E36"/>
    <mergeCell ref="A32:B32"/>
    <mergeCell ref="A45:A46"/>
    <mergeCell ref="B45:B46"/>
    <mergeCell ref="C45:C46"/>
    <mergeCell ref="D45:D46"/>
    <mergeCell ref="E45:G46"/>
    <mergeCell ref="A3:A4"/>
    <mergeCell ref="A5:A6"/>
    <mergeCell ref="C18:D18"/>
    <mergeCell ref="C37:E37"/>
    <mergeCell ref="A33:B33"/>
    <mergeCell ref="A35:B35"/>
    <mergeCell ref="A28:B28"/>
    <mergeCell ref="A30:B30"/>
    <mergeCell ref="F22:H22"/>
    <mergeCell ref="F16:H16"/>
    <mergeCell ref="E3:E4"/>
    <mergeCell ref="E5:E6"/>
    <mergeCell ref="D3:D4"/>
    <mergeCell ref="G25:H25"/>
    <mergeCell ref="H12:H13"/>
    <mergeCell ref="A39:D40"/>
    <mergeCell ref="E39:F40"/>
    <mergeCell ref="G39:G40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8:D38"/>
    <mergeCell ref="E38:F38"/>
    <mergeCell ref="H38:I38"/>
    <mergeCell ref="I25:J25"/>
    <mergeCell ref="G34:H34"/>
    <mergeCell ref="C35:E35"/>
    <mergeCell ref="I30:J30"/>
    <mergeCell ref="F31:J31"/>
    <mergeCell ref="G32:H32"/>
    <mergeCell ref="F35:J35"/>
    <mergeCell ref="F29:J29"/>
  </mergeCells>
  <phoneticPr fontId="2"/>
  <conditionalFormatting sqref="D50:D55">
    <cfRule type="cellIs" dxfId="2" priority="3" operator="equal">
      <formula>$D49</formula>
    </cfRule>
  </conditionalFormatting>
  <conditionalFormatting sqref="I39">
    <cfRule type="cellIs" dxfId="1" priority="1" operator="lessThan">
      <formula>45658</formula>
    </cfRule>
  </conditionalFormatting>
  <conditionalFormatting sqref="J46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2025-09-05T06:56:50Z</cp:lastPrinted>
  <dcterms:created xsi:type="dcterms:W3CDTF">2024-07-11T02:08:33Z</dcterms:created>
  <dcterms:modified xsi:type="dcterms:W3CDTF">2025-09-05T06:56:57Z</dcterms:modified>
</cp:coreProperties>
</file>