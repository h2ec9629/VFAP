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A0B94920-ACE0-4A37-8A5D-333B8A67A9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2" i="1" l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<sst xmlns="http://schemas.openxmlformats.org/spreadsheetml/2006/main" count="186" uniqueCount="103">
  <si>
    <t>検査梱包指示書</t>
  </si>
  <si>
    <t>品目番号</t>
  </si>
  <si>
    <t>J1AKZYB00205000</t>
  </si>
  <si>
    <t>Ｌ寸</t>
  </si>
  <si>
    <t>名称</t>
  </si>
  <si>
    <t>PK-59827 L=500</t>
  </si>
  <si>
    <t>上長</t>
  </si>
  <si>
    <t>係員</t>
  </si>
  <si>
    <t>製造指図№</t>
  </si>
  <si>
    <t>000000000005990</t>
  </si>
  <si>
    <t>原料名</t>
  </si>
  <si>
    <t>(J6VX820)(J6VX819)</t>
  </si>
  <si>
    <t>発注明細№</t>
  </si>
  <si>
    <t>000000000778408</t>
  </si>
  <si>
    <t>色　名</t>
  </si>
  <si>
    <t>YW</t>
  </si>
  <si>
    <t>製品Grp</t>
  </si>
  <si>
    <t>J1AA</t>
  </si>
  <si>
    <t>開始日</t>
  </si>
  <si>
    <t>入り数</t>
  </si>
  <si>
    <t>終了日</t>
  </si>
  <si>
    <t>梱包数</t>
  </si>
  <si>
    <t>指示数量</t>
  </si>
  <si>
    <t>金　型</t>
  </si>
  <si>
    <t>4383</t>
  </si>
  <si>
    <t>*J1AKZYB00205000*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</si>
  <si>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</si>
  <si>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</si>
  <si>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</si>
  <si>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</si>
  <si>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</si>
  <si>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</si>
  <si>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</si>
  <si>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</si>
  <si>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</si>
  <si>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</si>
  <si>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</si>
  <si>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</si>
  <si>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</si>
  <si>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</si>
  <si>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</si>
  <si>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</si>
  <si>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</si>
  <si>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</si>
  <si>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</si>
  <si>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</si>
  <si>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</si>
  <si>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</si>
  <si>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J1AKZYA00215400</t>
  </si>
  <si>
    <t>@PK-59827 L1540</t>
  </si>
  <si>
    <t>*J1AKZYA00215400*</t>
  </si>
  <si>
    <t>PK-59827 L500用</t>
  </si>
  <si>
    <t>*J6DW0099*</t>
  </si>
  <si>
    <t>J6XX0017</t>
  </si>
  <si>
    <t>(管理外)筋入ｸﾗﾌﾄ紙</t>
  </si>
  <si>
    <t>*J6XX0017*</t>
  </si>
  <si>
    <t>600＊100</t>
  </si>
  <si>
    <t>J1AKZYB00207000</t>
  </si>
  <si>
    <t>PK-59827 L=700</t>
  </si>
  <si>
    <t>000000000005991</t>
  </si>
  <si>
    <t>000000000778409</t>
  </si>
  <si>
    <t>*J1AKZYB00207000*</t>
  </si>
  <si>
    <t>J1AKZYA00214400</t>
  </si>
  <si>
    <t>@PK-59827 L1440</t>
  </si>
  <si>
    <t>*J1AKZYA00214400*</t>
  </si>
  <si>
    <t>PK-59827 L700用</t>
  </si>
  <si>
    <t>*J6DW0100*</t>
  </si>
  <si>
    <t>J6DW0099</t>
    <phoneticPr fontId="2"/>
  </si>
  <si>
    <t>J6DW0100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</si>
  <si>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</si>
  <si>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</si>
  <si>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</si>
  <si>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</si>
  <si>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</si>
  <si>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</si>
  <si>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</si>
  <si>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</si>
  <si>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</si>
  <si>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</si>
  <si>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</si>
  <si>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</si>
  <si>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</si>
  <si>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</si>
  <si>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</si>
  <si>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</si>
  <si>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</si>
  <si>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</si>
  <si>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</si>
  <si>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</si>
  <si>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</si>
  <si>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</si>
  <si>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</si>
  <si>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</si>
  <si>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</si>
  <si>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</si>
  <si>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</si>
  <si>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</si>
  <si>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</si>
  <si>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製品名</t>
    <phoneticPr fontId="1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</si>
  <si>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1"/>
  </si>
  <si>
    <t>使用数</t>
    <rPh sb="0" eb="2">
      <t>シヨウ</t>
    </rPh>
    <rPh sb="2" eb="3">
      <t>スウ</t>
    </rPh>
    <phoneticPr fontId="1"/>
  </si>
  <si>
    <t>加工内容</t>
    <rPh sb="0" eb="2">
      <t>カコウ</t>
    </rPh>
    <rPh sb="2" eb="4">
      <t>ナイヨウ</t>
    </rPh>
    <phoneticPr fontId="1"/>
  </si>
  <si>
    <t>不良内訳</t>
    <rPh sb="0" eb="2">
      <t>フリョウ</t>
    </rPh>
    <rPh sb="2" eb="4">
      <t>ウチワケ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</si>
</sst>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#,##0.00_ 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4"/>
      <name val="ＭＳ Ｐゴシック"/>
      <family val="3"/>
      <charset val="128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8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20" xfId="0" applyFont="1" applyFill="1" applyBorder="1" applyAlignment="1">
      <alignment horizontal="center" vertical="center"/>
    </xf>
    <xf numFmtId="49" fontId="6" fillId="4" borderId="20" xfId="1" applyNumberFormat="1" applyFont="1" applyFill="1" applyBorder="1" applyAlignment="1">
      <alignment horizontal="center" vertical="center" shrinkToFit="1"/>
    </xf>
    <xf numFmtId="179" fontId="19" fillId="0" borderId="22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19" fillId="5" borderId="23" xfId="0" applyNumberFormat="1" applyFont="1" applyFill="1" applyBorder="1" applyAlignment="1">
      <alignment horizontal="left" vertical="center" shrinkToFit="1"/>
    </xf>
    <xf numFmtId="179" fontId="20" fillId="0" borderId="2" xfId="1" applyNumberFormat="1" applyFont="1" applyBorder="1" applyAlignment="1">
      <alignment horizontal="center" vertical="center" shrinkToFit="1"/>
    </xf>
    <xf numFmtId="183" fontId="19" fillId="5" borderId="23" xfId="0" applyNumberFormat="1" applyFont="1" applyFill="1" applyBorder="1" applyAlignment="1">
      <alignment horizontal="left"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9" fillId="0" borderId="22" xfId="0" applyFont="1" applyBorder="1" applyAlignment="1">
      <alignment horizontal="left" vertical="center" wrapText="1"/>
    </xf>
    <xf numFmtId="184" fontId="19" fillId="5" borderId="23" xfId="0" applyNumberFormat="1" applyFont="1" applyFill="1" applyBorder="1" applyAlignment="1">
      <alignment horizontal="left" vertical="center" shrinkToFit="1"/>
    </xf>
    <xf numFmtId="49" fontId="23" fillId="0" borderId="0" xfId="1" applyNumberFormat="1" applyFont="1" applyAlignment="1">
      <alignment horizontal="left" vertical="center" shrinkToFit="1"/>
    </xf>
    <xf numFmtId="185" fontId="19" fillId="5" borderId="23" xfId="0" applyNumberFormat="1" applyFont="1" applyFill="1" applyBorder="1" applyAlignment="1">
      <alignment horizontal="left" vertical="center" shrinkToFit="1"/>
    </xf>
    <xf numFmtId="187" fontId="19" fillId="5" borderId="23" xfId="0" applyNumberFormat="1" applyFont="1" applyFill="1" applyBorder="1" applyAlignment="1">
      <alignment horizontal="left" vertical="center" shrinkToFit="1"/>
    </xf>
    <xf numFmtId="188" fontId="19" fillId="5" borderId="23" xfId="0" applyNumberFormat="1" applyFont="1" applyFill="1" applyBorder="1" applyAlignment="1">
      <alignment horizontal="left" vertical="center" shrinkToFit="1"/>
    </xf>
    <xf numFmtId="190" fontId="19" fillId="5" borderId="23" xfId="0" applyNumberFormat="1" applyFont="1" applyFill="1" applyBorder="1" applyAlignment="1">
      <alignment horizontal="left" vertical="center" shrinkToFit="1"/>
    </xf>
    <xf numFmtId="0" fontId="19" fillId="0" borderId="31" xfId="0" applyFont="1" applyBorder="1" applyAlignment="1">
      <alignment horizontal="left" vertical="center" wrapText="1"/>
    </xf>
    <xf numFmtId="179" fontId="25" fillId="0" borderId="32" xfId="1" applyNumberFormat="1" applyFont="1" applyBorder="1" applyAlignment="1">
      <alignment horizontal="center" vertical="center" shrinkToFit="1"/>
    </xf>
    <xf numFmtId="191" fontId="19" fillId="5" borderId="33" xfId="0" applyNumberFormat="1" applyFont="1" applyFill="1" applyBorder="1" applyAlignment="1">
      <alignment horizontal="center" vertical="center"/>
    </xf>
    <xf numFmtId="0" fontId="26" fillId="6" borderId="18" xfId="0" applyFont="1" applyFill="1" applyBorder="1" applyAlignment="1">
      <alignment horizontal="center" vertical="center"/>
    </xf>
    <xf numFmtId="49" fontId="26" fillId="6" borderId="19" xfId="1" applyNumberFormat="1" applyFont="1" applyFill="1" applyBorder="1" applyAlignment="1">
      <alignment vertical="center" shrinkToFit="1"/>
    </xf>
    <xf numFmtId="49" fontId="26" fillId="6" borderId="19" xfId="1" applyNumberFormat="1" applyFont="1" applyFill="1" applyBorder="1" applyAlignment="1">
      <alignment horizontal="center" vertical="center" shrinkToFit="1"/>
    </xf>
    <xf numFmtId="49" fontId="26" fillId="6" borderId="20" xfId="0" applyNumberFormat="1" applyFont="1" applyFill="1" applyBorder="1" applyAlignment="1">
      <alignment horizontal="center" vertical="center" shrinkToFit="1"/>
    </xf>
    <xf numFmtId="0" fontId="26" fillId="2" borderId="18" xfId="0" applyFont="1" applyFill="1" applyBorder="1">
      <alignment vertical="center"/>
    </xf>
    <xf numFmtId="49" fontId="26" fillId="2" borderId="19" xfId="0" applyNumberFormat="1" applyFont="1" applyFill="1" applyBorder="1" applyAlignment="1">
      <alignment horizontal="center" vertical="center" shrinkToFit="1"/>
    </xf>
    <xf numFmtId="49" fontId="26" fillId="2" borderId="20" xfId="0" applyNumberFormat="1" applyFont="1" applyFill="1" applyBorder="1" applyAlignment="1">
      <alignment horizontal="center" vertical="center" shrinkToFit="1"/>
    </xf>
    <xf numFmtId="0" fontId="27" fillId="3" borderId="34" xfId="0" applyFont="1" applyFill="1" applyBorder="1" applyAlignment="1">
      <alignment horizontal="center" vertical="center"/>
    </xf>
    <xf numFmtId="0" fontId="27" fillId="3" borderId="35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81" fontId="15" fillId="4" borderId="22" xfId="0" applyNumberFormat="1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6" xfId="0" applyFont="1" applyFill="1" applyBorder="1" applyAlignment="1">
      <alignment horizontal="center" vertical="center"/>
    </xf>
    <xf numFmtId="189" fontId="15" fillId="4" borderId="37" xfId="0" applyNumberFormat="1" applyFont="1" applyFill="1" applyBorder="1" applyAlignment="1">
      <alignment horizontal="center" vertical="center"/>
    </xf>
    <xf numFmtId="179" fontId="15" fillId="4" borderId="22" xfId="0" applyNumberFormat="1" applyFont="1" applyFill="1" applyBorder="1" applyAlignment="1">
      <alignment horizontal="center" vertical="center"/>
    </xf>
    <xf numFmtId="179" fontId="15" fillId="4" borderId="2" xfId="0" applyNumberFormat="1" applyFont="1" applyFill="1" applyBorder="1" applyAlignment="1">
      <alignment horizontal="center" vertical="center"/>
    </xf>
    <xf numFmtId="179" fontId="15" fillId="4" borderId="23" xfId="0" applyNumberFormat="1" applyFont="1" applyFill="1" applyBorder="1" applyAlignment="1">
      <alignment horizontal="center" vertical="center"/>
    </xf>
    <xf numFmtId="192" fontId="15" fillId="0" borderId="22" xfId="0" applyNumberFormat="1" applyFont="1" applyBorder="1" applyAlignment="1">
      <alignment horizontal="center" vertical="center"/>
    </xf>
    <xf numFmtId="193" fontId="15" fillId="0" borderId="23" xfId="0" applyNumberFormat="1" applyFont="1" applyBorder="1" applyAlignment="1">
      <alignment horizontal="center" vertical="center"/>
    </xf>
    <xf numFmtId="0" fontId="30" fillId="0" borderId="0" xfId="0" applyFont="1">
      <alignment vertical="center"/>
    </xf>
    <xf numFmtId="49" fontId="31" fillId="0" borderId="0" xfId="0" applyNumberFormat="1" applyFont="1" applyAlignment="1">
      <alignment vertical="top" shrinkToFit="1"/>
    </xf>
    <xf numFmtId="181" fontId="15" fillId="0" borderId="2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89" fontId="15" fillId="0" borderId="23" xfId="0" applyNumberFormat="1" applyFont="1" applyBorder="1" applyAlignment="1">
      <alignment horizontal="center" vertical="center"/>
    </xf>
    <xf numFmtId="179" fontId="15" fillId="0" borderId="22" xfId="0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9" fontId="15" fillId="0" borderId="23" xfId="0" applyNumberFormat="1" applyFont="1" applyBorder="1" applyAlignment="1">
      <alignment horizontal="center" vertical="center"/>
    </xf>
    <xf numFmtId="192" fontId="15" fillId="0" borderId="25" xfId="0" applyNumberFormat="1" applyFont="1" applyBorder="1" applyAlignment="1">
      <alignment horizontal="center" vertical="center"/>
    </xf>
    <xf numFmtId="193" fontId="15" fillId="0" borderId="38" xfId="0" applyNumberFormat="1" applyFont="1" applyBorder="1" applyAlignment="1">
      <alignment horizontal="center" vertical="center"/>
    </xf>
    <xf numFmtId="179" fontId="15" fillId="0" borderId="11" xfId="0" applyNumberFormat="1" applyFont="1" applyBorder="1" applyAlignment="1">
      <alignment horizontal="center" vertical="center"/>
    </xf>
    <xf numFmtId="192" fontId="14" fillId="0" borderId="25" xfId="0" applyNumberFormat="1" applyFont="1" applyBorder="1" applyAlignment="1">
      <alignment horizontal="center" vertical="center"/>
    </xf>
    <xf numFmtId="193" fontId="14" fillId="0" borderId="38" xfId="0" applyNumberFormat="1" applyFont="1" applyBorder="1" applyAlignment="1">
      <alignment horizontal="center" vertical="center"/>
    </xf>
    <xf numFmtId="192" fontId="14" fillId="5" borderId="25" xfId="0" applyNumberFormat="1" applyFont="1" applyFill="1" applyBorder="1" applyAlignment="1">
      <alignment horizontal="center" vertical="center"/>
    </xf>
    <xf numFmtId="193" fontId="14" fillId="5" borderId="38" xfId="0" applyNumberFormat="1" applyFont="1" applyFill="1" applyBorder="1" applyAlignment="1">
      <alignment horizontal="center" vertical="center"/>
    </xf>
    <xf numFmtId="181" fontId="15" fillId="0" borderId="31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89" fontId="15" fillId="0" borderId="33" xfId="0" applyNumberFormat="1" applyFont="1" applyBorder="1" applyAlignment="1">
      <alignment horizontal="center" vertical="center"/>
    </xf>
    <xf numFmtId="179" fontId="15" fillId="0" borderId="31" xfId="0" applyNumberFormat="1" applyFont="1" applyBorder="1" applyAlignment="1">
      <alignment horizontal="center" vertical="center"/>
    </xf>
    <xf numFmtId="179" fontId="15" fillId="0" borderId="32" xfId="0" applyNumberFormat="1" applyFont="1" applyBorder="1" applyAlignment="1">
      <alignment horizontal="center" vertical="center"/>
    </xf>
    <xf numFmtId="179" fontId="15" fillId="0" borderId="39" xfId="0" applyNumberFormat="1" applyFont="1" applyBorder="1" applyAlignment="1">
      <alignment horizontal="center" vertical="center"/>
    </xf>
    <xf numFmtId="192" fontId="14" fillId="5" borderId="31" xfId="0" applyNumberFormat="1" applyFont="1" applyFill="1" applyBorder="1" applyAlignment="1">
      <alignment horizontal="center" vertical="center"/>
    </xf>
    <xf numFmtId="193" fontId="14" fillId="5" borderId="33" xfId="0" applyNumberFormat="1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9" xfId="0" applyNumberFormat="1" applyFont="1" applyBorder="1" applyAlignment="1">
      <alignment horizontal="center" vertical="center"/>
    </xf>
    <xf numFmtId="49" fontId="24" fillId="2" borderId="26" xfId="1" applyNumberFormat="1" applyFont="1" applyFill="1" applyBorder="1" applyAlignment="1">
      <alignment horizontal="center" vertical="center" shrinkToFit="1"/>
    </xf>
    <xf numFmtId="49" fontId="24" fillId="2" borderId="30" xfId="1" applyNumberFormat="1" applyFont="1" applyFill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3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179" fontId="17" fillId="5" borderId="33" xfId="0" applyNumberFormat="1" applyFont="1" applyFill="1" applyBorder="1" applyAlignment="1">
      <alignment horizontal="left" vertical="center" shrinkToFit="1"/>
    </xf>
    <xf numFmtId="0" fontId="16" fillId="0" borderId="21" xfId="1" applyFont="1" applyBorder="1" applyAlignment="1">
      <alignment horizontal="left" vertical="center" shrinkToFit="1"/>
    </xf>
    <xf numFmtId="0" fontId="16" fillId="0" borderId="14" xfId="1" applyFont="1" applyBorder="1" applyAlignment="1">
      <alignment horizontal="left" vertical="center" shrinkToFit="1"/>
    </xf>
    <xf numFmtId="0" fontId="16" fillId="0" borderId="24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3" xfId="1" applyNumberFormat="1" applyFont="1" applyBorder="1" applyAlignment="1">
      <alignment horizontal="center" vertical="center" shrinkToFit="1"/>
    </xf>
    <xf numFmtId="0" fontId="14" fillId="2" borderId="27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6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0" borderId="14" xfId="1" applyFont="1" applyBorder="1" applyAlignment="1">
      <alignment horizontal="center" vertical="center" shrinkToFit="1"/>
    </xf>
    <xf numFmtId="0" fontId="22" fillId="0" borderId="10" xfId="1" applyFont="1" applyBorder="1" applyAlignment="1">
      <alignment horizontal="center" vertical="center" shrinkToFit="1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4" fillId="2" borderId="26" xfId="0" applyNumberFormat="1" applyFont="1" applyFill="1" applyBorder="1" applyAlignment="1">
      <alignment horizontal="center" vertical="center"/>
    </xf>
    <xf numFmtId="49" fontId="24" fillId="2" borderId="16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6" fillId="4" borderId="17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11" xfId="1" applyNumberFormat="1" applyFont="1" applyBorder="1" applyAlignment="1">
      <alignment horizontal="center" vertical="center" shrinkToFit="1"/>
    </xf>
    <xf numFmtId="0" fontId="0" fillId="0" borderId="16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4" fillId="0" borderId="0" xfId="1" applyNumberFormat="1" applyFon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0" fillId="0" borderId="0" xfId="1" applyNumberFormat="1" applyFont="1" applyAlignment="1">
      <alignment vertical="center" shrinkToFit="1"/>
    </xf>
    <xf numFmtId="49" fontId="11" fillId="0" borderId="12" xfId="1" applyNumberFormat="1" applyFont="1" applyBorder="1" applyAlignment="1">
      <alignment vertical="center" shrinkToFit="1"/>
    </xf>
    <xf numFmtId="0" fontId="0" fillId="0" borderId="12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0" fontId="1" fillId="0" borderId="0" xfId="0" applyFont="1">
      <alignment vertical="center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49" fontId="11" fillId="0" borderId="2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194" fontId="15" fillId="0" borderId="2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3</xdr:row>
      <xdr:rowOff>85725</xdr:rowOff>
    </xdr:from>
    <xdr:to>
      <xdr:col>9</xdr:col>
      <xdr:colOff>647700</xdr:colOff>
      <xdr:row>5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6A96A4-62AB-4AB2-308C-1C3C30A11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628650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60</xdr:row>
      <xdr:rowOff>47625</xdr:rowOff>
    </xdr:from>
    <xdr:to>
      <xdr:col>9</xdr:col>
      <xdr:colOff>638175</xdr:colOff>
      <xdr:row>62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FD6DC4A-641C-48A0-BF09-1688A74D0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3820775"/>
          <a:ext cx="504825" cy="50482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3</xdr:row>
      <xdr:rowOff>76201</xdr:rowOff>
    </xdr:from>
    <xdr:to>
      <xdr:col>8</xdr:col>
      <xdr:colOff>628650</xdr:colOff>
      <xdr:row>5</xdr:row>
      <xdr:rowOff>152400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ACC430C-F95F-3454-81F2-80FF604E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619126"/>
          <a:ext cx="476249" cy="476249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152401</xdr:colOff>
      <xdr:row>60</xdr:row>
      <xdr:rowOff>66676</xdr:rowOff>
    </xdr:from>
    <xdr:to>
      <xdr:col>8</xdr:col>
      <xdr:colOff>628651</xdr:colOff>
      <xdr:row>62</xdr:row>
      <xdr:rowOff>142876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2532FA9-B646-37C1-82BB-93B6E7B95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1" y="13839826"/>
          <a:ext cx="476250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2508.xlsm" TargetMode="External"/><Relationship Id="rId1" Type="http://schemas.openxmlformats.org/officeDocument/2006/relationships/externalLinkPath" Target="/Users/&#40658;&#37096;&#24037;&#26989;&#65293;&#65328;&#65315;/Desktop/sgt25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納品明細書"/>
      <sheetName val="指図書"/>
      <sheetName val="依頼書保管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J3">
            <v>0</v>
          </cell>
          <cell r="K3">
            <v>0</v>
          </cell>
          <cell r="L3">
            <v>45868</v>
          </cell>
          <cell r="M3">
            <v>2</v>
          </cell>
          <cell r="O3">
            <v>45869</v>
          </cell>
          <cell r="T3" t="str">
            <v>000000000005330-2-3</v>
          </cell>
        </row>
        <row r="4">
          <cell r="D4">
            <v>45868</v>
          </cell>
          <cell r="E4" t="str">
            <v>25G18-03</v>
          </cell>
          <cell r="F4">
            <v>30</v>
          </cell>
          <cell r="G4">
            <v>1997.3</v>
          </cell>
          <cell r="H4">
            <v>1998.2</v>
          </cell>
          <cell r="I4" t="str">
            <v>25G18-03</v>
          </cell>
          <cell r="J4">
            <v>233</v>
          </cell>
          <cell r="K4">
            <v>233</v>
          </cell>
          <cell r="L4">
            <v>45869</v>
          </cell>
          <cell r="M4">
            <v>3</v>
          </cell>
          <cell r="O4">
            <v>210</v>
          </cell>
          <cell r="P4">
            <v>11</v>
          </cell>
          <cell r="T4" t="str">
            <v>000000000005330-2-3</v>
          </cell>
        </row>
        <row r="5">
          <cell r="C5">
            <v>210</v>
          </cell>
          <cell r="D5">
            <v>45868</v>
          </cell>
          <cell r="E5" t="str">
            <v>25G18-03</v>
          </cell>
          <cell r="F5">
            <v>30</v>
          </cell>
          <cell r="G5">
            <v>1997.3</v>
          </cell>
          <cell r="H5">
            <v>1998.6</v>
          </cell>
          <cell r="K5">
            <v>0</v>
          </cell>
          <cell r="O5">
            <v>233</v>
          </cell>
          <cell r="P5">
            <v>12</v>
          </cell>
          <cell r="T5" t="str">
            <v>000000000005330-2-3</v>
          </cell>
        </row>
        <row r="6">
          <cell r="G6" t="str">
            <v/>
          </cell>
          <cell r="K6">
            <v>0</v>
          </cell>
          <cell r="O6">
            <v>23</v>
          </cell>
          <cell r="T6" t="str">
            <v>000000000005330-2-3</v>
          </cell>
        </row>
        <row r="7">
          <cell r="C7">
            <v>1</v>
          </cell>
          <cell r="G7" t="str">
            <v/>
          </cell>
          <cell r="K7">
            <v>0</v>
          </cell>
          <cell r="O7">
            <v>23</v>
          </cell>
          <cell r="T7" t="str">
            <v>000000000005330-2-3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旧品加工</v>
          </cell>
          <cell r="O8">
            <v>0</v>
          </cell>
          <cell r="T8" t="str">
            <v>000000000005330-2-3</v>
          </cell>
        </row>
        <row r="9">
          <cell r="G9" t="str">
            <v/>
          </cell>
          <cell r="K9">
            <v>0</v>
          </cell>
          <cell r="L9" t="str">
            <v>持出端材</v>
          </cell>
          <cell r="O9" t="str">
            <v>富田・水野</v>
          </cell>
          <cell r="T9" t="str">
            <v>000000000005330-2-3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M10">
            <v>0</v>
          </cell>
          <cell r="O10" t="str">
            <v>上野・高森</v>
          </cell>
          <cell r="P10">
            <v>23</v>
          </cell>
          <cell r="T10" t="str">
            <v>000000000005330-2-3</v>
          </cell>
        </row>
        <row r="11">
          <cell r="C11" t="str">
            <v>8FL281304 4810　L=297</v>
          </cell>
          <cell r="D11">
            <v>45862</v>
          </cell>
          <cell r="E11" t="str">
            <v>25G10-03</v>
          </cell>
          <cell r="I11" t="str">
            <v>25G10-03</v>
          </cell>
          <cell r="J11">
            <v>12</v>
          </cell>
          <cell r="K11">
            <v>2</v>
          </cell>
          <cell r="L11">
            <v>45867</v>
          </cell>
          <cell r="M11">
            <v>2</v>
          </cell>
          <cell r="O11">
            <v>45868</v>
          </cell>
          <cell r="T11" t="str">
            <v>000000000005779</v>
          </cell>
        </row>
        <row r="12">
          <cell r="D12">
            <v>45867</v>
          </cell>
          <cell r="E12" t="str">
            <v>25G24-06</v>
          </cell>
          <cell r="F12">
            <v>32</v>
          </cell>
          <cell r="G12">
            <v>297.23</v>
          </cell>
          <cell r="H12">
            <v>297.3</v>
          </cell>
          <cell r="I12" t="str">
            <v>25G24-06</v>
          </cell>
          <cell r="J12">
            <v>259</v>
          </cell>
          <cell r="K12">
            <v>44</v>
          </cell>
          <cell r="L12">
            <v>45868</v>
          </cell>
          <cell r="M12">
            <v>1</v>
          </cell>
          <cell r="O12">
            <v>300</v>
          </cell>
          <cell r="T12" t="str">
            <v>000000000005779</v>
          </cell>
        </row>
        <row r="13">
          <cell r="C13">
            <v>300</v>
          </cell>
          <cell r="D13">
            <v>45867</v>
          </cell>
          <cell r="E13" t="str">
            <v>25G24-06</v>
          </cell>
          <cell r="F13">
            <v>30</v>
          </cell>
          <cell r="G13">
            <v>297.19</v>
          </cell>
          <cell r="H13">
            <v>297.60000000000002</v>
          </cell>
          <cell r="K13">
            <v>0</v>
          </cell>
          <cell r="O13">
            <v>45</v>
          </cell>
          <cell r="T13" t="str">
            <v>000000000005779</v>
          </cell>
        </row>
        <row r="14">
          <cell r="G14" t="str">
            <v/>
          </cell>
          <cell r="K14">
            <v>0</v>
          </cell>
          <cell r="O14">
            <v>0</v>
          </cell>
          <cell r="T14" t="str">
            <v>000000000005779</v>
          </cell>
        </row>
        <row r="15">
          <cell r="C15">
            <v>6</v>
          </cell>
          <cell r="G15" t="str">
            <v/>
          </cell>
          <cell r="K15">
            <v>0</v>
          </cell>
          <cell r="O15">
            <v>0</v>
          </cell>
          <cell r="T15" t="str">
            <v>000000000005779</v>
          </cell>
        </row>
        <row r="16">
          <cell r="C16" t="str">
            <v>LED-A300</v>
          </cell>
          <cell r="G16" t="str">
            <v/>
          </cell>
          <cell r="K16">
            <v>0</v>
          </cell>
          <cell r="L16" t="str">
            <v>旧品加工</v>
          </cell>
          <cell r="M16">
            <v>14</v>
          </cell>
          <cell r="O16">
            <v>29</v>
          </cell>
          <cell r="T16" t="str">
            <v>000000000005779</v>
          </cell>
        </row>
        <row r="17">
          <cell r="C17">
            <v>3</v>
          </cell>
          <cell r="G17" t="str">
            <v/>
          </cell>
          <cell r="K17">
            <v>0</v>
          </cell>
          <cell r="L17" t="str">
            <v>持出端材</v>
          </cell>
          <cell r="M17">
            <v>27</v>
          </cell>
          <cell r="O17" t="str">
            <v>水野</v>
          </cell>
          <cell r="T17" t="str">
            <v>000000000005779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M18">
            <v>2</v>
          </cell>
          <cell r="O18" t="str">
            <v>上野</v>
          </cell>
          <cell r="P18">
            <v>0</v>
          </cell>
          <cell r="T18" t="str">
            <v>000000000005779</v>
          </cell>
        </row>
        <row r="19">
          <cell r="C19" t="str">
            <v>8FL281304 6110　L=1478</v>
          </cell>
          <cell r="I19">
            <v>0</v>
          </cell>
          <cell r="J19">
            <v>0</v>
          </cell>
          <cell r="K19">
            <v>0</v>
          </cell>
          <cell r="L19">
            <v>45867</v>
          </cell>
          <cell r="M19">
            <v>4</v>
          </cell>
          <cell r="O19">
            <v>45867</v>
          </cell>
          <cell r="T19" t="str">
            <v>000000000005784</v>
          </cell>
        </row>
        <row r="20">
          <cell r="D20">
            <v>45867</v>
          </cell>
          <cell r="E20" t="str">
            <v>25G24-06</v>
          </cell>
          <cell r="F20">
            <v>30</v>
          </cell>
          <cell r="G20">
            <v>1478.96</v>
          </cell>
          <cell r="H20">
            <v>1478.72</v>
          </cell>
          <cell r="I20" t="str">
            <v>25G24-06</v>
          </cell>
          <cell r="J20">
            <v>400</v>
          </cell>
          <cell r="K20">
            <v>400</v>
          </cell>
          <cell r="O20">
            <v>400</v>
          </cell>
          <cell r="T20" t="str">
            <v>000000000005784</v>
          </cell>
        </row>
        <row r="21">
          <cell r="C21">
            <v>400</v>
          </cell>
          <cell r="D21">
            <v>45867</v>
          </cell>
          <cell r="E21" t="str">
            <v>25G24-06</v>
          </cell>
          <cell r="F21">
            <v>32</v>
          </cell>
          <cell r="G21">
            <v>1479.15</v>
          </cell>
          <cell r="H21">
            <v>1478.88</v>
          </cell>
          <cell r="K21">
            <v>0</v>
          </cell>
          <cell r="O21">
            <v>400</v>
          </cell>
          <cell r="T21" t="str">
            <v>000000000005784</v>
          </cell>
        </row>
        <row r="22">
          <cell r="G22" t="str">
            <v/>
          </cell>
          <cell r="K22">
            <v>0</v>
          </cell>
          <cell r="O22">
            <v>0</v>
          </cell>
          <cell r="T22" t="str">
            <v>000000000005784</v>
          </cell>
        </row>
        <row r="23">
          <cell r="C23">
            <v>1</v>
          </cell>
          <cell r="G23" t="str">
            <v/>
          </cell>
          <cell r="K23">
            <v>0</v>
          </cell>
          <cell r="O23">
            <v>0</v>
          </cell>
          <cell r="T23" t="str">
            <v>000000000005784</v>
          </cell>
        </row>
        <row r="24">
          <cell r="C24" t="str">
            <v>LED-A1478</v>
          </cell>
          <cell r="G24" t="str">
            <v/>
          </cell>
          <cell r="K24">
            <v>0</v>
          </cell>
          <cell r="L24" t="str">
            <v>旧品加工</v>
          </cell>
          <cell r="O24">
            <v>0</v>
          </cell>
          <cell r="T24" t="str">
            <v>000000000005784</v>
          </cell>
        </row>
        <row r="25">
          <cell r="C25">
            <v>4</v>
          </cell>
          <cell r="G25" t="str">
            <v/>
          </cell>
          <cell r="K25">
            <v>0</v>
          </cell>
          <cell r="L25" t="str">
            <v>持出端材</v>
          </cell>
          <cell r="O25" t="str">
            <v>水野</v>
          </cell>
          <cell r="T25" t="str">
            <v>000000000005784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M26">
            <v>0</v>
          </cell>
          <cell r="O26" t="str">
            <v>上野</v>
          </cell>
          <cell r="P26">
            <v>0</v>
          </cell>
          <cell r="T26" t="str">
            <v>000000000005784</v>
          </cell>
        </row>
        <row r="27">
          <cell r="C27" t="str">
            <v>8FL281304 8310　L=748</v>
          </cell>
          <cell r="D27">
            <v>45867</v>
          </cell>
          <cell r="E27" t="str">
            <v>25G24-06</v>
          </cell>
          <cell r="I27" t="str">
            <v>25G24-06</v>
          </cell>
          <cell r="J27">
            <v>8</v>
          </cell>
          <cell r="K27">
            <v>4</v>
          </cell>
          <cell r="L27">
            <v>45869</v>
          </cell>
          <cell r="M27">
            <v>2</v>
          </cell>
          <cell r="O27">
            <v>45869</v>
          </cell>
          <cell r="T27" t="str">
            <v>000000000005781</v>
          </cell>
        </row>
        <row r="28">
          <cell r="D28">
            <v>45869</v>
          </cell>
          <cell r="E28" t="str">
            <v>25G25-07</v>
          </cell>
          <cell r="F28">
            <v>30</v>
          </cell>
          <cell r="G28">
            <v>748.49</v>
          </cell>
          <cell r="H28">
            <v>748.29</v>
          </cell>
          <cell r="I28" t="str">
            <v>25G25-07</v>
          </cell>
          <cell r="J28">
            <v>192</v>
          </cell>
          <cell r="K28">
            <v>96</v>
          </cell>
          <cell r="O28">
            <v>200</v>
          </cell>
          <cell r="T28" t="str">
            <v>000000000005781</v>
          </cell>
        </row>
        <row r="29">
          <cell r="C29">
            <v>200</v>
          </cell>
          <cell r="D29">
            <v>45869</v>
          </cell>
          <cell r="E29" t="str">
            <v>25G25-07</v>
          </cell>
          <cell r="F29">
            <v>30</v>
          </cell>
          <cell r="G29">
            <v>748.49</v>
          </cell>
          <cell r="H29">
            <v>748.54</v>
          </cell>
          <cell r="K29">
            <v>0</v>
          </cell>
          <cell r="O29">
            <v>100</v>
          </cell>
          <cell r="T29" t="str">
            <v>000000000005781</v>
          </cell>
        </row>
        <row r="30">
          <cell r="G30" t="str">
            <v/>
          </cell>
          <cell r="K30">
            <v>0</v>
          </cell>
          <cell r="O30">
            <v>0</v>
          </cell>
          <cell r="T30" t="str">
            <v>000000000005781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0</v>
          </cell>
          <cell r="T31" t="str">
            <v>000000000005781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旧品加工</v>
          </cell>
          <cell r="M32">
            <v>8</v>
          </cell>
          <cell r="O32">
            <v>0</v>
          </cell>
          <cell r="T32" t="str">
            <v>000000000005781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持出端材</v>
          </cell>
          <cell r="O33" t="str">
            <v>水野</v>
          </cell>
          <cell r="T33" t="str">
            <v>000000000005781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M34">
            <v>0</v>
          </cell>
          <cell r="O34" t="str">
            <v>上野</v>
          </cell>
          <cell r="P34">
            <v>0</v>
          </cell>
          <cell r="T34" t="str">
            <v>000000000005781</v>
          </cell>
        </row>
        <row r="35">
          <cell r="C35" t="str">
            <v>8FL281304 5010　L=888</v>
          </cell>
          <cell r="D35">
            <v>45866</v>
          </cell>
          <cell r="E35" t="str">
            <v>25G12-05</v>
          </cell>
          <cell r="I35" t="str">
            <v>25G12-05</v>
          </cell>
          <cell r="J35">
            <v>34</v>
          </cell>
          <cell r="K35">
            <v>17</v>
          </cell>
          <cell r="L35">
            <v>45869</v>
          </cell>
          <cell r="M35">
            <v>6</v>
          </cell>
          <cell r="O35">
            <v>45869</v>
          </cell>
          <cell r="P35">
            <v>1</v>
          </cell>
          <cell r="T35" t="str">
            <v>000000000005783</v>
          </cell>
        </row>
        <row r="36">
          <cell r="D36">
            <v>45869</v>
          </cell>
          <cell r="E36" t="str">
            <v>25G24-06</v>
          </cell>
          <cell r="F36">
            <v>28</v>
          </cell>
          <cell r="G36">
            <v>888.46</v>
          </cell>
          <cell r="H36">
            <v>888.43</v>
          </cell>
          <cell r="I36" t="str">
            <v>25G24-06</v>
          </cell>
          <cell r="J36">
            <v>176</v>
          </cell>
          <cell r="K36">
            <v>88</v>
          </cell>
          <cell r="O36">
            <v>600</v>
          </cell>
          <cell r="T36" t="str">
            <v>000000000005783</v>
          </cell>
        </row>
        <row r="37">
          <cell r="C37">
            <v>600</v>
          </cell>
          <cell r="D37">
            <v>45869</v>
          </cell>
          <cell r="E37" t="str">
            <v>25G25-07</v>
          </cell>
          <cell r="F37">
            <v>30</v>
          </cell>
          <cell r="G37">
            <v>888.58</v>
          </cell>
          <cell r="H37">
            <v>888.63</v>
          </cell>
          <cell r="I37" t="str">
            <v>25G25-07</v>
          </cell>
          <cell r="J37">
            <v>390</v>
          </cell>
          <cell r="K37">
            <v>195</v>
          </cell>
          <cell r="O37">
            <v>300</v>
          </cell>
          <cell r="T37" t="str">
            <v>000000000005783</v>
          </cell>
        </row>
        <row r="38">
          <cell r="G38" t="str">
            <v/>
          </cell>
          <cell r="K38">
            <v>0</v>
          </cell>
          <cell r="O38">
            <v>1</v>
          </cell>
          <cell r="T38" t="str">
            <v>000000000005783</v>
          </cell>
        </row>
        <row r="39">
          <cell r="C39">
            <v>2</v>
          </cell>
          <cell r="G39" t="str">
            <v/>
          </cell>
          <cell r="K39">
            <v>0</v>
          </cell>
          <cell r="O39">
            <v>1</v>
          </cell>
          <cell r="T39" t="str">
            <v>000000000005783</v>
          </cell>
        </row>
        <row r="40">
          <cell r="C40" t="str">
            <v>LED-A888</v>
          </cell>
          <cell r="G40" t="str">
            <v/>
          </cell>
          <cell r="K40">
            <v>0</v>
          </cell>
          <cell r="L40" t="str">
            <v>旧品加工</v>
          </cell>
          <cell r="M40">
            <v>35</v>
          </cell>
          <cell r="O40">
            <v>1</v>
          </cell>
          <cell r="T40" t="str">
            <v>000000000005783</v>
          </cell>
        </row>
        <row r="41">
          <cell r="C41">
            <v>6</v>
          </cell>
          <cell r="G41" t="str">
            <v/>
          </cell>
          <cell r="K41">
            <v>0</v>
          </cell>
          <cell r="L41" t="str">
            <v>持出端材</v>
          </cell>
          <cell r="O41" t="str">
            <v>水野</v>
          </cell>
          <cell r="T41" t="str">
            <v>000000000005783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M42">
            <v>1</v>
          </cell>
          <cell r="O42" t="str">
            <v>富田・上野</v>
          </cell>
          <cell r="P42">
            <v>1</v>
          </cell>
          <cell r="T42" t="str">
            <v>000000000005783</v>
          </cell>
        </row>
        <row r="43">
          <cell r="C43" t="str">
            <v>8FL281304 5010　L=888</v>
          </cell>
          <cell r="I43">
            <v>0</v>
          </cell>
          <cell r="J43">
            <v>0</v>
          </cell>
          <cell r="K43">
            <v>0</v>
          </cell>
          <cell r="L43">
            <v>45869</v>
          </cell>
          <cell r="M43">
            <v>2</v>
          </cell>
          <cell r="O43">
            <v>45873</v>
          </cell>
          <cell r="P43">
            <v>8</v>
          </cell>
          <cell r="T43" t="str">
            <v>000000000005782</v>
          </cell>
        </row>
        <row r="44">
          <cell r="D44">
            <v>45869</v>
          </cell>
          <cell r="E44" t="str">
            <v>25G25-07</v>
          </cell>
          <cell r="F44">
            <v>30</v>
          </cell>
          <cell r="G44">
            <v>888.58</v>
          </cell>
          <cell r="H44">
            <v>888.43</v>
          </cell>
          <cell r="I44" t="str">
            <v>25G25-07</v>
          </cell>
          <cell r="J44">
            <v>1018</v>
          </cell>
          <cell r="K44">
            <v>509</v>
          </cell>
          <cell r="L44">
            <v>45870</v>
          </cell>
          <cell r="M44">
            <v>15</v>
          </cell>
          <cell r="O44">
            <v>2000</v>
          </cell>
          <cell r="T44" t="str">
            <v>000000000005782</v>
          </cell>
        </row>
        <row r="45">
          <cell r="C45">
            <v>2000</v>
          </cell>
          <cell r="D45">
            <v>45869</v>
          </cell>
          <cell r="E45" t="str">
            <v>25G25-07</v>
          </cell>
          <cell r="F45">
            <v>30</v>
          </cell>
          <cell r="G45">
            <v>888.58</v>
          </cell>
          <cell r="H45">
            <v>888.67</v>
          </cell>
          <cell r="I45" t="str">
            <v>25G26-08</v>
          </cell>
          <cell r="J45">
            <v>991</v>
          </cell>
          <cell r="K45">
            <v>496</v>
          </cell>
          <cell r="L45">
            <v>45873</v>
          </cell>
          <cell r="M45">
            <v>3</v>
          </cell>
          <cell r="O45">
            <v>1005</v>
          </cell>
          <cell r="T45" t="str">
            <v>000000000005782</v>
          </cell>
        </row>
        <row r="46">
          <cell r="D46">
            <v>45869</v>
          </cell>
          <cell r="E46" t="str">
            <v>25G26-08</v>
          </cell>
          <cell r="F46">
            <v>30</v>
          </cell>
          <cell r="G46">
            <v>888.58</v>
          </cell>
          <cell r="H46">
            <v>888.63</v>
          </cell>
          <cell r="K46">
            <v>0</v>
          </cell>
          <cell r="O46">
            <v>5</v>
          </cell>
          <cell r="T46" t="str">
            <v>000000000005782</v>
          </cell>
        </row>
        <row r="47">
          <cell r="C47">
            <v>2</v>
          </cell>
          <cell r="D47">
            <v>45870</v>
          </cell>
          <cell r="E47" t="str">
            <v>25G26-08</v>
          </cell>
          <cell r="F47">
            <v>28</v>
          </cell>
          <cell r="G47">
            <v>888.46</v>
          </cell>
          <cell r="H47">
            <v>888.47</v>
          </cell>
          <cell r="K47">
            <v>0</v>
          </cell>
          <cell r="O47">
            <v>9</v>
          </cell>
          <cell r="T47" t="str">
            <v>000000000005782</v>
          </cell>
        </row>
        <row r="48">
          <cell r="C48" t="str">
            <v>LED-A888</v>
          </cell>
          <cell r="D48">
            <v>45870</v>
          </cell>
          <cell r="E48" t="str">
            <v>25G26-08</v>
          </cell>
          <cell r="F48">
            <v>30</v>
          </cell>
          <cell r="G48">
            <v>888.58</v>
          </cell>
          <cell r="H48">
            <v>888.59</v>
          </cell>
          <cell r="K48">
            <v>0</v>
          </cell>
          <cell r="L48" t="str">
            <v>旧品加工</v>
          </cell>
          <cell r="O48">
            <v>0</v>
          </cell>
          <cell r="T48" t="str">
            <v>000000000005782</v>
          </cell>
        </row>
        <row r="49">
          <cell r="C49">
            <v>20</v>
          </cell>
          <cell r="D49">
            <v>45870</v>
          </cell>
          <cell r="E49" t="str">
            <v>25G26-08</v>
          </cell>
          <cell r="F49">
            <v>32</v>
          </cell>
          <cell r="G49">
            <v>888.69</v>
          </cell>
          <cell r="H49">
            <v>888.62</v>
          </cell>
          <cell r="K49">
            <v>0</v>
          </cell>
          <cell r="L49" t="str">
            <v>持出端材</v>
          </cell>
          <cell r="O49" t="str">
            <v>富田・水野</v>
          </cell>
          <cell r="P49">
            <v>1</v>
          </cell>
          <cell r="T49" t="str">
            <v>000000000005782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M50">
            <v>0</v>
          </cell>
          <cell r="O50" t="str">
            <v>高森・上野</v>
          </cell>
          <cell r="P50">
            <v>9</v>
          </cell>
          <cell r="T50" t="str">
            <v>000000000005782</v>
          </cell>
        </row>
        <row r="51">
          <cell r="C51" t="str">
            <v>灯具カバーPC IN 2100　L=1923</v>
          </cell>
          <cell r="D51">
            <v>45827</v>
          </cell>
          <cell r="E51" t="str">
            <v>25F12-01</v>
          </cell>
          <cell r="I51" t="str">
            <v>25F12-01</v>
          </cell>
          <cell r="J51">
            <v>1</v>
          </cell>
          <cell r="K51">
            <v>1</v>
          </cell>
          <cell r="L51">
            <v>45873</v>
          </cell>
          <cell r="M51">
            <v>9</v>
          </cell>
          <cell r="O51">
            <v>45874</v>
          </cell>
          <cell r="P51">
            <v>22</v>
          </cell>
          <cell r="T51" t="str">
            <v>000000000005618</v>
          </cell>
        </row>
        <row r="52">
          <cell r="D52">
            <v>45873</v>
          </cell>
          <cell r="E52" t="str">
            <v>25G29-01</v>
          </cell>
          <cell r="G52" t="str">
            <v/>
          </cell>
          <cell r="I52" t="str">
            <v>25G29-01</v>
          </cell>
          <cell r="J52">
            <v>199</v>
          </cell>
          <cell r="K52">
            <v>199</v>
          </cell>
          <cell r="L52">
            <v>45874</v>
          </cell>
          <cell r="M52">
            <v>1</v>
          </cell>
          <cell r="O52">
            <v>160</v>
          </cell>
          <cell r="P52">
            <v>17</v>
          </cell>
          <cell r="T52" t="str">
            <v>000000000005618</v>
          </cell>
        </row>
        <row r="53">
          <cell r="C53">
            <v>160</v>
          </cell>
          <cell r="D53">
            <v>45874</v>
          </cell>
          <cell r="E53" t="str">
            <v>25G29-01</v>
          </cell>
          <cell r="G53" t="str">
            <v/>
          </cell>
          <cell r="K53">
            <v>0</v>
          </cell>
          <cell r="O53">
            <v>200</v>
          </cell>
          <cell r="P53">
            <v>1</v>
          </cell>
          <cell r="T53" t="str">
            <v>000000000005618</v>
          </cell>
        </row>
        <row r="54">
          <cell r="G54" t="str">
            <v/>
          </cell>
          <cell r="K54">
            <v>0</v>
          </cell>
          <cell r="O54">
            <v>40</v>
          </cell>
          <cell r="T54" t="str">
            <v>000000000005618</v>
          </cell>
        </row>
        <row r="55">
          <cell r="C55">
            <v>1</v>
          </cell>
          <cell r="G55" t="str">
            <v/>
          </cell>
          <cell r="K55">
            <v>0</v>
          </cell>
          <cell r="O55">
            <v>40</v>
          </cell>
          <cell r="T55" t="str">
            <v>000000000005618</v>
          </cell>
        </row>
        <row r="56">
          <cell r="C56" t="str">
            <v>灯具-2　L＝1996</v>
          </cell>
          <cell r="G56" t="str">
            <v/>
          </cell>
          <cell r="K56">
            <v>0</v>
          </cell>
          <cell r="L56" t="str">
            <v>旧品加工</v>
          </cell>
          <cell r="M56">
            <v>1</v>
          </cell>
          <cell r="O56">
            <v>0</v>
          </cell>
          <cell r="T56" t="str">
            <v>000000000005618</v>
          </cell>
        </row>
        <row r="57">
          <cell r="C57">
            <v>10</v>
          </cell>
          <cell r="G57" t="str">
            <v/>
          </cell>
          <cell r="K57">
            <v>0</v>
          </cell>
          <cell r="L57" t="str">
            <v>持出端材</v>
          </cell>
          <cell r="O57" t="str">
            <v>-</v>
          </cell>
          <cell r="T57" t="str">
            <v>000000000005618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M58">
            <v>0</v>
          </cell>
          <cell r="O58" t="str">
            <v>高森・水野</v>
          </cell>
          <cell r="P58">
            <v>40</v>
          </cell>
          <cell r="T58" t="str">
            <v>000000000005618</v>
          </cell>
        </row>
        <row r="59">
          <cell r="C59" t="str">
            <v>灯具カバーPC IN 2110　L=1815</v>
          </cell>
          <cell r="D59">
            <v>45852</v>
          </cell>
          <cell r="E59" t="str">
            <v>25G04-01</v>
          </cell>
          <cell r="I59" t="str">
            <v>25G04-01</v>
          </cell>
          <cell r="J59">
            <v>4</v>
          </cell>
          <cell r="K59">
            <v>4</v>
          </cell>
          <cell r="L59">
            <v>45874</v>
          </cell>
          <cell r="M59">
            <v>9</v>
          </cell>
          <cell r="O59">
            <v>45875</v>
          </cell>
          <cell r="P59">
            <v>44</v>
          </cell>
          <cell r="T59" t="str">
            <v>000000000005617</v>
          </cell>
        </row>
        <row r="60">
          <cell r="D60">
            <v>45874</v>
          </cell>
          <cell r="E60" t="str">
            <v>25G31-03</v>
          </cell>
          <cell r="G60" t="str">
            <v/>
          </cell>
          <cell r="I60" t="str">
            <v>25G31-03</v>
          </cell>
          <cell r="J60">
            <v>140</v>
          </cell>
          <cell r="K60">
            <v>140</v>
          </cell>
          <cell r="L60">
            <v>45875</v>
          </cell>
          <cell r="M60">
            <v>12</v>
          </cell>
          <cell r="O60">
            <v>336</v>
          </cell>
          <cell r="P60">
            <v>22</v>
          </cell>
          <cell r="T60" t="str">
            <v>000000000005617</v>
          </cell>
        </row>
        <row r="61">
          <cell r="C61">
            <v>336</v>
          </cell>
          <cell r="D61">
            <v>45874</v>
          </cell>
          <cell r="E61" t="str">
            <v>25G31-02</v>
          </cell>
          <cell r="G61" t="str">
            <v/>
          </cell>
          <cell r="I61" t="str">
            <v>25G31-02</v>
          </cell>
          <cell r="J61">
            <v>60</v>
          </cell>
          <cell r="K61">
            <v>60</v>
          </cell>
          <cell r="O61">
            <v>402</v>
          </cell>
          <cell r="T61" t="str">
            <v>000000000005617</v>
          </cell>
        </row>
        <row r="62">
          <cell r="D62">
            <v>45875</v>
          </cell>
          <cell r="E62" t="str">
            <v>25G31-01</v>
          </cell>
          <cell r="G62" t="str">
            <v/>
          </cell>
          <cell r="I62" t="str">
            <v>25G31-01</v>
          </cell>
          <cell r="J62">
            <v>198</v>
          </cell>
          <cell r="K62">
            <v>198</v>
          </cell>
          <cell r="O62">
            <v>66</v>
          </cell>
          <cell r="T62" t="str">
            <v>000000000005617</v>
          </cell>
        </row>
        <row r="63">
          <cell r="C63">
            <v>1</v>
          </cell>
          <cell r="G63" t="str">
            <v/>
          </cell>
          <cell r="K63">
            <v>0</v>
          </cell>
          <cell r="O63">
            <v>66</v>
          </cell>
          <cell r="T63" t="str">
            <v>000000000005617</v>
          </cell>
        </row>
        <row r="64">
          <cell r="C64" t="str">
            <v>灯具-2　L＝1996</v>
          </cell>
          <cell r="G64" t="str">
            <v/>
          </cell>
          <cell r="K64">
            <v>0</v>
          </cell>
          <cell r="L64" t="str">
            <v>旧品加工</v>
          </cell>
          <cell r="M64">
            <v>4</v>
          </cell>
          <cell r="O64">
            <v>0</v>
          </cell>
          <cell r="T64" t="str">
            <v>000000000005617</v>
          </cell>
        </row>
        <row r="65">
          <cell r="C65">
            <v>21</v>
          </cell>
          <cell r="G65" t="str">
            <v/>
          </cell>
          <cell r="K65">
            <v>0</v>
          </cell>
          <cell r="L65" t="str">
            <v>持出端材</v>
          </cell>
          <cell r="O65" t="str">
            <v>-</v>
          </cell>
          <cell r="T65" t="str">
            <v>000000000005617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M66">
            <v>0</v>
          </cell>
          <cell r="O66" t="str">
            <v>高森・水野</v>
          </cell>
          <cell r="P66">
            <v>66</v>
          </cell>
          <cell r="T66" t="str">
            <v>000000000005617</v>
          </cell>
        </row>
        <row r="67">
          <cell r="C67" t="str">
            <v>灯具カバーPC IN 2050　L=1183.5</v>
          </cell>
          <cell r="I67">
            <v>0</v>
          </cell>
          <cell r="J67">
            <v>0</v>
          </cell>
          <cell r="K67">
            <v>0</v>
          </cell>
          <cell r="L67">
            <v>45876</v>
          </cell>
          <cell r="M67">
            <v>13</v>
          </cell>
          <cell r="O67">
            <v>45877</v>
          </cell>
          <cell r="P67">
            <v>35</v>
          </cell>
          <cell r="T67" t="str">
            <v>000000000005615</v>
          </cell>
        </row>
        <row r="68">
          <cell r="D68">
            <v>45876</v>
          </cell>
          <cell r="E68" t="str">
            <v>25G29-01</v>
          </cell>
          <cell r="G68" t="str">
            <v/>
          </cell>
          <cell r="I68" t="str">
            <v>25G29-01</v>
          </cell>
          <cell r="J68">
            <v>200</v>
          </cell>
          <cell r="K68">
            <v>200</v>
          </cell>
          <cell r="L68">
            <v>45877</v>
          </cell>
          <cell r="M68">
            <v>6</v>
          </cell>
          <cell r="O68">
            <v>304</v>
          </cell>
          <cell r="P68">
            <v>43</v>
          </cell>
          <cell r="T68" t="str">
            <v>000000000005615</v>
          </cell>
        </row>
        <row r="69">
          <cell r="C69">
            <v>304</v>
          </cell>
          <cell r="D69">
            <v>45876</v>
          </cell>
          <cell r="E69" t="str">
            <v>25G30-02</v>
          </cell>
          <cell r="G69" t="str">
            <v/>
          </cell>
          <cell r="I69" t="str">
            <v>25G30-02</v>
          </cell>
          <cell r="J69">
            <v>200</v>
          </cell>
          <cell r="K69">
            <v>200</v>
          </cell>
          <cell r="O69">
            <v>400</v>
          </cell>
          <cell r="P69">
            <v>5</v>
          </cell>
          <cell r="T69" t="str">
            <v>000000000005615</v>
          </cell>
        </row>
        <row r="70">
          <cell r="G70" t="str">
            <v/>
          </cell>
          <cell r="K70">
            <v>0</v>
          </cell>
          <cell r="O70">
            <v>96</v>
          </cell>
          <cell r="T70" t="str">
            <v>000000000005615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96</v>
          </cell>
          <cell r="T71" t="str">
            <v>000000000005615</v>
          </cell>
        </row>
        <row r="72">
          <cell r="C72" t="str">
            <v>灯具-1　L=1370</v>
          </cell>
          <cell r="G72" t="str">
            <v/>
          </cell>
          <cell r="K72">
            <v>0</v>
          </cell>
          <cell r="L72" t="str">
            <v>旧品加工</v>
          </cell>
          <cell r="O72">
            <v>0</v>
          </cell>
          <cell r="P72">
            <v>13</v>
          </cell>
          <cell r="T72" t="str">
            <v>000000000005615</v>
          </cell>
        </row>
        <row r="73">
          <cell r="C73">
            <v>19</v>
          </cell>
          <cell r="G73" t="str">
            <v/>
          </cell>
          <cell r="K73">
            <v>0</v>
          </cell>
          <cell r="L73" t="str">
            <v>持出端材</v>
          </cell>
          <cell r="O73" t="str">
            <v>-</v>
          </cell>
          <cell r="T73" t="str">
            <v>000000000005615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M74">
            <v>0</v>
          </cell>
          <cell r="O74" t="str">
            <v>水野・高森</v>
          </cell>
          <cell r="P74">
            <v>96</v>
          </cell>
          <cell r="T74" t="str">
            <v>000000000005615</v>
          </cell>
        </row>
        <row r="75">
          <cell r="C75" t="str">
            <v>灯具カバーPC IN 2140　L=547</v>
          </cell>
          <cell r="D75">
            <v>45845</v>
          </cell>
          <cell r="E75" t="str">
            <v>25G01-01</v>
          </cell>
          <cell r="I75" t="str">
            <v>25G01-01</v>
          </cell>
          <cell r="J75">
            <v>11</v>
          </cell>
          <cell r="K75">
            <v>11</v>
          </cell>
          <cell r="L75">
            <v>45877</v>
          </cell>
          <cell r="M75">
            <v>7</v>
          </cell>
          <cell r="O75">
            <v>45881</v>
          </cell>
          <cell r="P75">
            <v>15</v>
          </cell>
          <cell r="T75" t="str">
            <v>000000000005612</v>
          </cell>
        </row>
        <row r="76">
          <cell r="D76">
            <v>45877</v>
          </cell>
          <cell r="E76" t="str">
            <v>25G30-01</v>
          </cell>
          <cell r="G76" t="str">
            <v/>
          </cell>
          <cell r="I76" t="str">
            <v>25G30-01</v>
          </cell>
          <cell r="J76">
            <v>196</v>
          </cell>
          <cell r="K76">
            <v>196</v>
          </cell>
          <cell r="L76">
            <v>45881</v>
          </cell>
          <cell r="M76">
            <v>4</v>
          </cell>
          <cell r="O76">
            <v>176</v>
          </cell>
          <cell r="P76">
            <v>11</v>
          </cell>
          <cell r="T76" t="str">
            <v>000000000005612</v>
          </cell>
        </row>
        <row r="77">
          <cell r="C77">
            <v>176</v>
          </cell>
          <cell r="D77">
            <v>45881</v>
          </cell>
          <cell r="E77" t="str">
            <v>25G30-01</v>
          </cell>
          <cell r="G77" t="str">
            <v/>
          </cell>
          <cell r="K77">
            <v>0</v>
          </cell>
          <cell r="O77">
            <v>207</v>
          </cell>
          <cell r="T77" t="str">
            <v>000000000005612</v>
          </cell>
        </row>
        <row r="78">
          <cell r="G78" t="str">
            <v/>
          </cell>
          <cell r="K78">
            <v>0</v>
          </cell>
          <cell r="O78">
            <v>31</v>
          </cell>
          <cell r="T78" t="str">
            <v>000000000005612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31</v>
          </cell>
          <cell r="T79" t="str">
            <v>000000000005612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旧品加工</v>
          </cell>
          <cell r="M80">
            <v>11</v>
          </cell>
          <cell r="O80">
            <v>0</v>
          </cell>
          <cell r="P80">
            <v>5</v>
          </cell>
          <cell r="T80" t="str">
            <v>000000000005612</v>
          </cell>
        </row>
        <row r="81">
          <cell r="C81">
            <v>5.5</v>
          </cell>
          <cell r="G81" t="str">
            <v/>
          </cell>
          <cell r="K81">
            <v>0</v>
          </cell>
          <cell r="L81" t="str">
            <v>持出端材</v>
          </cell>
          <cell r="O81" t="str">
            <v>-</v>
          </cell>
          <cell r="T81" t="str">
            <v>000000000005612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M82">
            <v>0</v>
          </cell>
          <cell r="O82" t="str">
            <v>水野・高森</v>
          </cell>
          <cell r="P82">
            <v>31</v>
          </cell>
          <cell r="T82" t="str">
            <v>000000000005612</v>
          </cell>
        </row>
        <row r="83">
          <cell r="C83" t="str">
            <v>灯具カバーPC IN 2090　L=840</v>
          </cell>
          <cell r="D83">
            <v>45845</v>
          </cell>
          <cell r="E83" t="str">
            <v>25G02-01</v>
          </cell>
          <cell r="I83" t="str">
            <v>25G02-01</v>
          </cell>
          <cell r="J83">
            <v>9</v>
          </cell>
          <cell r="K83">
            <v>9</v>
          </cell>
          <cell r="L83">
            <v>45881</v>
          </cell>
          <cell r="M83">
            <v>11</v>
          </cell>
          <cell r="O83">
            <v>45881</v>
          </cell>
          <cell r="P83">
            <v>19</v>
          </cell>
          <cell r="T83" t="str">
            <v>000000000005613</v>
          </cell>
        </row>
        <row r="84">
          <cell r="D84">
            <v>45881</v>
          </cell>
          <cell r="E84" t="str">
            <v>25G30-01</v>
          </cell>
          <cell r="G84" t="str">
            <v/>
          </cell>
          <cell r="I84" t="str">
            <v>25G30-01</v>
          </cell>
          <cell r="J84">
            <v>193</v>
          </cell>
          <cell r="K84">
            <v>193</v>
          </cell>
          <cell r="O84">
            <v>176</v>
          </cell>
          <cell r="P84">
            <v>6</v>
          </cell>
          <cell r="T84" t="str">
            <v>000000000005613</v>
          </cell>
        </row>
        <row r="85">
          <cell r="C85">
            <v>176</v>
          </cell>
          <cell r="G85" t="str">
            <v/>
          </cell>
          <cell r="K85">
            <v>0</v>
          </cell>
          <cell r="O85">
            <v>202</v>
          </cell>
          <cell r="P85">
            <v>1</v>
          </cell>
          <cell r="T85" t="str">
            <v>000000000005613</v>
          </cell>
        </row>
        <row r="86">
          <cell r="G86" t="str">
            <v/>
          </cell>
          <cell r="K86">
            <v>0</v>
          </cell>
          <cell r="O86">
            <v>26</v>
          </cell>
          <cell r="T86" t="str">
            <v>000000000005613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26</v>
          </cell>
          <cell r="T87" t="str">
            <v>000000000005613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旧品加工</v>
          </cell>
          <cell r="M88">
            <v>9</v>
          </cell>
          <cell r="O88">
            <v>0</v>
          </cell>
          <cell r="T88" t="str">
            <v>000000000005613</v>
          </cell>
        </row>
        <row r="89">
          <cell r="C89">
            <v>5.5</v>
          </cell>
          <cell r="G89" t="str">
            <v/>
          </cell>
          <cell r="K89">
            <v>0</v>
          </cell>
          <cell r="L89" t="str">
            <v>持出端材</v>
          </cell>
          <cell r="O89" t="str">
            <v>-</v>
          </cell>
          <cell r="T89" t="str">
            <v>000000000005613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M90">
            <v>0</v>
          </cell>
          <cell r="O90" t="str">
            <v>水野・高森</v>
          </cell>
          <cell r="P90">
            <v>26</v>
          </cell>
          <cell r="T90" t="str">
            <v>000000000005613</v>
          </cell>
        </row>
        <row r="91">
          <cell r="C91" t="str">
            <v>灯具カバーPC IN 2070　L=1966</v>
          </cell>
          <cell r="D91">
            <v>45856</v>
          </cell>
          <cell r="E91" t="str">
            <v>25G04-01</v>
          </cell>
          <cell r="I91" t="str">
            <v>25G04-01</v>
          </cell>
          <cell r="J91">
            <v>14</v>
          </cell>
          <cell r="K91">
            <v>14</v>
          </cell>
          <cell r="L91">
            <v>45887</v>
          </cell>
          <cell r="M91">
            <v>11</v>
          </cell>
          <cell r="O91">
            <v>45887</v>
          </cell>
          <cell r="P91">
            <v>16</v>
          </cell>
          <cell r="T91" t="str">
            <v>000000000005619</v>
          </cell>
        </row>
        <row r="92">
          <cell r="D92">
            <v>45887</v>
          </cell>
          <cell r="E92" t="str">
            <v>25H01-01</v>
          </cell>
          <cell r="G92" t="str">
            <v/>
          </cell>
          <cell r="I92" t="str">
            <v>25H01-01</v>
          </cell>
          <cell r="J92">
            <v>184</v>
          </cell>
          <cell r="K92">
            <v>184</v>
          </cell>
          <cell r="O92">
            <v>176</v>
          </cell>
          <cell r="P92">
            <v>6</v>
          </cell>
          <cell r="T92" t="str">
            <v>000000000005619</v>
          </cell>
        </row>
        <row r="93">
          <cell r="C93">
            <v>176</v>
          </cell>
          <cell r="G93" t="str">
            <v/>
          </cell>
          <cell r="K93">
            <v>0</v>
          </cell>
          <cell r="O93">
            <v>198</v>
          </cell>
          <cell r="T93" t="str">
            <v>000000000005619</v>
          </cell>
        </row>
        <row r="94">
          <cell r="G94" t="str">
            <v/>
          </cell>
          <cell r="K94">
            <v>0</v>
          </cell>
          <cell r="O94">
            <v>22</v>
          </cell>
          <cell r="T94" t="str">
            <v>000000000005619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22</v>
          </cell>
          <cell r="T95" t="str">
            <v>000000000005619</v>
          </cell>
        </row>
        <row r="96">
          <cell r="C96" t="str">
            <v>灯具-2　L＝1996</v>
          </cell>
          <cell r="G96" t="str">
            <v/>
          </cell>
          <cell r="K96">
            <v>0</v>
          </cell>
          <cell r="L96" t="str">
            <v>旧品加工</v>
          </cell>
          <cell r="M96">
            <v>14</v>
          </cell>
          <cell r="O96">
            <v>0</v>
          </cell>
          <cell r="T96" t="str">
            <v>000000000005619</v>
          </cell>
        </row>
        <row r="97">
          <cell r="C97">
            <v>11</v>
          </cell>
          <cell r="G97" t="str">
            <v/>
          </cell>
          <cell r="K97">
            <v>0</v>
          </cell>
          <cell r="L97" t="str">
            <v>持出端材</v>
          </cell>
          <cell r="O97" t="str">
            <v>-</v>
          </cell>
          <cell r="T97" t="str">
            <v>000000000005619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M98">
            <v>0</v>
          </cell>
          <cell r="O98" t="str">
            <v>高森・水野</v>
          </cell>
          <cell r="P98">
            <v>22</v>
          </cell>
          <cell r="T98" t="str">
            <v>000000000005619</v>
          </cell>
        </row>
        <row r="99">
          <cell r="C99" t="str">
            <v>灯具カバーPC IN 2060　L=1258.5</v>
          </cell>
          <cell r="D99">
            <v>45847</v>
          </cell>
          <cell r="E99" t="str">
            <v>25G03-01</v>
          </cell>
          <cell r="I99" t="str">
            <v>25G03-01</v>
          </cell>
          <cell r="J99">
            <v>11</v>
          </cell>
          <cell r="K99">
            <v>11</v>
          </cell>
          <cell r="L99">
            <v>45887</v>
          </cell>
          <cell r="M99">
            <v>1</v>
          </cell>
          <cell r="O99">
            <v>45888</v>
          </cell>
          <cell r="P99">
            <v>9</v>
          </cell>
          <cell r="T99" t="str">
            <v>000000000005616</v>
          </cell>
        </row>
        <row r="100">
          <cell r="D100">
            <v>45887</v>
          </cell>
          <cell r="E100" t="str">
            <v>25G31-01</v>
          </cell>
          <cell r="G100" t="str">
            <v/>
          </cell>
          <cell r="I100" t="str">
            <v>25G31-01</v>
          </cell>
          <cell r="J100">
            <v>198</v>
          </cell>
          <cell r="K100">
            <v>198</v>
          </cell>
          <cell r="L100">
            <v>45888</v>
          </cell>
          <cell r="M100">
            <v>11</v>
          </cell>
          <cell r="O100">
            <v>192</v>
          </cell>
          <cell r="P100">
            <v>6</v>
          </cell>
          <cell r="T100" t="str">
            <v>000000000005616</v>
          </cell>
        </row>
        <row r="101">
          <cell r="C101">
            <v>192</v>
          </cell>
          <cell r="D101">
            <v>45888</v>
          </cell>
          <cell r="E101" t="str">
            <v>25G31-01</v>
          </cell>
          <cell r="G101" t="str">
            <v/>
          </cell>
          <cell r="K101">
            <v>0</v>
          </cell>
          <cell r="O101">
            <v>209</v>
          </cell>
          <cell r="P101">
            <v>2</v>
          </cell>
          <cell r="T101" t="str">
            <v>000000000005616</v>
          </cell>
        </row>
        <row r="102">
          <cell r="G102" t="str">
            <v/>
          </cell>
          <cell r="K102">
            <v>0</v>
          </cell>
          <cell r="O102">
            <v>17</v>
          </cell>
          <cell r="T102" t="str">
            <v>000000000005616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17</v>
          </cell>
          <cell r="T103" t="str">
            <v>000000000005616</v>
          </cell>
        </row>
        <row r="104">
          <cell r="C104" t="str">
            <v>灯具-1　L=1370</v>
          </cell>
          <cell r="G104" t="str">
            <v/>
          </cell>
          <cell r="K104">
            <v>0</v>
          </cell>
          <cell r="L104" t="str">
            <v>旧品加工</v>
          </cell>
          <cell r="M104">
            <v>11</v>
          </cell>
          <cell r="O104">
            <v>0</v>
          </cell>
          <cell r="T104" t="str">
            <v>000000000005616</v>
          </cell>
        </row>
        <row r="105">
          <cell r="C105">
            <v>12</v>
          </cell>
          <cell r="G105" t="str">
            <v/>
          </cell>
          <cell r="K105">
            <v>0</v>
          </cell>
          <cell r="L105" t="str">
            <v>持出端材</v>
          </cell>
          <cell r="O105" t="str">
            <v>-</v>
          </cell>
          <cell r="T105" t="str">
            <v>000000000005616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M106">
            <v>0</v>
          </cell>
          <cell r="O106" t="str">
            <v>高森・水野</v>
          </cell>
          <cell r="P106">
            <v>17</v>
          </cell>
          <cell r="T106" t="str">
            <v>000000000005616</v>
          </cell>
        </row>
        <row r="107">
          <cell r="C107" t="str">
            <v>灯具カバーPC IN 2130　L=908</v>
          </cell>
          <cell r="D107">
            <v>45848</v>
          </cell>
          <cell r="E107" t="str">
            <v>25G02-01</v>
          </cell>
          <cell r="I107" t="str">
            <v>25G02-01</v>
          </cell>
          <cell r="J107">
            <v>1</v>
          </cell>
          <cell r="K107">
            <v>1</v>
          </cell>
          <cell r="L107">
            <v>45888</v>
          </cell>
          <cell r="M107">
            <v>4</v>
          </cell>
          <cell r="O107">
            <v>45889</v>
          </cell>
          <cell r="P107">
            <v>15</v>
          </cell>
          <cell r="T107" t="str">
            <v>000000000005614</v>
          </cell>
        </row>
        <row r="108">
          <cell r="D108">
            <v>45888</v>
          </cell>
          <cell r="E108" t="str">
            <v>25G30-01</v>
          </cell>
          <cell r="G108" t="str">
            <v/>
          </cell>
          <cell r="I108" t="str">
            <v>25G30-01</v>
          </cell>
          <cell r="J108">
            <v>199</v>
          </cell>
          <cell r="K108">
            <v>199</v>
          </cell>
          <cell r="L108">
            <v>45889</v>
          </cell>
          <cell r="M108">
            <v>7</v>
          </cell>
          <cell r="O108">
            <v>176</v>
          </cell>
          <cell r="P108">
            <v>9</v>
          </cell>
          <cell r="T108" t="str">
            <v>000000000005614</v>
          </cell>
        </row>
        <row r="109">
          <cell r="C109">
            <v>176</v>
          </cell>
          <cell r="D109">
            <v>45889</v>
          </cell>
          <cell r="E109" t="str">
            <v>25G30-01</v>
          </cell>
          <cell r="G109" t="str">
            <v/>
          </cell>
          <cell r="K109">
            <v>0</v>
          </cell>
          <cell r="O109">
            <v>200</v>
          </cell>
          <cell r="T109" t="str">
            <v>000000000005614</v>
          </cell>
        </row>
        <row r="110">
          <cell r="G110" t="str">
            <v/>
          </cell>
          <cell r="K110">
            <v>0</v>
          </cell>
          <cell r="O110">
            <v>24</v>
          </cell>
          <cell r="T110" t="str">
            <v>000000000005614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24</v>
          </cell>
          <cell r="T111" t="str">
            <v>000000000005614</v>
          </cell>
        </row>
        <row r="112">
          <cell r="C112" t="str">
            <v>灯具-1　L=1370</v>
          </cell>
          <cell r="G112" t="str">
            <v/>
          </cell>
          <cell r="K112">
            <v>0</v>
          </cell>
          <cell r="L112" t="str">
            <v>旧品加工</v>
          </cell>
          <cell r="M112">
            <v>1</v>
          </cell>
          <cell r="O112">
            <v>0</v>
          </cell>
          <cell r="T112" t="str">
            <v>000000000005614</v>
          </cell>
        </row>
        <row r="113">
          <cell r="C113">
            <v>11</v>
          </cell>
          <cell r="G113" t="str">
            <v/>
          </cell>
          <cell r="K113">
            <v>0</v>
          </cell>
          <cell r="L113" t="str">
            <v>持出端材</v>
          </cell>
          <cell r="O113" t="str">
            <v>-</v>
          </cell>
          <cell r="T113" t="str">
            <v>000000000005614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M114">
            <v>0</v>
          </cell>
          <cell r="O114" t="str">
            <v>高森・水野</v>
          </cell>
          <cell r="P114">
            <v>24</v>
          </cell>
          <cell r="T114" t="str">
            <v>000000000005614</v>
          </cell>
        </row>
        <row r="115">
          <cell r="C115" t="str">
            <v>PK-59827 L=700</v>
          </cell>
          <cell r="D115">
            <v>45854</v>
          </cell>
          <cell r="E115" t="str">
            <v>25G08</v>
          </cell>
          <cell r="I115" t="str">
            <v>25G08</v>
          </cell>
          <cell r="J115">
            <v>16</v>
          </cell>
          <cell r="K115">
            <v>8</v>
          </cell>
          <cell r="L115">
            <v>45889</v>
          </cell>
          <cell r="M115">
            <v>12</v>
          </cell>
          <cell r="O115">
            <v>45890</v>
          </cell>
          <cell r="P115">
            <v>21</v>
          </cell>
          <cell r="T115" t="str">
            <v>000000000005991</v>
          </cell>
        </row>
        <row r="116">
          <cell r="D116">
            <v>45889</v>
          </cell>
          <cell r="E116" t="str">
            <v>25H06-01</v>
          </cell>
          <cell r="F116">
            <v>29</v>
          </cell>
          <cell r="G116">
            <v>700.29</v>
          </cell>
          <cell r="H116">
            <v>700.21</v>
          </cell>
          <cell r="I116" t="str">
            <v>25H06-01</v>
          </cell>
          <cell r="J116">
            <v>600</v>
          </cell>
          <cell r="K116">
            <v>300</v>
          </cell>
          <cell r="L116">
            <v>45890</v>
          </cell>
          <cell r="M116">
            <v>18</v>
          </cell>
          <cell r="O116">
            <v>1020</v>
          </cell>
          <cell r="P116">
            <v>6</v>
          </cell>
          <cell r="T116" t="str">
            <v>000000000005991</v>
          </cell>
        </row>
        <row r="117">
          <cell r="C117">
            <v>1020</v>
          </cell>
          <cell r="D117">
            <v>45889</v>
          </cell>
          <cell r="E117" t="str">
            <v>25H06-01</v>
          </cell>
          <cell r="F117">
            <v>31</v>
          </cell>
          <cell r="G117">
            <v>700.39</v>
          </cell>
          <cell r="H117">
            <v>700.4</v>
          </cell>
          <cell r="I117" t="str">
            <v>25H12-02</v>
          </cell>
          <cell r="J117">
            <v>450</v>
          </cell>
          <cell r="K117">
            <v>225</v>
          </cell>
          <cell r="O117">
            <v>533</v>
          </cell>
          <cell r="P117">
            <v>2</v>
          </cell>
          <cell r="T117" t="str">
            <v>000000000005991</v>
          </cell>
        </row>
        <row r="118">
          <cell r="D118">
            <v>45889</v>
          </cell>
          <cell r="E118" t="str">
            <v>25H06-01</v>
          </cell>
          <cell r="F118">
            <v>29</v>
          </cell>
          <cell r="G118">
            <v>700.29</v>
          </cell>
          <cell r="H118">
            <v>700.36</v>
          </cell>
          <cell r="K118">
            <v>0</v>
          </cell>
          <cell r="T118" t="str">
            <v>000000000005991</v>
          </cell>
        </row>
        <row r="119">
          <cell r="C119">
            <v>2</v>
          </cell>
          <cell r="D119">
            <v>45890</v>
          </cell>
          <cell r="E119" t="str">
            <v>25H12-02</v>
          </cell>
          <cell r="F119">
            <v>27</v>
          </cell>
          <cell r="G119">
            <v>700.2</v>
          </cell>
          <cell r="H119">
            <v>700.52</v>
          </cell>
          <cell r="K119">
            <v>0</v>
          </cell>
          <cell r="O119">
            <v>47</v>
          </cell>
          <cell r="T119" t="str">
            <v>000000000005991</v>
          </cell>
        </row>
        <row r="120">
          <cell r="C120" t="str">
            <v>PK-59827 L=700用</v>
          </cell>
          <cell r="D120">
            <v>45890</v>
          </cell>
          <cell r="E120" t="str">
            <v>25H12-02</v>
          </cell>
          <cell r="F120">
            <v>29</v>
          </cell>
          <cell r="G120">
            <v>700.29</v>
          </cell>
          <cell r="H120">
            <v>700.36</v>
          </cell>
          <cell r="K120">
            <v>0</v>
          </cell>
          <cell r="L120" t="str">
            <v>旧品加工</v>
          </cell>
          <cell r="M120">
            <v>17</v>
          </cell>
          <cell r="O120">
            <v>1</v>
          </cell>
          <cell r="T120" t="str">
            <v>000000000005991</v>
          </cell>
        </row>
        <row r="121">
          <cell r="C121">
            <v>30</v>
          </cell>
          <cell r="D121">
            <v>45890</v>
          </cell>
          <cell r="E121" t="str">
            <v>25H12-02</v>
          </cell>
          <cell r="F121">
            <v>31</v>
          </cell>
          <cell r="G121">
            <v>700.39</v>
          </cell>
          <cell r="H121">
            <v>700.26</v>
          </cell>
          <cell r="K121">
            <v>0</v>
          </cell>
          <cell r="L121" t="str">
            <v>持出端材</v>
          </cell>
          <cell r="P121">
            <v>18</v>
          </cell>
          <cell r="T121" t="str">
            <v>000000000005991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M122">
            <v>1</v>
          </cell>
          <cell r="P122">
            <v>47</v>
          </cell>
          <cell r="T122" t="str">
            <v>000000000005991</v>
          </cell>
        </row>
        <row r="123">
          <cell r="C123" t="str">
            <v>PK-59827 L=500</v>
          </cell>
          <cell r="D123">
            <v>45855</v>
          </cell>
          <cell r="E123" t="str">
            <v>25G09</v>
          </cell>
          <cell r="I123" t="str">
            <v>25G09</v>
          </cell>
          <cell r="J123">
            <v>12</v>
          </cell>
          <cell r="K123">
            <v>4</v>
          </cell>
          <cell r="L123">
            <v>45890</v>
          </cell>
          <cell r="M123">
            <v>4</v>
          </cell>
          <cell r="O123">
            <v>45891</v>
          </cell>
          <cell r="P123">
            <v>21</v>
          </cell>
          <cell r="T123" t="str">
            <v>000000000005990</v>
          </cell>
        </row>
        <row r="124">
          <cell r="D124">
            <v>45890</v>
          </cell>
          <cell r="E124" t="str">
            <v>25H18-01</v>
          </cell>
          <cell r="F124">
            <v>29</v>
          </cell>
          <cell r="G124">
            <v>500.21</v>
          </cell>
          <cell r="H124">
            <v>500.08</v>
          </cell>
          <cell r="I124" t="str">
            <v>25H18-01</v>
          </cell>
          <cell r="J124">
            <v>543</v>
          </cell>
          <cell r="K124">
            <v>181</v>
          </cell>
          <cell r="L124">
            <v>45891</v>
          </cell>
          <cell r="M124">
            <v>11</v>
          </cell>
          <cell r="O124">
            <v>510</v>
          </cell>
          <cell r="P124">
            <v>1</v>
          </cell>
          <cell r="T124" t="str">
            <v>000000000005990</v>
          </cell>
        </row>
        <row r="125">
          <cell r="C125">
            <v>510</v>
          </cell>
          <cell r="D125">
            <v>45890</v>
          </cell>
          <cell r="E125" t="str">
            <v>25H18-01</v>
          </cell>
          <cell r="F125">
            <v>31</v>
          </cell>
          <cell r="G125">
            <v>500.28</v>
          </cell>
          <cell r="H125">
            <v>500.19</v>
          </cell>
          <cell r="K125">
            <v>0</v>
          </cell>
          <cell r="O125">
            <v>185</v>
          </cell>
          <cell r="P125">
            <v>3</v>
          </cell>
          <cell r="T125" t="str">
            <v>000000000005990</v>
          </cell>
        </row>
        <row r="126">
          <cell r="D126">
            <v>45890</v>
          </cell>
          <cell r="E126" t="str">
            <v>25H18-01</v>
          </cell>
          <cell r="F126">
            <v>29</v>
          </cell>
          <cell r="G126">
            <v>500.21</v>
          </cell>
          <cell r="H126">
            <v>500.23</v>
          </cell>
          <cell r="K126">
            <v>0</v>
          </cell>
          <cell r="O126">
            <v>15</v>
          </cell>
          <cell r="T126" t="str">
            <v>000000000005990</v>
          </cell>
        </row>
        <row r="127">
          <cell r="C127">
            <v>3</v>
          </cell>
          <cell r="D127">
            <v>45891</v>
          </cell>
          <cell r="E127" t="str">
            <v>25H18-01</v>
          </cell>
          <cell r="F127">
            <v>27</v>
          </cell>
          <cell r="G127">
            <v>500.14</v>
          </cell>
          <cell r="H127">
            <v>500.18</v>
          </cell>
          <cell r="K127">
            <v>0</v>
          </cell>
          <cell r="O127">
            <v>45</v>
          </cell>
          <cell r="T127" t="str">
            <v>000000000005990</v>
          </cell>
        </row>
        <row r="128">
          <cell r="C128" t="str">
            <v>PK-59827 L=500用</v>
          </cell>
          <cell r="D128">
            <v>45891</v>
          </cell>
          <cell r="E128" t="str">
            <v>25H18-01</v>
          </cell>
          <cell r="F128">
            <v>27</v>
          </cell>
          <cell r="G128">
            <v>500.14</v>
          </cell>
          <cell r="H128">
            <v>500.23</v>
          </cell>
          <cell r="K128">
            <v>0</v>
          </cell>
          <cell r="L128" t="str">
            <v>旧品加工</v>
          </cell>
          <cell r="M128">
            <v>12</v>
          </cell>
          <cell r="O128">
            <v>0</v>
          </cell>
          <cell r="T128" t="str">
            <v>000000000005990</v>
          </cell>
        </row>
        <row r="129">
          <cell r="C129">
            <v>15</v>
          </cell>
          <cell r="G129" t="str">
            <v/>
          </cell>
          <cell r="K129">
            <v>0</v>
          </cell>
          <cell r="L129" t="str">
            <v>持出端材</v>
          </cell>
          <cell r="P129">
            <v>20</v>
          </cell>
          <cell r="T129" t="str">
            <v>000000000005990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M130">
            <v>0</v>
          </cell>
          <cell r="P130">
            <v>45</v>
          </cell>
          <cell r="T130" t="str">
            <v>000000000005990</v>
          </cell>
        </row>
        <row r="131">
          <cell r="C131" t="str">
            <v>8FL281304 6110　L=1478</v>
          </cell>
          <cell r="I131">
            <v>0</v>
          </cell>
          <cell r="J131">
            <v>0</v>
          </cell>
          <cell r="K131">
            <v>0</v>
          </cell>
          <cell r="O131">
            <v>0</v>
          </cell>
          <cell r="T131" t="str">
            <v>000000000006087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000000000006087</v>
          </cell>
        </row>
        <row r="133">
          <cell r="C133">
            <v>1000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000000000006087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000000000006087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000000000006087</v>
          </cell>
        </row>
        <row r="136">
          <cell r="C136" t="str">
            <v>LED-A1478</v>
          </cell>
          <cell r="G136" t="str">
            <v/>
          </cell>
          <cell r="K136">
            <v>0</v>
          </cell>
          <cell r="L136" t="str">
            <v>旧品加工</v>
          </cell>
          <cell r="O136">
            <v>0</v>
          </cell>
          <cell r="T136" t="str">
            <v>000000000006087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持出端材</v>
          </cell>
          <cell r="T137" t="str">
            <v>000000000006087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M138">
            <v>0</v>
          </cell>
          <cell r="P138">
            <v>0</v>
          </cell>
          <cell r="T138" t="str">
            <v>000000000006087</v>
          </cell>
        </row>
        <row r="139">
          <cell r="C139" t="str">
            <v>8FL281304 4810　L=297</v>
          </cell>
          <cell r="I139">
            <v>0</v>
          </cell>
          <cell r="J139">
            <v>0</v>
          </cell>
          <cell r="K139">
            <v>0</v>
          </cell>
          <cell r="O139">
            <v>0</v>
          </cell>
          <cell r="T139" t="str">
            <v>000000000006082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000000000006082</v>
          </cell>
        </row>
        <row r="141">
          <cell r="C141">
            <v>300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000000000006082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000000000006082</v>
          </cell>
        </row>
        <row r="143">
          <cell r="C143">
            <v>6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000000000006082</v>
          </cell>
        </row>
        <row r="144">
          <cell r="C144" t="str">
            <v>LED-A300</v>
          </cell>
          <cell r="G144" t="str">
            <v/>
          </cell>
          <cell r="K144">
            <v>0</v>
          </cell>
          <cell r="L144" t="str">
            <v>旧品加工</v>
          </cell>
          <cell r="O144">
            <v>0</v>
          </cell>
          <cell r="T144" t="str">
            <v>000000000006082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持出端材</v>
          </cell>
          <cell r="T145" t="str">
            <v>000000000006082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M146">
            <v>0</v>
          </cell>
          <cell r="P146">
            <v>0</v>
          </cell>
          <cell r="T146" t="str">
            <v>000000000006082</v>
          </cell>
        </row>
        <row r="147">
          <cell r="C147" t="str">
            <v>8FL281304 5010　L=888</v>
          </cell>
          <cell r="I147">
            <v>0</v>
          </cell>
          <cell r="J147">
            <v>0</v>
          </cell>
          <cell r="K147">
            <v>0</v>
          </cell>
          <cell r="O147">
            <v>0</v>
          </cell>
          <cell r="T147" t="str">
            <v>000000000006085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000000000006085</v>
          </cell>
        </row>
        <row r="149">
          <cell r="C149">
            <v>1400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000000000006085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000000000006085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000000000006085</v>
          </cell>
        </row>
        <row r="152">
          <cell r="C152" t="str">
            <v>LED-A888</v>
          </cell>
          <cell r="G152" t="str">
            <v/>
          </cell>
          <cell r="K152">
            <v>0</v>
          </cell>
          <cell r="L152" t="str">
            <v>旧品加工</v>
          </cell>
          <cell r="O152">
            <v>0</v>
          </cell>
          <cell r="T152" t="str">
            <v>000000000006085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持出端材</v>
          </cell>
          <cell r="T153" t="str">
            <v>000000000006085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M154">
            <v>0</v>
          </cell>
          <cell r="P154">
            <v>0</v>
          </cell>
          <cell r="T154" t="str">
            <v>000000000006085</v>
          </cell>
        </row>
        <row r="155">
          <cell r="C155" t="str">
            <v>8FL281304 8310　L=748</v>
          </cell>
          <cell r="I155">
            <v>0</v>
          </cell>
          <cell r="J155">
            <v>0</v>
          </cell>
          <cell r="K155">
            <v>0</v>
          </cell>
          <cell r="O155">
            <v>0</v>
          </cell>
          <cell r="T155" t="str">
            <v>000000000006084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000000000006084</v>
          </cell>
        </row>
        <row r="157">
          <cell r="C157">
            <v>400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000000000006084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000000000006084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000000000006084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旧品加工</v>
          </cell>
          <cell r="O160">
            <v>0</v>
          </cell>
          <cell r="T160" t="str">
            <v>000000000006084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持出端材</v>
          </cell>
          <cell r="T161" t="str">
            <v>000000000006084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M162">
            <v>0</v>
          </cell>
          <cell r="P162">
            <v>0</v>
          </cell>
          <cell r="T162" t="str">
            <v>000000000006084</v>
          </cell>
        </row>
        <row r="163">
          <cell r="C163" t="str">
            <v>8FL281304 4910　L=592</v>
          </cell>
          <cell r="I163">
            <v>0</v>
          </cell>
          <cell r="J163">
            <v>0</v>
          </cell>
          <cell r="K163">
            <v>0</v>
          </cell>
          <cell r="O163">
            <v>0</v>
          </cell>
          <cell r="T163" t="str">
            <v>000000000006083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000000000006083</v>
          </cell>
        </row>
        <row r="165">
          <cell r="C165">
            <v>300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000000000006083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000000000006083</v>
          </cell>
        </row>
        <row r="167">
          <cell r="C167">
            <v>3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000000000006083</v>
          </cell>
        </row>
        <row r="168">
          <cell r="C168" t="str">
            <v>LED-A592</v>
          </cell>
          <cell r="G168" t="str">
            <v/>
          </cell>
          <cell r="K168">
            <v>0</v>
          </cell>
          <cell r="L168" t="str">
            <v>旧品加工</v>
          </cell>
          <cell r="O168">
            <v>0</v>
          </cell>
          <cell r="T168" t="str">
            <v>000000000006083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持出端材</v>
          </cell>
          <cell r="T169" t="str">
            <v>000000000006083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M170">
            <v>0</v>
          </cell>
          <cell r="P170">
            <v>0</v>
          </cell>
          <cell r="T170" t="str">
            <v>000000000006083</v>
          </cell>
        </row>
        <row r="171">
          <cell r="C171" t="str">
            <v>8FL281304 5010　L=888</v>
          </cell>
          <cell r="I171">
            <v>0</v>
          </cell>
          <cell r="J171">
            <v>0</v>
          </cell>
          <cell r="K171">
            <v>0</v>
          </cell>
          <cell r="O171">
            <v>0</v>
          </cell>
          <cell r="T171" t="str">
            <v>000000000006086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000000000006086</v>
          </cell>
        </row>
        <row r="173">
          <cell r="C173">
            <v>2000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000000000006086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000000000006086</v>
          </cell>
        </row>
        <row r="175">
          <cell r="C175">
            <v>2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000000000006086</v>
          </cell>
        </row>
        <row r="176">
          <cell r="C176" t="str">
            <v>LED-A888</v>
          </cell>
          <cell r="G176" t="str">
            <v/>
          </cell>
          <cell r="K176">
            <v>0</v>
          </cell>
          <cell r="L176" t="str">
            <v>旧品加工</v>
          </cell>
          <cell r="O176">
            <v>0</v>
          </cell>
          <cell r="T176" t="str">
            <v>000000000006086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持出端材</v>
          </cell>
          <cell r="T177" t="str">
            <v>000000000006086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M178">
            <v>0</v>
          </cell>
          <cell r="P178">
            <v>0</v>
          </cell>
          <cell r="T178" t="str">
            <v>000000000006086</v>
          </cell>
        </row>
        <row r="179">
          <cell r="C179" t="str">
            <v>採光ルーバーパネルB　L=1996</v>
          </cell>
          <cell r="I179">
            <v>0</v>
          </cell>
          <cell r="J179">
            <v>0</v>
          </cell>
          <cell r="K179">
            <v>0</v>
          </cell>
          <cell r="O179">
            <v>0</v>
          </cell>
          <cell r="T179" t="str">
            <v>000000000006531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000000000006531</v>
          </cell>
        </row>
        <row r="181">
          <cell r="C181">
            <v>588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000000000006531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000000000006531</v>
          </cell>
        </row>
        <row r="183">
          <cell r="C183">
            <v>1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000000000006531</v>
          </cell>
        </row>
        <row r="184">
          <cell r="C184" t="str">
            <v>上-1</v>
          </cell>
          <cell r="G184" t="str">
            <v/>
          </cell>
          <cell r="K184">
            <v>0</v>
          </cell>
          <cell r="L184" t="str">
            <v>旧品加工</v>
          </cell>
          <cell r="O184">
            <v>0</v>
          </cell>
          <cell r="T184" t="str">
            <v>000000000006531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持出端材</v>
          </cell>
          <cell r="T185" t="str">
            <v>000000000006531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M186">
            <v>0</v>
          </cell>
          <cell r="P186">
            <v>0</v>
          </cell>
          <cell r="T186" t="str">
            <v>000000000006531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－0.5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－0.5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J1AKZYB00207000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 t="str">
            <v xml:space="preserve"> 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 t="str">
            <v xml:space="preserve"> 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topLeftCell="A37" workbookViewId="0">
      <selection activeCell="D53" sqref="D53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55" t="s">
        <v>0</v>
      </c>
      <c r="C1" s="127"/>
      <c r="D1" s="127"/>
      <c r="E1" s="12"/>
      <c r="F1" s="12"/>
      <c r="G1" s="12"/>
      <c r="H1" s="12"/>
      <c r="I1" s="12"/>
      <c r="J1" s="12"/>
    </row>
    <row r="2" spans="1:10" ht="14.25" customHeight="1" thickTop="1">
      <c r="A2" s="13"/>
      <c r="B2" s="127"/>
      <c r="C2" s="127"/>
      <c r="D2" s="127"/>
      <c r="E2" s="13"/>
      <c r="F2" s="13"/>
      <c r="G2" s="13"/>
      <c r="H2" s="13"/>
      <c r="I2" s="13"/>
      <c r="J2" s="13"/>
    </row>
    <row r="3" spans="1:10" ht="14.25" customHeight="1">
      <c r="A3" s="151" t="s">
        <v>1</v>
      </c>
      <c r="B3" s="151" t="s">
        <v>2</v>
      </c>
      <c r="C3" s="151" t="s">
        <v>3</v>
      </c>
      <c r="D3" s="130">
        <v>500</v>
      </c>
      <c r="E3" s="151" t="s">
        <v>4</v>
      </c>
      <c r="F3" s="135" t="s">
        <v>5</v>
      </c>
      <c r="G3" s="127"/>
      <c r="H3" s="136"/>
      <c r="I3" s="14" t="s">
        <v>6</v>
      </c>
      <c r="J3" s="14" t="s">
        <v>7</v>
      </c>
    </row>
    <row r="4" spans="1:10" ht="14.25" customHeight="1">
      <c r="A4" s="127"/>
      <c r="B4" s="127"/>
      <c r="C4" s="127"/>
      <c r="D4" s="127"/>
      <c r="E4" s="127"/>
      <c r="F4" s="127"/>
      <c r="G4" s="127"/>
      <c r="H4" s="136"/>
      <c r="I4" s="147"/>
      <c r="J4" s="147"/>
    </row>
    <row r="5" spans="1:10" ht="17.45" customHeight="1">
      <c r="A5" s="134" t="s">
        <v>8</v>
      </c>
      <c r="B5" s="134" t="s">
        <v>9</v>
      </c>
      <c r="E5" s="134" t="s">
        <v>10</v>
      </c>
      <c r="F5" s="164" t="s">
        <v>11</v>
      </c>
      <c r="G5" s="127"/>
      <c r="H5" s="136"/>
      <c r="I5" s="148"/>
      <c r="J5" s="148"/>
    </row>
    <row r="6" spans="1:10" ht="17.45" customHeight="1">
      <c r="A6" s="127"/>
      <c r="B6" s="127"/>
      <c r="E6" s="127"/>
      <c r="F6" s="127"/>
      <c r="G6" s="127"/>
      <c r="H6" s="136"/>
      <c r="I6" s="15"/>
      <c r="J6" s="15"/>
    </row>
    <row r="7" spans="1:10" ht="17.45" customHeight="1">
      <c r="A7" s="134" t="s">
        <v>12</v>
      </c>
      <c r="B7" s="134" t="s">
        <v>13</v>
      </c>
      <c r="E7" s="2" t="s">
        <v>14</v>
      </c>
      <c r="F7" s="165" t="s">
        <v>15</v>
      </c>
      <c r="G7" s="127"/>
      <c r="H7" s="22"/>
    </row>
    <row r="8" spans="1:10" ht="17.45" customHeight="1">
      <c r="A8" s="127"/>
      <c r="B8" s="127"/>
      <c r="E8" s="2" t="s">
        <v>16</v>
      </c>
      <c r="F8" s="22" t="s">
        <v>17</v>
      </c>
      <c r="G8" s="22"/>
      <c r="H8" s="22"/>
    </row>
    <row r="9" spans="1:10" ht="17.45" customHeight="1">
      <c r="A9" s="2" t="s">
        <v>18</v>
      </c>
      <c r="B9" s="4">
        <v>45895</v>
      </c>
      <c r="E9" s="2" t="s">
        <v>19</v>
      </c>
      <c r="F9" s="161">
        <v>34</v>
      </c>
      <c r="G9" s="127"/>
      <c r="H9" s="22"/>
    </row>
    <row r="10" spans="1:10" ht="17.45" customHeight="1">
      <c r="A10" s="2" t="s">
        <v>20</v>
      </c>
      <c r="B10" s="4">
        <v>45895</v>
      </c>
      <c r="E10" s="2" t="s">
        <v>21</v>
      </c>
      <c r="F10" s="22">
        <v>15</v>
      </c>
      <c r="G10" s="137" t="s">
        <v>22</v>
      </c>
      <c r="H10" s="157">
        <v>510</v>
      </c>
      <c r="I10" s="158"/>
      <c r="J10" s="159"/>
    </row>
    <row r="11" spans="1:10" ht="17.45" customHeight="1">
      <c r="A11" s="20"/>
      <c r="B11" s="21"/>
      <c r="C11" s="21"/>
      <c r="D11" s="21"/>
      <c r="E11" s="2" t="s">
        <v>23</v>
      </c>
      <c r="F11" s="22" t="s">
        <v>24</v>
      </c>
      <c r="G11" s="138"/>
      <c r="H11" s="138"/>
      <c r="I11" s="142"/>
      <c r="J11" s="153"/>
    </row>
    <row r="12" spans="1:10" ht="13.5" customHeight="1">
      <c r="A12" s="166" t="s">
        <v>25</v>
      </c>
      <c r="B12" s="127"/>
      <c r="C12" s="127"/>
      <c r="D12" s="21"/>
      <c r="F12" s="3"/>
      <c r="G12" s="160" t="s">
        <v>26</v>
      </c>
      <c r="H12" s="149" t="s">
        <v>27</v>
      </c>
      <c r="I12" s="152" t="s">
        <v>28</v>
      </c>
      <c r="J12" s="136"/>
    </row>
    <row r="13" spans="1:10" ht="13.5" customHeight="1">
      <c r="A13" s="127"/>
      <c r="B13" s="127"/>
      <c r="C13" s="127"/>
      <c r="D13" s="21"/>
      <c r="F13" s="3"/>
      <c r="G13" s="150"/>
      <c r="H13" s="150"/>
      <c r="I13" s="142"/>
      <c r="J13" s="153"/>
    </row>
    <row r="14" spans="1:10" ht="13.5" customHeight="1">
      <c r="A14" s="1" t="s">
        <v>29</v>
      </c>
    </row>
    <row r="15" spans="1:10" ht="63" customHeight="1" thickBot="1">
      <c r="A15" s="162"/>
      <c r="B15" s="163"/>
      <c r="C15" s="163"/>
      <c r="D15" s="163"/>
      <c r="E15" s="163"/>
      <c r="F15" s="163"/>
      <c r="G15" s="163"/>
      <c r="H15" s="163"/>
      <c r="I15" s="163"/>
      <c r="J15" s="163"/>
    </row>
    <row r="16" spans="1:10" ht="18.75">
      <c r="A16" s="24" t="s">
        <v>30</v>
      </c>
      <c r="B16" s="17" t="s">
        <v>31</v>
      </c>
      <c r="C16" s="139" t="s">
        <v>32</v>
      </c>
      <c r="D16" s="140"/>
      <c r="E16" s="17" t="s">
        <v>33</v>
      </c>
      <c r="F16" s="139" t="s">
        <v>34</v>
      </c>
      <c r="G16" s="140"/>
      <c r="H16" s="140"/>
      <c r="I16" s="143" t="s">
        <v>35</v>
      </c>
      <c r="J16" s="140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3">
        <v>1</v>
      </c>
      <c r="B18" s="25" t="s">
        <v>36</v>
      </c>
      <c r="C18" s="126" t="s">
        <v>37</v>
      </c>
      <c r="D18" s="133"/>
      <c r="E18" s="25" t="s">
        <v>38</v>
      </c>
      <c r="F18" s="126" t="s">
        <v>39</v>
      </c>
      <c r="G18" s="133"/>
      <c r="H18" s="133"/>
      <c r="I18" s="129"/>
      <c r="J18" s="133"/>
    </row>
    <row r="19" spans="1:10" s="7" customFormat="1" ht="16.5" customHeight="1">
      <c r="A19" s="23">
        <v>1</v>
      </c>
      <c r="B19" s="26" t="s">
        <v>36</v>
      </c>
      <c r="C19" s="126" t="s">
        <v>37</v>
      </c>
      <c r="D19" s="133"/>
      <c r="E19" s="25" t="s">
        <v>40</v>
      </c>
      <c r="F19" s="126" t="s">
        <v>41</v>
      </c>
      <c r="G19" s="133"/>
      <c r="H19" s="133"/>
      <c r="I19" s="129"/>
      <c r="J19" s="133"/>
    </row>
    <row r="20" spans="1:10" s="7" customFormat="1" ht="16.5" customHeight="1">
      <c r="A20" s="23"/>
      <c r="B20" s="26"/>
      <c r="C20" s="126"/>
      <c r="D20" s="133"/>
      <c r="E20" s="25"/>
      <c r="F20" s="126"/>
      <c r="G20" s="133"/>
      <c r="H20" s="133"/>
      <c r="I20" s="129"/>
      <c r="J20" s="133"/>
    </row>
    <row r="21" spans="1:10" s="7" customFormat="1" ht="16.5" customHeight="1">
      <c r="A21" s="23"/>
      <c r="B21" s="26"/>
      <c r="C21" s="126"/>
      <c r="D21" s="133"/>
      <c r="E21" s="25"/>
      <c r="F21" s="126"/>
      <c r="G21" s="133"/>
      <c r="H21" s="133"/>
      <c r="I21" s="129"/>
      <c r="J21" s="133"/>
    </row>
    <row r="22" spans="1:10" s="7" customFormat="1" ht="16.5" customHeight="1">
      <c r="A22" s="23"/>
      <c r="B22" s="26"/>
      <c r="C22" s="126"/>
      <c r="D22" s="133"/>
      <c r="E22" s="25"/>
      <c r="F22" s="126"/>
      <c r="G22" s="133"/>
      <c r="H22" s="133"/>
      <c r="I22" s="129"/>
      <c r="J22" s="133"/>
    </row>
    <row r="23" spans="1:10" s="7" customFormat="1" ht="16.5" customHeight="1">
      <c r="A23" s="23"/>
      <c r="B23" s="26"/>
      <c r="C23" s="126"/>
      <c r="D23" s="133"/>
      <c r="E23" s="25"/>
      <c r="F23" s="126"/>
      <c r="G23" s="133"/>
      <c r="H23" s="133"/>
      <c r="I23" s="129"/>
      <c r="J23" s="133"/>
    </row>
    <row r="24" spans="1:10" ht="16.5" customHeight="1" thickBot="1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18.75">
      <c r="A25" s="144" t="s">
        <v>42</v>
      </c>
      <c r="B25" s="145"/>
      <c r="C25" s="144" t="s">
        <v>43</v>
      </c>
      <c r="D25" s="145"/>
      <c r="E25" s="145"/>
      <c r="F25" s="18" t="s">
        <v>44</v>
      </c>
      <c r="G25" s="144" t="s">
        <v>45</v>
      </c>
      <c r="H25" s="145"/>
      <c r="I25" s="144" t="s">
        <v>46</v>
      </c>
      <c r="J25" s="145"/>
    </row>
    <row r="26" spans="1:10" ht="14.25" customHeight="1">
      <c r="A26" s="8"/>
      <c r="B26" s="19"/>
      <c r="C26" s="141" t="s">
        <v>47</v>
      </c>
      <c r="D26" s="142"/>
      <c r="E26" s="19"/>
      <c r="F26" s="141" t="s">
        <v>29</v>
      </c>
      <c r="G26" s="142"/>
      <c r="H26" s="142"/>
      <c r="I26" s="142"/>
      <c r="J26" s="142"/>
    </row>
    <row r="27" spans="1:10">
      <c r="A27" s="9"/>
      <c r="C27" s="7"/>
      <c r="D27" s="7"/>
      <c r="E27" s="7"/>
    </row>
    <row r="28" spans="1:10" s="5" customFormat="1" ht="14.25" customHeight="1">
      <c r="A28" s="126" t="s">
        <v>48</v>
      </c>
      <c r="B28" s="146"/>
      <c r="C28" s="126" t="s">
        <v>49</v>
      </c>
      <c r="D28" s="146"/>
      <c r="E28" s="146"/>
      <c r="F28" s="27" t="s">
        <v>27</v>
      </c>
      <c r="G28" s="154">
        <v>169.83</v>
      </c>
      <c r="H28" s="146"/>
      <c r="I28" s="154">
        <v>4.9950000000000001</v>
      </c>
      <c r="J28" s="146"/>
    </row>
    <row r="29" spans="1:10" s="7" customFormat="1" ht="24.95" customHeight="1">
      <c r="A29" s="128" t="s">
        <v>50</v>
      </c>
      <c r="B29" s="133"/>
      <c r="C29" s="126" t="s">
        <v>11</v>
      </c>
      <c r="D29" s="133"/>
      <c r="E29" s="133"/>
      <c r="F29" s="126"/>
      <c r="G29" s="133"/>
      <c r="H29" s="133"/>
      <c r="I29" s="133"/>
      <c r="J29" s="133"/>
    </row>
    <row r="30" spans="1:10" s="5" customFormat="1" ht="14.25" customHeight="1">
      <c r="A30" s="156" t="s">
        <v>67</v>
      </c>
      <c r="B30" s="146"/>
      <c r="C30" s="126" t="s">
        <v>51</v>
      </c>
      <c r="D30" s="146"/>
      <c r="E30" s="146"/>
      <c r="F30" s="27" t="s">
        <v>27</v>
      </c>
      <c r="G30" s="154">
        <v>14.79</v>
      </c>
      <c r="H30" s="146"/>
      <c r="I30" s="154">
        <v>0.435</v>
      </c>
      <c r="J30" s="146"/>
    </row>
    <row r="31" spans="1:10" s="7" customFormat="1" ht="24.95" customHeight="1">
      <c r="A31" s="128" t="s">
        <v>52</v>
      </c>
      <c r="B31" s="133"/>
      <c r="C31" s="126"/>
      <c r="D31" s="133"/>
      <c r="E31" s="133"/>
      <c r="F31" s="126"/>
      <c r="G31" s="133"/>
      <c r="H31" s="133"/>
      <c r="I31" s="133"/>
      <c r="J31" s="133"/>
    </row>
    <row r="32" spans="1:10" s="5" customFormat="1" ht="14.25" customHeight="1">
      <c r="A32" s="126" t="s">
        <v>53</v>
      </c>
      <c r="B32" s="146"/>
      <c r="C32" s="126" t="s">
        <v>54</v>
      </c>
      <c r="D32" s="146"/>
      <c r="E32" s="146"/>
      <c r="F32" s="27"/>
      <c r="G32" s="154">
        <v>0.51</v>
      </c>
      <c r="H32" s="146"/>
      <c r="I32" s="154">
        <v>1.4999999999999999E-2</v>
      </c>
      <c r="J32" s="146"/>
    </row>
    <row r="33" spans="1:14" s="7" customFormat="1" ht="24.95" customHeight="1">
      <c r="A33" s="128" t="s">
        <v>55</v>
      </c>
      <c r="B33" s="133"/>
      <c r="C33" s="126" t="s">
        <v>56</v>
      </c>
      <c r="D33" s="133"/>
      <c r="E33" s="133"/>
      <c r="F33" s="126"/>
      <c r="G33" s="133"/>
      <c r="H33" s="133"/>
      <c r="I33" s="133"/>
      <c r="J33" s="133"/>
    </row>
    <row r="34" spans="1:14" s="5" customFormat="1" ht="14.25" customHeight="1">
      <c r="A34" s="126"/>
      <c r="B34" s="146"/>
      <c r="C34" s="126"/>
      <c r="D34" s="146"/>
      <c r="E34" s="146"/>
      <c r="F34" s="27"/>
      <c r="G34" s="154"/>
      <c r="H34" s="146"/>
      <c r="I34" s="154"/>
      <c r="J34" s="146"/>
    </row>
    <row r="35" spans="1:14" s="7" customFormat="1" ht="24.95" customHeight="1">
      <c r="A35" s="128"/>
      <c r="B35" s="133"/>
      <c r="C35" s="126"/>
      <c r="D35" s="133"/>
      <c r="E35" s="133"/>
      <c r="F35" s="126"/>
      <c r="G35" s="133"/>
      <c r="H35" s="133"/>
      <c r="I35" s="133"/>
      <c r="J35" s="133"/>
    </row>
    <row r="36" spans="1:14" s="5" customFormat="1" ht="14.25" customHeight="1">
      <c r="A36" s="126"/>
      <c r="B36" s="146"/>
      <c r="C36" s="126"/>
      <c r="D36" s="146"/>
      <c r="E36" s="146"/>
      <c r="F36" s="27"/>
      <c r="G36" s="154"/>
      <c r="H36" s="146"/>
      <c r="I36" s="154"/>
      <c r="J36" s="146"/>
    </row>
    <row r="37" spans="1:14" s="7" customFormat="1" ht="24.95" customHeight="1" thickBot="1">
      <c r="A37" s="128"/>
      <c r="B37" s="133"/>
      <c r="C37" s="126"/>
      <c r="D37" s="133"/>
      <c r="E37" s="133"/>
      <c r="F37" s="126"/>
      <c r="G37" s="133"/>
      <c r="H37" s="133"/>
      <c r="I37" s="133"/>
      <c r="J37" s="133"/>
    </row>
    <row r="38" spans="1:14" s="5" customFormat="1" ht="18" customHeight="1">
      <c r="A38" s="122" t="s">
        <v>98</v>
      </c>
      <c r="B38" s="123"/>
      <c r="C38" s="123"/>
      <c r="D38" s="123"/>
      <c r="E38" s="124" t="s">
        <v>99</v>
      </c>
      <c r="F38" s="125"/>
      <c r="G38" s="28" t="s">
        <v>100</v>
      </c>
      <c r="H38" s="131" t="s">
        <v>101</v>
      </c>
      <c r="I38" s="132"/>
      <c r="J38" s="29" t="s">
        <v>102</v>
      </c>
    </row>
    <row r="39" spans="1:14" s="7" customFormat="1" ht="18" customHeight="1">
      <c r="A39" s="103" t="str">
        <f>_xlfn.XLOOKUP(B3,[1]VFDB2!A:A,[1]VFDB2!A:A)</f>
        <v>J1AKZYB00205000</v>
      </c>
      <c r="B39" s="104"/>
      <c r="C39" s="104"/>
      <c r="D39" s="104"/>
      <c r="E39" s="97" t="str" cm="1">
        <f t="array" ref="E39">IFERROR(IF(ISBLANK(INDEX(_xlfn._xlws.FILTER([1]加工記録２!$C$3:$C$558, [1]加工記録２!$T$3:$T$558=B5), 6)), "", INDEX(_xlfn._xlws.FILTER([1]加工記録２!$C$3:$C$558, [1]加工記録２!$T$3:$T$558=B5), 6)),"")</f>
        <v>PK-59827 L=500用</v>
      </c>
      <c r="F39" s="98"/>
      <c r="G39" s="107" cm="1">
        <f t="array" ref="G39">IFERROR(IF(ISBLANK(INDEX(_xlfn._xlws.FILTER([1]加工記録２!$C$3:$C$558, [1]加工記録２!$T$3:$T$558=B5), 7)), " ", INDEX(_xlfn._xlws.FILTER([1]加工記録２!$C$3:$C$558, [1]加工記録２!$T$3:$T$558=B5), 7))," ")</f>
        <v>15</v>
      </c>
      <c r="H39" s="30" t="s">
        <v>74</v>
      </c>
      <c r="I39" s="31" cm="1">
        <f t="array" ref="I39:J39">IFERROR(IF(ISBLANK(INDEX(_xlfn._xlws.FILTER([1]加工記録２!$O$3:$P$558, [1]加工記録２!$T$3:$T$558=B5), 1)), "", INDEX(_xlfn._xlws.FILTER([1]加工記録２!$O$3:$P$558, [1]加工記録２!$T$3:$T$558=B5), 1)),"")</f>
        <v>45891</v>
      </c>
      <c r="J39" s="32">
        <v>21</v>
      </c>
    </row>
    <row r="40" spans="1:14" s="5" customFormat="1" ht="18" customHeight="1">
      <c r="A40" s="105"/>
      <c r="B40" s="106"/>
      <c r="C40" s="106"/>
      <c r="D40" s="106"/>
      <c r="E40" s="97"/>
      <c r="F40" s="98"/>
      <c r="G40" s="107"/>
      <c r="H40" s="30" t="s">
        <v>75</v>
      </c>
      <c r="I40" s="33" cm="1">
        <f t="array" ref="I40:J40">IFERROR(IF(ISBLANK(INDEX(_xlfn._xlws.FILTER([1]加工記録２!$O$3:$P$558, [1]加工記録２!$T$3:$T$558=B5), 2)), "", INDEX(_xlfn._xlws.FILTER([1]加工記録２!$O$3:$P$558, [1]加工記録２!$T$3:$T$558=B5), 2)),"")</f>
        <v>510</v>
      </c>
      <c r="J40" s="34">
        <v>1</v>
      </c>
      <c r="K40" s="35"/>
    </row>
    <row r="41" spans="1:14" s="7" customFormat="1" ht="18" customHeight="1">
      <c r="A41" s="89" t="s">
        <v>76</v>
      </c>
      <c r="B41" s="109" t="str">
        <f>_xlfn.XLOOKUP(B3,[1]VFDB2!A:A,[1]VFDB2!J:J)</f>
        <v>〇</v>
      </c>
      <c r="C41" s="111" t="s">
        <v>77</v>
      </c>
      <c r="D41" s="113">
        <f>_xlfn.XLOOKUP(B3,[1]VFDB2!A:A,[1]VFDB2!P:P)</f>
        <v>3</v>
      </c>
      <c r="E41" s="97" t="str">
        <f>_xlfn.XLOOKUP(B3,[1]VFDB2!A:A,[1]VFDB2!V:V)</f>
        <v>11×２束+12✕1束＝34本</v>
      </c>
      <c r="F41" s="98"/>
      <c r="G41" s="99"/>
      <c r="H41" s="36" t="s">
        <v>78</v>
      </c>
      <c r="I41" s="33" cm="1">
        <f t="array" ref="I41:J41">IFERROR(IF(ISBLANK(INDEX(_xlfn._xlws.FILTER([1]加工記録２!$O$3:$P$558, [1]加工記録２!$T$3:$T$558=B5), 3)), "", INDEX(_xlfn._xlws.FILTER([1]加工記録２!$O$3:$P$558, [1]加工記録２!$T$3:$T$558=B5), 3)),"")</f>
        <v>185</v>
      </c>
      <c r="J41" s="37">
        <v>3</v>
      </c>
      <c r="K41" s="38"/>
    </row>
    <row r="42" spans="1:14" s="5" customFormat="1" ht="18" customHeight="1">
      <c r="A42" s="108"/>
      <c r="B42" s="110"/>
      <c r="C42" s="112"/>
      <c r="D42" s="114"/>
      <c r="E42" s="97"/>
      <c r="F42" s="98"/>
      <c r="G42" s="99"/>
      <c r="H42" s="36" t="s">
        <v>79</v>
      </c>
      <c r="I42" s="33" cm="1">
        <f t="array" ref="I42:J42">IFERROR(IF(ISBLANK(INDEX(_xlfn._xlws.FILTER([1]加工記録２!$O$3:$P$558, [1]加工記録２!$T$3:$T$558=B5), 4)), "", INDEX(_xlfn._xlws.FILTER([1]加工記録２!$O$3:$P$558, [1]加工記録２!$T$3:$T$558=B5), 4)),"")</f>
        <v>15</v>
      </c>
      <c r="J42" s="39" t="str">
        <v/>
      </c>
      <c r="K42" s="35"/>
    </row>
    <row r="43" spans="1:14" s="7" customFormat="1" ht="18" customHeight="1">
      <c r="A43" s="115" t="s">
        <v>80</v>
      </c>
      <c r="B43" s="117">
        <f>D3</f>
        <v>500</v>
      </c>
      <c r="C43" s="119" t="s">
        <v>81</v>
      </c>
      <c r="D43" s="95" t="str">
        <f>_xlfn.XLOOKUP(B3,[1]VFDB2!A:A,[1]VFDB2!L:L)</f>
        <v>+1</v>
      </c>
      <c r="E43" s="97" t="str">
        <f>_xlfn.XLOOKUP(B3,[1]VFDB2!A:A,[1]VFDB2!W:W)</f>
        <v>両端5cm以上ラップ</v>
      </c>
      <c r="F43" s="98"/>
      <c r="G43" s="99"/>
      <c r="H43" s="36" t="s">
        <v>82</v>
      </c>
      <c r="I43" s="33" cm="1">
        <f t="array" ref="I43:J43">IFERROR(IF(ISBLANK(INDEX(_xlfn._xlws.FILTER([1]加工記録２!$O$3:$P$558, [1]加工記録２!$T$3:$T$558=B5), 5)), "", INDEX(_xlfn._xlws.FILTER([1]加工記録２!$O$3:$P$558, [1]加工記録２!$T$3:$T$558=B5), 5)),"")</f>
        <v>45</v>
      </c>
      <c r="J43" s="40" t="str">
        <v/>
      </c>
      <c r="K43" s="38"/>
    </row>
    <row r="44" spans="1:14" s="5" customFormat="1" ht="18" customHeight="1">
      <c r="A44" s="116"/>
      <c r="B44" s="118"/>
      <c r="C44" s="120"/>
      <c r="D44" s="121"/>
      <c r="E44" s="97"/>
      <c r="F44" s="98"/>
      <c r="G44" s="99"/>
      <c r="H44" s="36" t="s">
        <v>83</v>
      </c>
      <c r="I44" s="33" cm="1">
        <f t="array" ref="I44:J44">IFERROR(IF(ISBLANK(INDEX(_xlfn._xlws.FILTER([1]加工記録２!$O$3:$P$558, [1]加工記録２!$T$3:$T$558=B5), 6)), "", INDEX(_xlfn._xlws.FILTER([1]加工記録２!$O$3:$P$558, [1]加工記録２!$T$3:$T$558=B5), 6)),"")</f>
        <v>0</v>
      </c>
      <c r="J44" s="41" t="str">
        <v/>
      </c>
      <c r="K44" s="35"/>
    </row>
    <row r="45" spans="1:14" s="7" customFormat="1" ht="18" customHeight="1">
      <c r="A45" s="89" t="s">
        <v>84</v>
      </c>
      <c r="B45" s="91" t="str">
        <f>_xlfn.XLOOKUP(B3,[1]VFDB2!A:A,[1]VFDB2!AC:AC)</f>
        <v>換算表確認</v>
      </c>
      <c r="C45" s="93" t="s">
        <v>85</v>
      </c>
      <c r="D45" s="95">
        <f>_xlfn.XLOOKUP(B3,[1]VFDB2!A:A,[1]VFDB2!K:K)</f>
        <v>-1</v>
      </c>
      <c r="E45" s="97" t="str">
        <f>_xlfn.XLOOKUP(B3,[1]VFDB2!A:A,[1]VFDB2!R:R)</f>
        <v>ラベル2枚　長手 中央部分のみ貼付</v>
      </c>
      <c r="F45" s="98"/>
      <c r="G45" s="99"/>
      <c r="H45" s="36" t="s">
        <v>86</v>
      </c>
      <c r="I45" s="33" t="str" cm="1">
        <f t="array" ref="I45:J45">IFERROR(IF(ISBLANK(INDEX(_xlfn._xlws.FILTER([1]加工記録２!$O$3:$P$558, [1]加工記録２!$T$3:$T$558=B5), 7)), "", INDEX(_xlfn._xlws.FILTER([1]加工記録２!$O$3:$P$558, [1]加工記録２!$T$3:$T$558=B5), 7)),"")</f>
        <v/>
      </c>
      <c r="J45" s="42">
        <v>20</v>
      </c>
      <c r="K45" s="38"/>
    </row>
    <row r="46" spans="1:14" s="5" customFormat="1" ht="18" customHeight="1" thickBot="1">
      <c r="A46" s="90"/>
      <c r="B46" s="92"/>
      <c r="C46" s="94"/>
      <c r="D46" s="96"/>
      <c r="E46" s="100"/>
      <c r="F46" s="101"/>
      <c r="G46" s="102"/>
      <c r="H46" s="43" t="s">
        <v>87</v>
      </c>
      <c r="I46" s="44" t="str" cm="1">
        <f t="array" ref="I46:J46">IFERROR(IF(ISBLANK(INDEX(_xlfn._xlws.FILTER([1]加工記録２!$O$3:$P$558, [1]加工記録２!$T$3:$T$558=B5), 8)), "", INDEX(_xlfn._xlws.FILTER([1]加工記録２!$O$3:$P$558, [1]加工記録２!$T$3:$T$558=B5), 8)),"")</f>
        <v/>
      </c>
      <c r="J46" s="45">
        <v>45</v>
      </c>
    </row>
    <row r="47" spans="1:14" s="56" customFormat="1" ht="18.95" customHeight="1">
      <c r="A47" s="46" t="s">
        <v>88</v>
      </c>
      <c r="B47" s="47" t="s">
        <v>89</v>
      </c>
      <c r="C47" s="48" t="s">
        <v>90</v>
      </c>
      <c r="D47" s="48" t="s">
        <v>91</v>
      </c>
      <c r="E47" s="49" t="s">
        <v>92</v>
      </c>
      <c r="F47" s="50" t="s">
        <v>93</v>
      </c>
      <c r="G47" s="51" t="s">
        <v>94</v>
      </c>
      <c r="H47" s="52" t="s">
        <v>95</v>
      </c>
      <c r="I47" s="53" t="s">
        <v>96</v>
      </c>
      <c r="J47" s="54" t="s">
        <v>97</v>
      </c>
      <c r="K47" s="55"/>
      <c r="L47" s="55"/>
      <c r="M47" s="55"/>
      <c r="N47" s="55"/>
    </row>
    <row r="48" spans="1:14" s="67" customFormat="1" ht="18.95" customHeight="1">
      <c r="A48" s="57" cm="1">
        <f t="array" ref="A48:J48">IFERROR(IF(ISBLANK(INDEX(_xlfn._xlws.FILTER([1]加工記録２!$D$3:$M$558, [1]加工記録２!$T$3:$T$558=B5), 1)), "", INDEX(_xlfn._xlws.FILTER([1]加工記録２!$D$3:$M$558, [1]加工記録２!$T$3:$T$558=B5), 1)),"")</f>
        <v>45855</v>
      </c>
      <c r="B48" s="58" t="str">
        <v>25G09</v>
      </c>
      <c r="C48" s="59" t="str">
        <v/>
      </c>
      <c r="D48" s="59" t="str">
        <v/>
      </c>
      <c r="E48" s="60" t="str">
        <v/>
      </c>
      <c r="F48" s="61" t="str">
        <v>25G09</v>
      </c>
      <c r="G48" s="62">
        <v>12</v>
      </c>
      <c r="H48" s="63">
        <v>4</v>
      </c>
      <c r="I48" s="64">
        <v>45890</v>
      </c>
      <c r="J48" s="65">
        <v>4</v>
      </c>
      <c r="K48" s="66"/>
      <c r="L48" s="66"/>
      <c r="M48" s="66"/>
      <c r="N48" s="66"/>
    </row>
    <row r="49" spans="1:14" s="67" customFormat="1" ht="18.95" customHeight="1">
      <c r="A49" s="68" cm="1">
        <f t="array" ref="A49:J49">IFERROR(IF(ISBLANK(INDEX(_xlfn._xlws.FILTER([1]加工記録２!$D$3:$M$558, [1]加工記録２!$T$3:$T$558=B5), 2)), "", INDEX(_xlfn._xlws.FILTER([1]加工記録２!$D$3:$M$558, [1]加工記録２!$T$3:$T$558=B5), 2)),"")</f>
        <v>45890</v>
      </c>
      <c r="B49" s="69" t="str">
        <v>25H18-01</v>
      </c>
      <c r="C49" s="69">
        <v>29</v>
      </c>
      <c r="D49" s="69">
        <v>500.21</v>
      </c>
      <c r="E49" s="70">
        <v>500.08</v>
      </c>
      <c r="F49" s="71" t="str">
        <v>25H18-01</v>
      </c>
      <c r="G49" s="72">
        <v>543</v>
      </c>
      <c r="H49" s="73">
        <v>181</v>
      </c>
      <c r="I49" s="64">
        <v>45891</v>
      </c>
      <c r="J49" s="65">
        <v>11</v>
      </c>
      <c r="K49" s="66"/>
      <c r="L49" s="66"/>
      <c r="M49" s="66"/>
      <c r="N49" s="66"/>
    </row>
    <row r="50" spans="1:14" s="67" customFormat="1" ht="18.95" customHeight="1">
      <c r="A50" s="68" cm="1">
        <f t="array" ref="A50:J50">IFERROR(IF(ISBLANK(INDEX(_xlfn._xlws.FILTER([1]加工記録２!$D$3:$M$558, [1]加工記録２!$T$3:$T$558=B5), 3)), "", INDEX(_xlfn._xlws.FILTER([1]加工記録２!$D$3:$M$558, [1]加工記録２!$T$3:$T$558=B5), 3)),"")</f>
        <v>45890</v>
      </c>
      <c r="B50" s="69" t="str">
        <v>25H18-01</v>
      </c>
      <c r="C50" s="69">
        <v>31</v>
      </c>
      <c r="D50" s="69">
        <v>500.28</v>
      </c>
      <c r="E50" s="70">
        <v>500.19</v>
      </c>
      <c r="F50" s="71" t="str">
        <v/>
      </c>
      <c r="G50" s="72" t="str">
        <v/>
      </c>
      <c r="H50" s="73">
        <v>0</v>
      </c>
      <c r="I50" s="64" t="str">
        <v/>
      </c>
      <c r="J50" s="65" t="str">
        <v/>
      </c>
      <c r="K50" s="66"/>
      <c r="L50" s="66"/>
      <c r="M50" s="66"/>
      <c r="N50" s="66"/>
    </row>
    <row r="51" spans="1:14" s="67" customFormat="1" ht="18.95" customHeight="1">
      <c r="A51" s="68" cm="1">
        <f t="array" ref="A51:J51">IFERROR(IF(ISBLANK(INDEX(_xlfn._xlws.FILTER([1]加工記録２!$D$3:$M$558, [1]加工記録２!$T$3:$T$558=B5), 4)), "", INDEX(_xlfn._xlws.FILTER([1]加工記録２!$D$3:$M$558, [1]加工記録２!$T$3:$T$558=B5), 4)),"")</f>
        <v>45890</v>
      </c>
      <c r="B51" s="69" t="str">
        <v>25H18-01</v>
      </c>
      <c r="C51" s="69">
        <v>29</v>
      </c>
      <c r="D51" s="69">
        <v>500.21</v>
      </c>
      <c r="E51" s="70">
        <v>500.23</v>
      </c>
      <c r="F51" s="71" t="str">
        <v/>
      </c>
      <c r="G51" s="72" t="str">
        <v/>
      </c>
      <c r="H51" s="73">
        <v>0</v>
      </c>
      <c r="I51" s="64" t="str">
        <v/>
      </c>
      <c r="J51" s="65" t="str">
        <v/>
      </c>
      <c r="K51" s="66"/>
      <c r="L51" s="66"/>
      <c r="M51" s="66"/>
      <c r="N51" s="66"/>
    </row>
    <row r="52" spans="1:14" s="67" customFormat="1" ht="18.95" customHeight="1">
      <c r="A52" s="68" cm="1">
        <f t="array" ref="A52:J52">IFERROR(IF(ISBLANK(INDEX(_xlfn._xlws.FILTER([1]加工記録２!$D$3:$M$558, [1]加工記録２!$T$3:$T$558=B5), 5)), "", INDEX(_xlfn._xlws.FILTER([1]加工記録２!$D$3:$M$558, [1]加工記録２!$T$3:$T$558=B5), 5)),"")</f>
        <v>45891</v>
      </c>
      <c r="B52" s="69" t="str">
        <v>25H18-01</v>
      </c>
      <c r="C52" s="69">
        <v>27</v>
      </c>
      <c r="D52" s="69">
        <v>500.14</v>
      </c>
      <c r="E52" s="70">
        <v>500.18</v>
      </c>
      <c r="F52" s="71" t="str">
        <v/>
      </c>
      <c r="G52" s="72" t="str">
        <v/>
      </c>
      <c r="H52" s="73">
        <v>0</v>
      </c>
      <c r="I52" s="74" t="str">
        <v/>
      </c>
      <c r="J52" s="75" t="str">
        <v/>
      </c>
      <c r="K52" s="66"/>
      <c r="L52" s="66"/>
      <c r="M52" s="66"/>
      <c r="N52" s="66"/>
    </row>
    <row r="53" spans="1:14" s="67" customFormat="1" ht="18.95" customHeight="1">
      <c r="A53" s="68" cm="1">
        <f t="array" ref="A53:J53">IFERROR(IF(ISBLANK(INDEX(_xlfn._xlws.FILTER([1]加工記録２!$D$3:$M$558, [1]加工記録２!$T$3:$T$558=B5), 6)), "", INDEX(_xlfn._xlws.FILTER([1]加工記録２!$D$3:$M$558, [1]加工記録２!$T$3:$T$558=B5), 6)),"")</f>
        <v>45891</v>
      </c>
      <c r="B53" s="69" t="str">
        <v>25H18-01</v>
      </c>
      <c r="C53" s="69">
        <v>27</v>
      </c>
      <c r="D53" s="69">
        <v>500.14</v>
      </c>
      <c r="E53" s="70">
        <v>500.23</v>
      </c>
      <c r="F53" s="71" t="str">
        <v/>
      </c>
      <c r="G53" s="72" t="str">
        <v/>
      </c>
      <c r="H53" s="76">
        <v>0</v>
      </c>
      <c r="I53" s="77" t="str">
        <v>旧品加工</v>
      </c>
      <c r="J53" s="78">
        <v>12</v>
      </c>
      <c r="K53" s="66"/>
      <c r="L53" s="66"/>
      <c r="M53" s="66"/>
      <c r="N53" s="66"/>
    </row>
    <row r="54" spans="1:14" s="67" customFormat="1" ht="18.95" customHeight="1">
      <c r="A54" s="68" t="str" cm="1">
        <f t="array" ref="A54:J54">IFERROR(IF(ISBLANK(INDEX(_xlfn._xlws.FILTER([1]加工記録２!$D$3:$M$558, [1]加工記録２!$T$3:$T$558=B5), 7)), "", INDEX(_xlfn._xlws.FILTER([1]加工記録２!$D$3:$M$558, [1]加工記録２!$T$3:$T$558=B5), 7)),"")</f>
        <v/>
      </c>
      <c r="B54" s="69" t="str">
        <v/>
      </c>
      <c r="C54" s="69" t="str">
        <v/>
      </c>
      <c r="D54" s="69" t="str">
        <v/>
      </c>
      <c r="E54" s="70" t="str">
        <v/>
      </c>
      <c r="F54" s="71" t="str">
        <v/>
      </c>
      <c r="G54" s="72" t="str">
        <v/>
      </c>
      <c r="H54" s="76">
        <v>0</v>
      </c>
      <c r="I54" s="79" t="str">
        <v>持出端材</v>
      </c>
      <c r="J54" s="80" t="str">
        <v/>
      </c>
      <c r="K54" s="66"/>
      <c r="L54" s="66"/>
      <c r="M54" s="66"/>
      <c r="N54" s="66"/>
    </row>
    <row r="55" spans="1:14" s="67" customFormat="1" ht="18.95" customHeight="1" thickBot="1">
      <c r="A55" s="81" t="str" cm="1">
        <f t="array" ref="A55:J55">IFERROR(IF(ISBLANK(INDEX(_xlfn._xlws.FILTER([1]加工記録２!$D$3:$M$558, [1]加工記録２!$T$3:$T$558=B5), 8)), "", INDEX(_xlfn._xlws.FILTER([1]加工記録２!$D$3:$M$558, [1]加工記録２!$T$3:$T$558=B5), 8)),"")</f>
        <v/>
      </c>
      <c r="B55" s="82" t="str">
        <v/>
      </c>
      <c r="C55" s="82" t="str">
        <v/>
      </c>
      <c r="D55" s="82" t="str">
        <v/>
      </c>
      <c r="E55" s="83" t="str">
        <v/>
      </c>
      <c r="F55" s="84" t="str">
        <v/>
      </c>
      <c r="G55" s="85" t="str">
        <v/>
      </c>
      <c r="H55" s="86">
        <v>0</v>
      </c>
      <c r="I55" s="87" t="str">
        <v>α端材</v>
      </c>
      <c r="J55" s="88">
        <v>0</v>
      </c>
      <c r="K55" s="66"/>
      <c r="L55" s="66"/>
      <c r="M55" s="66"/>
      <c r="N55" s="66"/>
    </row>
    <row r="56" spans="1:14" ht="13.5" customHeight="1" thickBo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2"/>
      <c r="B58" s="155" t="s">
        <v>0</v>
      </c>
      <c r="C58" s="127"/>
      <c r="D58" s="127"/>
      <c r="E58" s="12"/>
      <c r="F58" s="12"/>
      <c r="G58" s="12"/>
      <c r="H58" s="12"/>
      <c r="I58" s="12"/>
      <c r="J58" s="12"/>
    </row>
    <row r="59" spans="1:14" ht="14.25" customHeight="1">
      <c r="A59" s="13"/>
      <c r="B59" s="127"/>
      <c r="C59" s="127"/>
      <c r="D59" s="127"/>
      <c r="E59" s="13"/>
      <c r="F59" s="13"/>
      <c r="G59" s="13"/>
      <c r="H59" s="13"/>
      <c r="I59" s="13"/>
      <c r="J59" s="13"/>
    </row>
    <row r="60" spans="1:14" ht="14.25" customHeight="1">
      <c r="A60" s="151" t="s">
        <v>1</v>
      </c>
      <c r="B60" s="151" t="s">
        <v>57</v>
      </c>
      <c r="C60" s="151" t="s">
        <v>3</v>
      </c>
      <c r="D60" s="130">
        <v>700</v>
      </c>
      <c r="E60" s="151" t="s">
        <v>4</v>
      </c>
      <c r="F60" s="135" t="s">
        <v>58</v>
      </c>
      <c r="G60" s="127"/>
      <c r="H60" s="136"/>
      <c r="I60" s="14" t="s">
        <v>6</v>
      </c>
      <c r="J60" s="14" t="s">
        <v>7</v>
      </c>
    </row>
    <row r="61" spans="1:14" ht="14.25" customHeight="1">
      <c r="A61" s="127"/>
      <c r="B61" s="127"/>
      <c r="C61" s="127"/>
      <c r="D61" s="127"/>
      <c r="E61" s="127"/>
      <c r="F61" s="127"/>
      <c r="G61" s="127"/>
      <c r="H61" s="136"/>
      <c r="I61" s="147"/>
      <c r="J61" s="147"/>
    </row>
    <row r="62" spans="1:14" ht="17.45" customHeight="1">
      <c r="A62" s="134" t="s">
        <v>8</v>
      </c>
      <c r="B62" s="134" t="s">
        <v>59</v>
      </c>
      <c r="E62" s="134" t="s">
        <v>10</v>
      </c>
      <c r="F62" s="164" t="s">
        <v>11</v>
      </c>
      <c r="G62" s="127"/>
      <c r="H62" s="136"/>
      <c r="I62" s="148"/>
      <c r="J62" s="148"/>
    </row>
    <row r="63" spans="1:14" ht="17.45" customHeight="1">
      <c r="A63" s="127"/>
      <c r="B63" s="127"/>
      <c r="E63" s="127"/>
      <c r="F63" s="127"/>
      <c r="G63" s="127"/>
      <c r="H63" s="136"/>
      <c r="I63" s="15"/>
      <c r="J63" s="15"/>
    </row>
    <row r="64" spans="1:14" ht="17.45" customHeight="1">
      <c r="A64" s="134" t="s">
        <v>12</v>
      </c>
      <c r="B64" s="134" t="s">
        <v>60</v>
      </c>
      <c r="E64" s="2" t="s">
        <v>14</v>
      </c>
      <c r="F64" s="165" t="s">
        <v>15</v>
      </c>
      <c r="G64" s="127"/>
      <c r="H64" s="22"/>
    </row>
    <row r="65" spans="1:10" ht="17.45" customHeight="1">
      <c r="A65" s="127"/>
      <c r="B65" s="127"/>
      <c r="E65" s="2" t="s">
        <v>16</v>
      </c>
      <c r="F65" s="22" t="s">
        <v>17</v>
      </c>
      <c r="G65" s="22"/>
      <c r="H65" s="22"/>
    </row>
    <row r="66" spans="1:10" ht="17.45" customHeight="1">
      <c r="A66" s="2" t="s">
        <v>18</v>
      </c>
      <c r="B66" s="4">
        <v>45894</v>
      </c>
      <c r="E66" s="2" t="s">
        <v>19</v>
      </c>
      <c r="F66" s="161">
        <v>34</v>
      </c>
      <c r="G66" s="127"/>
      <c r="H66" s="22"/>
    </row>
    <row r="67" spans="1:10" ht="17.45" customHeight="1">
      <c r="A67" s="2" t="s">
        <v>20</v>
      </c>
      <c r="B67" s="4">
        <v>45894</v>
      </c>
      <c r="E67" s="2" t="s">
        <v>21</v>
      </c>
      <c r="F67" s="22">
        <v>32.352941176470587</v>
      </c>
      <c r="G67" s="137" t="s">
        <v>22</v>
      </c>
      <c r="H67" s="157">
        <v>1100</v>
      </c>
      <c r="I67" s="158"/>
      <c r="J67" s="159"/>
    </row>
    <row r="68" spans="1:10" ht="17.45" customHeight="1">
      <c r="A68" s="20"/>
      <c r="B68" s="21"/>
      <c r="C68" s="21"/>
      <c r="D68" s="21"/>
      <c r="E68" s="2" t="s">
        <v>23</v>
      </c>
      <c r="F68" s="22" t="s">
        <v>24</v>
      </c>
      <c r="G68" s="138"/>
      <c r="H68" s="138"/>
      <c r="I68" s="142"/>
      <c r="J68" s="153"/>
    </row>
    <row r="69" spans="1:10" ht="13.5" customHeight="1">
      <c r="A69" s="166" t="s">
        <v>61</v>
      </c>
      <c r="B69" s="127"/>
      <c r="C69" s="127"/>
      <c r="D69" s="21"/>
      <c r="F69" s="3"/>
      <c r="G69" s="160" t="s">
        <v>26</v>
      </c>
      <c r="H69" s="149" t="s">
        <v>27</v>
      </c>
      <c r="I69" s="152" t="s">
        <v>28</v>
      </c>
      <c r="J69" s="136"/>
    </row>
    <row r="70" spans="1:10" ht="13.5" customHeight="1">
      <c r="A70" s="127"/>
      <c r="B70" s="127"/>
      <c r="C70" s="127"/>
      <c r="D70" s="21"/>
      <c r="F70" s="3"/>
      <c r="G70" s="150"/>
      <c r="H70" s="150"/>
      <c r="I70" s="142"/>
      <c r="J70" s="153"/>
    </row>
    <row r="71" spans="1:10" ht="13.5" customHeight="1">
      <c r="A71" s="1" t="s">
        <v>29</v>
      </c>
    </row>
    <row r="72" spans="1:10" ht="63" customHeight="1">
      <c r="A72" s="162"/>
      <c r="B72" s="163"/>
      <c r="C72" s="163"/>
      <c r="D72" s="163"/>
      <c r="E72" s="163"/>
      <c r="F72" s="163"/>
      <c r="G72" s="163"/>
      <c r="H72" s="163"/>
      <c r="I72" s="163"/>
      <c r="J72" s="163"/>
    </row>
    <row r="73" spans="1:10" ht="18.75">
      <c r="A73" s="24" t="s">
        <v>30</v>
      </c>
      <c r="B73" s="17" t="s">
        <v>31</v>
      </c>
      <c r="C73" s="139" t="s">
        <v>32</v>
      </c>
      <c r="D73" s="140"/>
      <c r="E73" s="17" t="s">
        <v>33</v>
      </c>
      <c r="F73" s="139" t="s">
        <v>34</v>
      </c>
      <c r="G73" s="140"/>
      <c r="H73" s="140"/>
      <c r="I73" s="143" t="s">
        <v>35</v>
      </c>
      <c r="J73" s="140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3">
        <v>1</v>
      </c>
      <c r="B75" s="25" t="s">
        <v>36</v>
      </c>
      <c r="C75" s="126" t="s">
        <v>37</v>
      </c>
      <c r="D75" s="127"/>
      <c r="E75" s="25" t="s">
        <v>38</v>
      </c>
      <c r="F75" s="126" t="s">
        <v>39</v>
      </c>
      <c r="G75" s="127"/>
      <c r="H75" s="127"/>
      <c r="I75" s="129"/>
      <c r="J75" s="127"/>
    </row>
    <row r="76" spans="1:10" ht="16.5" customHeight="1">
      <c r="A76" s="23">
        <v>1</v>
      </c>
      <c r="B76" s="26" t="s">
        <v>36</v>
      </c>
      <c r="C76" s="126" t="s">
        <v>37</v>
      </c>
      <c r="D76" s="127"/>
      <c r="E76" s="25" t="s">
        <v>40</v>
      </c>
      <c r="F76" s="126" t="s">
        <v>41</v>
      </c>
      <c r="G76" s="127"/>
      <c r="H76" s="127"/>
      <c r="I76" s="129"/>
      <c r="J76" s="127"/>
    </row>
    <row r="77" spans="1:10" ht="16.5" customHeight="1">
      <c r="A77" s="23"/>
      <c r="B77" s="26"/>
      <c r="C77" s="126"/>
      <c r="D77" s="127"/>
      <c r="E77" s="25"/>
      <c r="F77" s="126"/>
      <c r="G77" s="127"/>
      <c r="H77" s="127"/>
      <c r="I77" s="129"/>
      <c r="J77" s="127"/>
    </row>
    <row r="78" spans="1:10" ht="16.5" customHeight="1">
      <c r="A78" s="23"/>
      <c r="B78" s="26"/>
      <c r="C78" s="126"/>
      <c r="D78" s="127"/>
      <c r="E78" s="25"/>
      <c r="F78" s="126"/>
      <c r="G78" s="127"/>
      <c r="H78" s="127"/>
      <c r="I78" s="129"/>
      <c r="J78" s="127"/>
    </row>
    <row r="79" spans="1:10" ht="16.5" customHeight="1">
      <c r="A79" s="23"/>
      <c r="B79" s="26"/>
      <c r="C79" s="126"/>
      <c r="D79" s="127"/>
      <c r="E79" s="25"/>
      <c r="F79" s="126"/>
      <c r="G79" s="127"/>
      <c r="H79" s="127"/>
      <c r="I79" s="129"/>
      <c r="J79" s="127"/>
    </row>
    <row r="80" spans="1:10" ht="16.5" customHeight="1">
      <c r="A80" s="23"/>
      <c r="B80" s="26"/>
      <c r="C80" s="126"/>
      <c r="D80" s="127"/>
      <c r="E80" s="25"/>
      <c r="F80" s="126"/>
      <c r="G80" s="127"/>
      <c r="H80" s="127"/>
      <c r="I80" s="129"/>
      <c r="J80" s="127"/>
    </row>
    <row r="81" spans="1:1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 spans="1:10" ht="18.75">
      <c r="A82" s="144" t="s">
        <v>42</v>
      </c>
      <c r="B82" s="145"/>
      <c r="C82" s="144" t="s">
        <v>43</v>
      </c>
      <c r="D82" s="145"/>
      <c r="E82" s="145"/>
      <c r="F82" s="18" t="s">
        <v>44</v>
      </c>
      <c r="G82" s="144" t="s">
        <v>45</v>
      </c>
      <c r="H82" s="145"/>
      <c r="I82" s="144" t="s">
        <v>46</v>
      </c>
      <c r="J82" s="145"/>
    </row>
    <row r="83" spans="1:10" ht="14.25" customHeight="1">
      <c r="A83" s="8"/>
      <c r="B83" s="19"/>
      <c r="C83" s="141" t="s">
        <v>47</v>
      </c>
      <c r="D83" s="142"/>
      <c r="E83" s="19"/>
      <c r="F83" s="141" t="s">
        <v>29</v>
      </c>
      <c r="G83" s="142"/>
      <c r="H83" s="142"/>
      <c r="I83" s="142"/>
      <c r="J83" s="142"/>
    </row>
    <row r="84" spans="1:10">
      <c r="A84" s="9"/>
      <c r="C84" s="7"/>
      <c r="D84" s="7"/>
      <c r="E84" s="7"/>
    </row>
    <row r="85" spans="1:10" ht="14.25" customHeight="1">
      <c r="A85" s="126" t="s">
        <v>62</v>
      </c>
      <c r="B85" s="127"/>
      <c r="C85" s="126" t="s">
        <v>63</v>
      </c>
      <c r="D85" s="127"/>
      <c r="E85" s="127"/>
      <c r="F85" s="27" t="s">
        <v>27</v>
      </c>
      <c r="G85" s="154">
        <v>550</v>
      </c>
      <c r="H85" s="127"/>
      <c r="I85" s="154">
        <v>16.17647058823529</v>
      </c>
      <c r="J85" s="127"/>
    </row>
    <row r="86" spans="1:10" ht="24.95" customHeight="1">
      <c r="A86" s="128" t="s">
        <v>64</v>
      </c>
      <c r="B86" s="127"/>
      <c r="C86" s="126" t="s">
        <v>11</v>
      </c>
      <c r="D86" s="127"/>
      <c r="E86" s="127"/>
      <c r="F86" s="126"/>
      <c r="G86" s="127"/>
      <c r="H86" s="127"/>
      <c r="I86" s="127"/>
      <c r="J86" s="127"/>
    </row>
    <row r="87" spans="1:10" ht="14.25" customHeight="1">
      <c r="A87" s="156" t="s">
        <v>68</v>
      </c>
      <c r="B87" s="127"/>
      <c r="C87" s="126" t="s">
        <v>65</v>
      </c>
      <c r="D87" s="127"/>
      <c r="E87" s="127"/>
      <c r="F87" s="27" t="s">
        <v>27</v>
      </c>
      <c r="G87" s="154">
        <v>31.9</v>
      </c>
      <c r="H87" s="127"/>
      <c r="I87" s="154">
        <v>0.93823529411764706</v>
      </c>
      <c r="J87" s="127"/>
    </row>
    <row r="88" spans="1:10" ht="24.95" customHeight="1">
      <c r="A88" s="128" t="s">
        <v>66</v>
      </c>
      <c r="B88" s="127"/>
      <c r="C88" s="126"/>
      <c r="D88" s="127"/>
      <c r="E88" s="127"/>
      <c r="F88" s="126"/>
      <c r="G88" s="127"/>
      <c r="H88" s="127"/>
      <c r="I88" s="127"/>
      <c r="J88" s="127"/>
    </row>
    <row r="89" spans="1:10" ht="14.25" customHeight="1">
      <c r="A89" s="126" t="s">
        <v>53</v>
      </c>
      <c r="B89" s="127"/>
      <c r="C89" s="126" t="s">
        <v>54</v>
      </c>
      <c r="D89" s="127"/>
      <c r="E89" s="127"/>
      <c r="F89" s="27"/>
      <c r="G89" s="154">
        <v>1.1000000000000001</v>
      </c>
      <c r="H89" s="127"/>
      <c r="I89" s="154">
        <v>3.2352941176470591E-2</v>
      </c>
      <c r="J89" s="127"/>
    </row>
    <row r="90" spans="1:10" ht="24.95" customHeight="1">
      <c r="A90" s="128" t="s">
        <v>55</v>
      </c>
      <c r="B90" s="127"/>
      <c r="C90" s="126" t="s">
        <v>56</v>
      </c>
      <c r="D90" s="127"/>
      <c r="E90" s="127"/>
      <c r="F90" s="126"/>
      <c r="G90" s="127"/>
      <c r="H90" s="127"/>
      <c r="I90" s="127"/>
      <c r="J90" s="127"/>
    </row>
    <row r="91" spans="1:10" ht="14.25" customHeight="1">
      <c r="A91" s="126"/>
      <c r="B91" s="127"/>
      <c r="C91" s="126"/>
      <c r="D91" s="127"/>
      <c r="E91" s="127"/>
      <c r="F91" s="27"/>
      <c r="G91" s="154"/>
      <c r="H91" s="127"/>
      <c r="I91" s="154"/>
      <c r="J91" s="127"/>
    </row>
    <row r="92" spans="1:10" ht="24.95" customHeight="1">
      <c r="A92" s="128"/>
      <c r="B92" s="127"/>
      <c r="C92" s="126"/>
      <c r="D92" s="127"/>
      <c r="E92" s="127"/>
      <c r="F92" s="126"/>
      <c r="G92" s="127"/>
      <c r="H92" s="127"/>
      <c r="I92" s="127"/>
      <c r="J92" s="127"/>
    </row>
    <row r="93" spans="1:10" ht="14.25" customHeight="1">
      <c r="A93" s="126"/>
      <c r="B93" s="127"/>
      <c r="C93" s="126"/>
      <c r="D93" s="127"/>
      <c r="E93" s="127"/>
      <c r="F93" s="27"/>
      <c r="G93" s="154"/>
      <c r="H93" s="127"/>
      <c r="I93" s="154"/>
      <c r="J93" s="127"/>
    </row>
    <row r="94" spans="1:10" ht="24.95" customHeight="1" thickBot="1">
      <c r="A94" s="128"/>
      <c r="B94" s="127"/>
      <c r="C94" s="126"/>
      <c r="D94" s="127"/>
      <c r="E94" s="127"/>
      <c r="F94" s="126"/>
      <c r="G94" s="127"/>
      <c r="H94" s="127"/>
      <c r="I94" s="127"/>
      <c r="J94" s="127"/>
    </row>
    <row r="95" spans="1:10" s="5" customFormat="1" ht="18" customHeight="1">
      <c r="A95" s="122" t="s">
        <v>69</v>
      </c>
      <c r="B95" s="123"/>
      <c r="C95" s="123"/>
      <c r="D95" s="123"/>
      <c r="E95" s="124" t="s">
        <v>70</v>
      </c>
      <c r="F95" s="125"/>
      <c r="G95" s="28" t="s">
        <v>71</v>
      </c>
      <c r="H95" s="131" t="s">
        <v>72</v>
      </c>
      <c r="I95" s="132"/>
      <c r="J95" s="29" t="s">
        <v>73</v>
      </c>
    </row>
    <row r="96" spans="1:10" s="7" customFormat="1" ht="18" customHeight="1">
      <c r="A96" s="103" t="str">
        <f>_xlfn.XLOOKUP(B60,[1]VFDB2!A:A,[1]VFDB2!A:A)</f>
        <v>J1AKZYB00207000</v>
      </c>
      <c r="B96" s="104"/>
      <c r="C96" s="104"/>
      <c r="D96" s="104"/>
      <c r="E96" s="97" t="str" cm="1">
        <f t="array" ref="E96">IFERROR(IF(ISBLANK(INDEX(_xlfn._xlws.FILTER([1]加工記録２!$C$3:$C$558, [1]加工記録２!$T$3:$T$558=B62), 6)), "", INDEX(_xlfn._xlws.FILTER([1]加工記録２!$C$3:$C$558, [1]加工記録２!$T$3:$T$558=B62), 6)),"")</f>
        <v>PK-59827 L=700用</v>
      </c>
      <c r="F96" s="98"/>
      <c r="G96" s="107" cm="1">
        <f t="array" ref="G96">IFERROR(IF(ISBLANK(INDEX(_xlfn._xlws.FILTER([1]加工記録２!$C$3:$C$558, [1]加工記録２!$T$3:$T$558=B62), 7)), " ", INDEX(_xlfn._xlws.FILTER([1]加工記録２!$C$3:$C$558, [1]加工記録２!$T$3:$T$558=B62), 7))," ")</f>
        <v>30</v>
      </c>
      <c r="H96" s="30" t="s">
        <v>74</v>
      </c>
      <c r="I96" s="31" cm="1">
        <f t="array" ref="I96:J96">IFERROR(IF(ISBLANK(INDEX(_xlfn._xlws.FILTER([1]加工記録２!$O$3:$P$558, [1]加工記録２!$T$3:$T$558=B62), 1)), "", INDEX(_xlfn._xlws.FILTER([1]加工記録２!$O$3:$P$558, [1]加工記録２!$T$3:$T$558=B62), 1)),"")</f>
        <v>45890</v>
      </c>
      <c r="J96" s="32">
        <v>21</v>
      </c>
    </row>
    <row r="97" spans="1:14" s="5" customFormat="1" ht="18" customHeight="1">
      <c r="A97" s="105"/>
      <c r="B97" s="106"/>
      <c r="C97" s="106"/>
      <c r="D97" s="106"/>
      <c r="E97" s="97"/>
      <c r="F97" s="98"/>
      <c r="G97" s="107"/>
      <c r="H97" s="30" t="s">
        <v>75</v>
      </c>
      <c r="I97" s="33" cm="1">
        <f t="array" ref="I97:J97">IFERROR(IF(ISBLANK(INDEX(_xlfn._xlws.FILTER([1]加工記録２!$O$3:$P$558, [1]加工記録２!$T$3:$T$558=B62), 2)), "", INDEX(_xlfn._xlws.FILTER([1]加工記録２!$O$3:$P$558, [1]加工記録２!$T$3:$T$558=B62), 2)),"")</f>
        <v>1020</v>
      </c>
      <c r="J97" s="34">
        <v>6</v>
      </c>
      <c r="K97" s="35"/>
    </row>
    <row r="98" spans="1:14" s="7" customFormat="1" ht="18" customHeight="1">
      <c r="A98" s="89" t="s">
        <v>76</v>
      </c>
      <c r="B98" s="109" t="str">
        <f>_xlfn.XLOOKUP(B60,[1]VFDB2!A:A,[1]VFDB2!J:J)</f>
        <v>〇</v>
      </c>
      <c r="C98" s="111" t="s">
        <v>77</v>
      </c>
      <c r="D98" s="113">
        <f>_xlfn.XLOOKUP(B60,[1]VFDB2!A:A,[1]VFDB2!P:P)</f>
        <v>2</v>
      </c>
      <c r="E98" s="97" t="str">
        <f>_xlfn.XLOOKUP(B60,[1]VFDB2!A:A,[1]VFDB2!V:V)</f>
        <v>11×２束+12✕1束＝34本</v>
      </c>
      <c r="F98" s="98"/>
      <c r="G98" s="99"/>
      <c r="H98" s="36" t="s">
        <v>78</v>
      </c>
      <c r="I98" s="33" cm="1">
        <f t="array" ref="I98:J98">IFERROR(IF(ISBLANK(INDEX(_xlfn._xlws.FILTER([1]加工記録２!$O$3:$P$558, [1]加工記録２!$T$3:$T$558=B62), 3)), "", INDEX(_xlfn._xlws.FILTER([1]加工記録２!$O$3:$P$558, [1]加工記録２!$T$3:$T$558=B62), 3)),"")</f>
        <v>533</v>
      </c>
      <c r="J98" s="37">
        <v>2</v>
      </c>
      <c r="K98" s="38"/>
    </row>
    <row r="99" spans="1:14" s="5" customFormat="1" ht="18" customHeight="1">
      <c r="A99" s="108"/>
      <c r="B99" s="110"/>
      <c r="C99" s="112"/>
      <c r="D99" s="114"/>
      <c r="E99" s="97"/>
      <c r="F99" s="98"/>
      <c r="G99" s="99"/>
      <c r="H99" s="36" t="s">
        <v>79</v>
      </c>
      <c r="I99" s="33" t="str" cm="1">
        <f t="array" ref="I99:J99">IFERROR(IF(ISBLANK(INDEX(_xlfn._xlws.FILTER([1]加工記録２!$O$3:$P$558, [1]加工記録２!$T$3:$T$558=B62), 4)), "", INDEX(_xlfn._xlws.FILTER([1]加工記録２!$O$3:$P$558, [1]加工記録２!$T$3:$T$558=B62), 4)),"")</f>
        <v/>
      </c>
      <c r="J99" s="39" t="str">
        <v/>
      </c>
      <c r="K99" s="35"/>
    </row>
    <row r="100" spans="1:14" s="7" customFormat="1" ht="18" customHeight="1">
      <c r="A100" s="115" t="s">
        <v>80</v>
      </c>
      <c r="B100" s="117">
        <f>D60</f>
        <v>700</v>
      </c>
      <c r="C100" s="119" t="s">
        <v>81</v>
      </c>
      <c r="D100" s="95" t="str">
        <f>_xlfn.XLOOKUP(B60,[1]VFDB2!A:A,[1]VFDB2!L:L)</f>
        <v>+1</v>
      </c>
      <c r="E100" s="97" t="str">
        <f>_xlfn.XLOOKUP(B60,[1]VFDB2!A:A,[1]VFDB2!W:W)</f>
        <v>両端5cm以上ラップ</v>
      </c>
      <c r="F100" s="98"/>
      <c r="G100" s="99"/>
      <c r="H100" s="36" t="s">
        <v>82</v>
      </c>
      <c r="I100" s="33" cm="1">
        <f t="array" ref="I100:J100">IFERROR(IF(ISBLANK(INDEX(_xlfn._xlws.FILTER([1]加工記録２!$O$3:$P$558, [1]加工記録２!$T$3:$T$558=B62), 5)), "", INDEX(_xlfn._xlws.FILTER([1]加工記録２!$O$3:$P$558, [1]加工記録２!$T$3:$T$558=B62), 5)),"")</f>
        <v>47</v>
      </c>
      <c r="J100" s="40" t="str">
        <v/>
      </c>
      <c r="K100" s="38"/>
    </row>
    <row r="101" spans="1:14" s="5" customFormat="1" ht="18" customHeight="1">
      <c r="A101" s="116"/>
      <c r="B101" s="118"/>
      <c r="C101" s="120"/>
      <c r="D101" s="121"/>
      <c r="E101" s="97"/>
      <c r="F101" s="98"/>
      <c r="G101" s="99"/>
      <c r="H101" s="36" t="s">
        <v>83</v>
      </c>
      <c r="I101" s="33" cm="1">
        <f t="array" ref="I101:J101">IFERROR(IF(ISBLANK(INDEX(_xlfn._xlws.FILTER([1]加工記録２!$O$3:$P$558, [1]加工記録２!$T$3:$T$558=B62), 6)), "", INDEX(_xlfn._xlws.FILTER([1]加工記録２!$O$3:$P$558, [1]加工記録２!$T$3:$T$558=B62), 6)),"")</f>
        <v>1</v>
      </c>
      <c r="J101" s="41" t="str">
        <v/>
      </c>
      <c r="K101" s="35"/>
    </row>
    <row r="102" spans="1:14" s="7" customFormat="1" ht="18" customHeight="1">
      <c r="A102" s="89" t="s">
        <v>84</v>
      </c>
      <c r="B102" s="91" t="str">
        <f>_xlfn.XLOOKUP(B60,[1]VFDB2!A:A,[1]VFDB2!AC:AC)</f>
        <v>換算表確認</v>
      </c>
      <c r="C102" s="93" t="s">
        <v>85</v>
      </c>
      <c r="D102" s="95">
        <f>_xlfn.XLOOKUP(B60,[1]VFDB2!A:A,[1]VFDB2!K:K)</f>
        <v>-1</v>
      </c>
      <c r="E102" s="97" t="str">
        <f>_xlfn.XLOOKUP(B60,[1]VFDB2!A:A,[1]VFDB2!R:R)</f>
        <v>ラベル2枚　長手 中央部分のみ貼付</v>
      </c>
      <c r="F102" s="98"/>
      <c r="G102" s="99"/>
      <c r="H102" s="36" t="s">
        <v>86</v>
      </c>
      <c r="I102" s="33" t="str" cm="1">
        <f t="array" ref="I102:J102">IFERROR(IF(ISBLANK(INDEX(_xlfn._xlws.FILTER([1]加工記録２!$O$3:$P$558, [1]加工記録２!$T$3:$T$558=B62), 7)), "", INDEX(_xlfn._xlws.FILTER([1]加工記録２!$O$3:$P$558, [1]加工記録２!$T$3:$T$558=B62), 7)),"")</f>
        <v/>
      </c>
      <c r="J102" s="42">
        <v>18</v>
      </c>
      <c r="K102" s="38"/>
    </row>
    <row r="103" spans="1:14" s="5" customFormat="1" ht="18" customHeight="1" thickBot="1">
      <c r="A103" s="90"/>
      <c r="B103" s="92"/>
      <c r="C103" s="94"/>
      <c r="D103" s="96"/>
      <c r="E103" s="100"/>
      <c r="F103" s="101"/>
      <c r="G103" s="102"/>
      <c r="H103" s="43" t="s">
        <v>87</v>
      </c>
      <c r="I103" s="44" t="str" cm="1">
        <f t="array" ref="I103:J103">IFERROR(IF(ISBLANK(INDEX(_xlfn._xlws.FILTER([1]加工記録２!$O$3:$P$558, [1]加工記録２!$T$3:$T$558=B62), 8)), "", INDEX(_xlfn._xlws.FILTER([1]加工記録２!$O$3:$P$558, [1]加工記録２!$T$3:$T$558=B62), 8)),"")</f>
        <v/>
      </c>
      <c r="J103" s="45">
        <v>47</v>
      </c>
    </row>
    <row r="104" spans="1:14" s="56" customFormat="1" ht="18.95" customHeight="1">
      <c r="A104" s="46" t="s">
        <v>88</v>
      </c>
      <c r="B104" s="47" t="s">
        <v>89</v>
      </c>
      <c r="C104" s="48" t="s">
        <v>90</v>
      </c>
      <c r="D104" s="48" t="s">
        <v>91</v>
      </c>
      <c r="E104" s="49" t="s">
        <v>92</v>
      </c>
      <c r="F104" s="50" t="s">
        <v>93</v>
      </c>
      <c r="G104" s="51" t="s">
        <v>94</v>
      </c>
      <c r="H104" s="52" t="s">
        <v>95</v>
      </c>
      <c r="I104" s="53" t="s">
        <v>96</v>
      </c>
      <c r="J104" s="54" t="s">
        <v>97</v>
      </c>
      <c r="K104" s="55"/>
      <c r="L104" s="55"/>
      <c r="M104" s="55"/>
      <c r="N104" s="55"/>
    </row>
    <row r="105" spans="1:14" s="67" customFormat="1" ht="18.95" customHeight="1">
      <c r="A105" s="57" cm="1">
        <f t="array" ref="A105:J105">IFERROR(IF(ISBLANK(INDEX(_xlfn._xlws.FILTER([1]加工記録２!$D$3:$M$558, [1]加工記録２!$T$3:$T$558=B62), 1)), "", INDEX(_xlfn._xlws.FILTER([1]加工記録２!$D$3:$M$558, [1]加工記録２!$T$3:$T$558=B62), 1)),"")</f>
        <v>45854</v>
      </c>
      <c r="B105" s="58" t="str">
        <v>25G08</v>
      </c>
      <c r="C105" s="59" t="str">
        <v/>
      </c>
      <c r="D105" s="59" t="str">
        <v/>
      </c>
      <c r="E105" s="60" t="str">
        <v/>
      </c>
      <c r="F105" s="61" t="str">
        <v>25G08</v>
      </c>
      <c r="G105" s="62">
        <v>16</v>
      </c>
      <c r="H105" s="63">
        <v>8</v>
      </c>
      <c r="I105" s="64">
        <v>45889</v>
      </c>
      <c r="J105" s="65">
        <v>12</v>
      </c>
      <c r="K105" s="66"/>
      <c r="L105" s="66"/>
      <c r="M105" s="66"/>
      <c r="N105" s="66"/>
    </row>
    <row r="106" spans="1:14" s="67" customFormat="1" ht="18.95" customHeight="1">
      <c r="A106" s="68" cm="1">
        <f t="array" ref="A106:J106">IFERROR(IF(ISBLANK(INDEX(_xlfn._xlws.FILTER([1]加工記録２!$D$3:$M$558, [1]加工記録２!$T$3:$T$558=B62), 2)), "", INDEX(_xlfn._xlws.FILTER([1]加工記録２!$D$3:$M$558, [1]加工記録２!$T$3:$T$558=B62), 2)),"")</f>
        <v>45889</v>
      </c>
      <c r="B106" s="69" t="str">
        <v>25H06-01</v>
      </c>
      <c r="C106" s="69">
        <v>29</v>
      </c>
      <c r="D106" s="167">
        <v>700.29</v>
      </c>
      <c r="E106" s="70">
        <v>700.21</v>
      </c>
      <c r="F106" s="71" t="str">
        <v>25H06-01</v>
      </c>
      <c r="G106" s="72">
        <v>600</v>
      </c>
      <c r="H106" s="73">
        <v>300</v>
      </c>
      <c r="I106" s="64">
        <v>45890</v>
      </c>
      <c r="J106" s="65">
        <v>18</v>
      </c>
      <c r="K106" s="66"/>
      <c r="L106" s="66"/>
      <c r="M106" s="66"/>
      <c r="N106" s="66"/>
    </row>
    <row r="107" spans="1:14" s="67" customFormat="1" ht="18.95" customHeight="1">
      <c r="A107" s="68" cm="1">
        <f t="array" ref="A107:J107">IFERROR(IF(ISBLANK(INDEX(_xlfn._xlws.FILTER([1]加工記録２!$D$3:$M$558, [1]加工記録２!$T$3:$T$558=B62), 3)), "", INDEX(_xlfn._xlws.FILTER([1]加工記録２!$D$3:$M$558, [1]加工記録２!$T$3:$T$558=B62), 3)),"")</f>
        <v>45889</v>
      </c>
      <c r="B107" s="69" t="str">
        <v>25H06-01</v>
      </c>
      <c r="C107" s="69">
        <v>31</v>
      </c>
      <c r="D107" s="167">
        <v>700.39</v>
      </c>
      <c r="E107" s="70">
        <v>700.4</v>
      </c>
      <c r="F107" s="71" t="str">
        <v>25H12-02</v>
      </c>
      <c r="G107" s="72">
        <v>450</v>
      </c>
      <c r="H107" s="73">
        <v>225</v>
      </c>
      <c r="I107" s="64" t="str">
        <v/>
      </c>
      <c r="J107" s="65" t="str">
        <v/>
      </c>
      <c r="K107" s="66"/>
      <c r="L107" s="66"/>
      <c r="M107" s="66"/>
      <c r="N107" s="66"/>
    </row>
    <row r="108" spans="1:14" s="67" customFormat="1" ht="18.95" customHeight="1">
      <c r="A108" s="68" cm="1">
        <f t="array" ref="A108:J108">IFERROR(IF(ISBLANK(INDEX(_xlfn._xlws.FILTER([1]加工記録２!$D$3:$M$558, [1]加工記録２!$T$3:$T$558=B62), 4)), "", INDEX(_xlfn._xlws.FILTER([1]加工記録２!$D$3:$M$558, [1]加工記録２!$T$3:$T$558=B62), 4)),"")</f>
        <v>45889</v>
      </c>
      <c r="B108" s="69" t="str">
        <v>25H06-01</v>
      </c>
      <c r="C108" s="69">
        <v>29</v>
      </c>
      <c r="D108" s="167">
        <v>700.29</v>
      </c>
      <c r="E108" s="70">
        <v>700.36</v>
      </c>
      <c r="F108" s="71" t="str">
        <v/>
      </c>
      <c r="G108" s="72" t="str">
        <v/>
      </c>
      <c r="H108" s="73">
        <v>0</v>
      </c>
      <c r="I108" s="64" t="str">
        <v/>
      </c>
      <c r="J108" s="65" t="str">
        <v/>
      </c>
      <c r="K108" s="66"/>
      <c r="L108" s="66"/>
      <c r="M108" s="66"/>
      <c r="N108" s="66"/>
    </row>
    <row r="109" spans="1:14" s="67" customFormat="1" ht="18.95" customHeight="1">
      <c r="A109" s="68" cm="1">
        <f t="array" ref="A109:J109">IFERROR(IF(ISBLANK(INDEX(_xlfn._xlws.FILTER([1]加工記録２!$D$3:$M$558, [1]加工記録２!$T$3:$T$558=B62), 5)), "", INDEX(_xlfn._xlws.FILTER([1]加工記録２!$D$3:$M$558, [1]加工記録２!$T$3:$T$558=B62), 5)),"")</f>
        <v>45890</v>
      </c>
      <c r="B109" s="69" t="str">
        <v>25H12-02</v>
      </c>
      <c r="C109" s="69">
        <v>27</v>
      </c>
      <c r="D109" s="167">
        <v>700.2</v>
      </c>
      <c r="E109" s="70">
        <v>700.52</v>
      </c>
      <c r="F109" s="71" t="str">
        <v/>
      </c>
      <c r="G109" s="72" t="str">
        <v/>
      </c>
      <c r="H109" s="73">
        <v>0</v>
      </c>
      <c r="I109" s="74" t="str">
        <v/>
      </c>
      <c r="J109" s="75" t="str">
        <v/>
      </c>
      <c r="K109" s="66"/>
      <c r="L109" s="66"/>
      <c r="M109" s="66"/>
      <c r="N109" s="66"/>
    </row>
    <row r="110" spans="1:14" s="67" customFormat="1" ht="18.95" customHeight="1">
      <c r="A110" s="68" cm="1">
        <f t="array" ref="A110:J110">IFERROR(IF(ISBLANK(INDEX(_xlfn._xlws.FILTER([1]加工記録２!$D$3:$M$558, [1]加工記録２!$T$3:$T$558=B62), 6)), "", INDEX(_xlfn._xlws.FILTER([1]加工記録２!$D$3:$M$558, [1]加工記録２!$T$3:$T$558=B62), 6)),"")</f>
        <v>45890</v>
      </c>
      <c r="B110" s="69" t="str">
        <v>25H12-02</v>
      </c>
      <c r="C110" s="69">
        <v>29</v>
      </c>
      <c r="D110" s="167">
        <v>700.29</v>
      </c>
      <c r="E110" s="70">
        <v>700.36</v>
      </c>
      <c r="F110" s="71" t="str">
        <v/>
      </c>
      <c r="G110" s="72" t="str">
        <v/>
      </c>
      <c r="H110" s="76">
        <v>0</v>
      </c>
      <c r="I110" s="77" t="str">
        <v>旧品加工</v>
      </c>
      <c r="J110" s="78">
        <v>17</v>
      </c>
      <c r="K110" s="66"/>
      <c r="L110" s="66"/>
      <c r="M110" s="66"/>
      <c r="N110" s="66"/>
    </row>
    <row r="111" spans="1:14" s="67" customFormat="1" ht="18.95" customHeight="1">
      <c r="A111" s="68" cm="1">
        <f t="array" ref="A111:J111">IFERROR(IF(ISBLANK(INDEX(_xlfn._xlws.FILTER([1]加工記録２!$D$3:$M$558, [1]加工記録２!$T$3:$T$558=B62), 7)), "", INDEX(_xlfn._xlws.FILTER([1]加工記録２!$D$3:$M$558, [1]加工記録２!$T$3:$T$558=B62), 7)),"")</f>
        <v>45890</v>
      </c>
      <c r="B111" s="69" t="str">
        <v>25H12-02</v>
      </c>
      <c r="C111" s="69">
        <v>31</v>
      </c>
      <c r="D111" s="167">
        <v>700.39</v>
      </c>
      <c r="E111" s="70">
        <v>700.26</v>
      </c>
      <c r="F111" s="71" t="str">
        <v/>
      </c>
      <c r="G111" s="72" t="str">
        <v/>
      </c>
      <c r="H111" s="76">
        <v>0</v>
      </c>
      <c r="I111" s="79" t="str">
        <v>持出端材</v>
      </c>
      <c r="J111" s="80" t="str">
        <v/>
      </c>
      <c r="K111" s="66"/>
      <c r="L111" s="66"/>
      <c r="M111" s="66"/>
      <c r="N111" s="66"/>
    </row>
    <row r="112" spans="1:14" s="67" customFormat="1" ht="18.95" customHeight="1" thickBot="1">
      <c r="A112" s="81" t="str" cm="1">
        <f t="array" ref="A112:J112">IFERROR(IF(ISBLANK(INDEX(_xlfn._xlws.FILTER([1]加工記録２!$D$3:$M$558, [1]加工記録２!$T$3:$T$558=B62), 8)), "", INDEX(_xlfn._xlws.FILTER([1]加工記録２!$D$3:$M$558, [1]加工記録２!$T$3:$T$558=B62), 8)),"")</f>
        <v/>
      </c>
      <c r="B112" s="82" t="str">
        <v/>
      </c>
      <c r="C112" s="82" t="str">
        <v/>
      </c>
      <c r="D112" s="82" t="str">
        <v/>
      </c>
      <c r="E112" s="83" t="str">
        <v/>
      </c>
      <c r="F112" s="84" t="str">
        <v/>
      </c>
      <c r="G112" s="85" t="str">
        <v/>
      </c>
      <c r="H112" s="86">
        <v>0</v>
      </c>
      <c r="I112" s="87" t="str">
        <v>α端材</v>
      </c>
      <c r="J112" s="88">
        <v>1</v>
      </c>
      <c r="K112" s="66"/>
      <c r="L112" s="66"/>
      <c r="M112" s="66"/>
      <c r="N112" s="66"/>
    </row>
    <row r="113" spans="1:10" ht="13.5" customHeight="1" thickBo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6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</sheetData>
  <mergeCells count="214">
    <mergeCell ref="C16:D16"/>
    <mergeCell ref="A25:B25"/>
    <mergeCell ref="I85:J85"/>
    <mergeCell ref="F94:J94"/>
    <mergeCell ref="A64:A65"/>
    <mergeCell ref="C29:E29"/>
    <mergeCell ref="A31:B31"/>
    <mergeCell ref="F73:H73"/>
    <mergeCell ref="C86:E86"/>
    <mergeCell ref="F18:H18"/>
    <mergeCell ref="F76:H76"/>
    <mergeCell ref="C31:E31"/>
    <mergeCell ref="I89:J89"/>
    <mergeCell ref="F79:H79"/>
    <mergeCell ref="I21:J21"/>
    <mergeCell ref="G87:H87"/>
    <mergeCell ref="I87:J87"/>
    <mergeCell ref="C28:E28"/>
    <mergeCell ref="G32:H32"/>
    <mergeCell ref="A38:D38"/>
    <mergeCell ref="E38:F38"/>
    <mergeCell ref="H38:I38"/>
    <mergeCell ref="A39:D40"/>
    <mergeCell ref="E39:F40"/>
    <mergeCell ref="A3:A4"/>
    <mergeCell ref="F86:J86"/>
    <mergeCell ref="G28:H28"/>
    <mergeCell ref="I75:J75"/>
    <mergeCell ref="I22:J22"/>
    <mergeCell ref="I28:J28"/>
    <mergeCell ref="C82:E82"/>
    <mergeCell ref="G93:H93"/>
    <mergeCell ref="A69:C70"/>
    <mergeCell ref="I93:J93"/>
    <mergeCell ref="A5:A6"/>
    <mergeCell ref="A86:B86"/>
    <mergeCell ref="G30:H30"/>
    <mergeCell ref="I4:I5"/>
    <mergeCell ref="I36:J36"/>
    <mergeCell ref="C90:E90"/>
    <mergeCell ref="C26:D26"/>
    <mergeCell ref="G82:H82"/>
    <mergeCell ref="I91:J91"/>
    <mergeCell ref="A12:C13"/>
    <mergeCell ref="B5:B6"/>
    <mergeCell ref="A62:A63"/>
    <mergeCell ref="F19:H19"/>
    <mergeCell ref="A29:B29"/>
    <mergeCell ref="F5:H6"/>
    <mergeCell ref="F90:J90"/>
    <mergeCell ref="A32:B32"/>
    <mergeCell ref="I23:J23"/>
    <mergeCell ref="G89:H89"/>
    <mergeCell ref="C92:E92"/>
    <mergeCell ref="C30:E30"/>
    <mergeCell ref="C23:D23"/>
    <mergeCell ref="I79:J79"/>
    <mergeCell ref="E62:E63"/>
    <mergeCell ref="F16:H16"/>
    <mergeCell ref="I73:J73"/>
    <mergeCell ref="F37:J37"/>
    <mergeCell ref="J61:J62"/>
    <mergeCell ref="F20:H20"/>
    <mergeCell ref="I34:J34"/>
    <mergeCell ref="B62:B63"/>
    <mergeCell ref="F80:H80"/>
    <mergeCell ref="A82:B82"/>
    <mergeCell ref="A60:A61"/>
    <mergeCell ref="H67:J68"/>
    <mergeCell ref="F75:H75"/>
    <mergeCell ref="G36:H36"/>
    <mergeCell ref="C41:C42"/>
    <mergeCell ref="D3:D4"/>
    <mergeCell ref="A15:J15"/>
    <mergeCell ref="H12:H13"/>
    <mergeCell ref="C87:E87"/>
    <mergeCell ref="F9:G9"/>
    <mergeCell ref="A91:B91"/>
    <mergeCell ref="I82:J82"/>
    <mergeCell ref="C33:E33"/>
    <mergeCell ref="C89:E89"/>
    <mergeCell ref="G25:H25"/>
    <mergeCell ref="I19:J19"/>
    <mergeCell ref="C88:E88"/>
    <mergeCell ref="F62:H63"/>
    <mergeCell ref="C18:D18"/>
    <mergeCell ref="C35:E35"/>
    <mergeCell ref="F64:G64"/>
    <mergeCell ref="E60:E61"/>
    <mergeCell ref="A36:B36"/>
    <mergeCell ref="G69:G70"/>
    <mergeCell ref="A72:J72"/>
    <mergeCell ref="F7:G7"/>
    <mergeCell ref="F23:H23"/>
    <mergeCell ref="C20:D20"/>
    <mergeCell ref="C78:D78"/>
    <mergeCell ref="B1:D2"/>
    <mergeCell ref="I20:J20"/>
    <mergeCell ref="G85:H85"/>
    <mergeCell ref="G12:G13"/>
    <mergeCell ref="C19:D19"/>
    <mergeCell ref="A28:B28"/>
    <mergeCell ref="C3:C4"/>
    <mergeCell ref="E3:E4"/>
    <mergeCell ref="B7:B8"/>
    <mergeCell ref="A34:B34"/>
    <mergeCell ref="C77:D77"/>
    <mergeCell ref="E5:E6"/>
    <mergeCell ref="G67:G68"/>
    <mergeCell ref="F29:J29"/>
    <mergeCell ref="I12:J13"/>
    <mergeCell ref="F21:H21"/>
    <mergeCell ref="C25:E25"/>
    <mergeCell ref="C85:E85"/>
    <mergeCell ref="I30:J30"/>
    <mergeCell ref="C83:D83"/>
    <mergeCell ref="A30:B30"/>
    <mergeCell ref="F35:J35"/>
    <mergeCell ref="F77:H77"/>
    <mergeCell ref="F66:G66"/>
    <mergeCell ref="J4:J5"/>
    <mergeCell ref="A90:B90"/>
    <mergeCell ref="F33:J33"/>
    <mergeCell ref="C91:E91"/>
    <mergeCell ref="F3:H4"/>
    <mergeCell ref="I18:J18"/>
    <mergeCell ref="G34:H34"/>
    <mergeCell ref="A33:B33"/>
    <mergeCell ref="C76:D76"/>
    <mergeCell ref="A85:B85"/>
    <mergeCell ref="B64:B65"/>
    <mergeCell ref="F31:J31"/>
    <mergeCell ref="A35:B35"/>
    <mergeCell ref="G91:H91"/>
    <mergeCell ref="A89:B89"/>
    <mergeCell ref="C32:E32"/>
    <mergeCell ref="B58:D59"/>
    <mergeCell ref="C60:C61"/>
    <mergeCell ref="I77:J77"/>
    <mergeCell ref="B3:B4"/>
    <mergeCell ref="I80:J80"/>
    <mergeCell ref="A87:B87"/>
    <mergeCell ref="H10:J11"/>
    <mergeCell ref="I32:J32"/>
    <mergeCell ref="A7:A8"/>
    <mergeCell ref="A88:B88"/>
    <mergeCell ref="F60:H61"/>
    <mergeCell ref="C79:D79"/>
    <mergeCell ref="G10:G11"/>
    <mergeCell ref="C73:D73"/>
    <mergeCell ref="F83:J83"/>
    <mergeCell ref="F22:H22"/>
    <mergeCell ref="I16:J16"/>
    <mergeCell ref="I76:J76"/>
    <mergeCell ref="I25:J25"/>
    <mergeCell ref="F78:H78"/>
    <mergeCell ref="C34:E34"/>
    <mergeCell ref="I61:I62"/>
    <mergeCell ref="H69:H70"/>
    <mergeCell ref="B60:B61"/>
    <mergeCell ref="A37:B37"/>
    <mergeCell ref="C36:E36"/>
    <mergeCell ref="I69:J70"/>
    <mergeCell ref="F88:J88"/>
    <mergeCell ref="C75:D75"/>
    <mergeCell ref="C22:D22"/>
    <mergeCell ref="C80:D80"/>
    <mergeCell ref="F26:J26"/>
    <mergeCell ref="G39:G40"/>
    <mergeCell ref="A41:A42"/>
    <mergeCell ref="B41:B42"/>
    <mergeCell ref="C21:D21"/>
    <mergeCell ref="C37:E37"/>
    <mergeCell ref="D41:D42"/>
    <mergeCell ref="E41:G42"/>
    <mergeCell ref="A43:A44"/>
    <mergeCell ref="B43:B44"/>
    <mergeCell ref="D43:D44"/>
    <mergeCell ref="E43:G44"/>
    <mergeCell ref="C43:C44"/>
    <mergeCell ref="A45:A46"/>
    <mergeCell ref="B45:B46"/>
    <mergeCell ref="C45:C46"/>
    <mergeCell ref="D45:D46"/>
    <mergeCell ref="E45:G46"/>
    <mergeCell ref="A95:D95"/>
    <mergeCell ref="E95:F95"/>
    <mergeCell ref="F92:J92"/>
    <mergeCell ref="A92:B92"/>
    <mergeCell ref="C94:E94"/>
    <mergeCell ref="A93:B93"/>
    <mergeCell ref="A94:B94"/>
    <mergeCell ref="C93:E93"/>
    <mergeCell ref="I78:J78"/>
    <mergeCell ref="D60:D61"/>
    <mergeCell ref="H95:I95"/>
    <mergeCell ref="A102:A103"/>
    <mergeCell ref="B102:B103"/>
    <mergeCell ref="C102:C103"/>
    <mergeCell ref="D102:D103"/>
    <mergeCell ref="E102:G103"/>
    <mergeCell ref="A96:D97"/>
    <mergeCell ref="E96:F97"/>
    <mergeCell ref="G96:G97"/>
    <mergeCell ref="A98:A99"/>
    <mergeCell ref="B98:B99"/>
    <mergeCell ref="C98:C99"/>
    <mergeCell ref="D98:D99"/>
    <mergeCell ref="E98:G99"/>
    <mergeCell ref="A100:A101"/>
    <mergeCell ref="B100:B101"/>
    <mergeCell ref="C100:C101"/>
    <mergeCell ref="D100:D101"/>
    <mergeCell ref="E100:G101"/>
  </mergeCells>
  <phoneticPr fontId="2"/>
  <conditionalFormatting sqref="D50:D55">
    <cfRule type="cellIs" dxfId="5" priority="6" operator="equal">
      <formula>$D49</formula>
    </cfRule>
  </conditionalFormatting>
  <conditionalFormatting sqref="D107:D112">
    <cfRule type="cellIs" dxfId="4" priority="3" operator="equal">
      <formula>$D106</formula>
    </cfRule>
  </conditionalFormatting>
  <conditionalFormatting sqref="I39">
    <cfRule type="cellIs" dxfId="3" priority="4" operator="lessThan">
      <formula>45658</formula>
    </cfRule>
  </conditionalFormatting>
  <conditionalFormatting sqref="I96">
    <cfRule type="cellIs" dxfId="2" priority="1" operator="lessThan">
      <formula>45658</formula>
    </cfRule>
  </conditionalFormatting>
  <conditionalFormatting sqref="J46">
    <cfRule type="cellIs" dxfId="1" priority="5" operator="equal">
      <formula>0</formula>
    </cfRule>
  </conditionalFormatting>
  <conditionalFormatting sqref="J103">
    <cfRule type="cellIs" dxfId="0" priority="2" operator="equal">
      <formula>0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2025-08-18T07:55:00Z</cp:lastPrinted>
  <dcterms:created xsi:type="dcterms:W3CDTF">2024-07-11T02:08:33Z</dcterms:created>
  <dcterms:modified xsi:type="dcterms:W3CDTF">2025-08-22T05:44:01Z</dcterms:modified>
</cp:coreProperties>
</file>