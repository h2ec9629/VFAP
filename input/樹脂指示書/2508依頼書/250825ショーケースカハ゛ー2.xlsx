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黒部工業－ＰＣ\Desktop\樹脂指示書\"/>
    </mc:Choice>
  </mc:AlternateContent>
  <xr:revisionPtr revIDLastSave="0" documentId="13_ncr:1_{2015AB79-95D4-4A44-923C-BE69D5E7A9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帳票レイアウト Copy" sheetId="1" r:id="rId1"/>
  </sheets>
  <externalReferences>
    <externalReference r:id="rId2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5" i="1" l="1" a="1"/>
  <c r="A55" i="1" s="1"/>
  <c r="A54" i="1" a="1"/>
  <c r="A54" i="1" s="1"/>
  <c r="A53" i="1" a="1"/>
  <c r="A53" i="1" s="1"/>
  <c r="A52" i="1" a="1"/>
  <c r="A52" i="1" s="1"/>
  <c r="A51" i="1" a="1"/>
  <c r="A51" i="1" s="1"/>
  <c r="A50" i="1" a="1"/>
  <c r="A50" i="1" s="1"/>
  <c r="A49" i="1" a="1"/>
  <c r="A49" i="1" s="1"/>
  <c r="A48" i="1" a="1"/>
  <c r="A48" i="1" s="1"/>
  <c r="I46" i="1" a="1"/>
  <c r="I46" i="1" s="1"/>
  <c r="I45" i="1" a="1"/>
  <c r="I45" i="1" s="1"/>
  <c r="E45" i="1"/>
  <c r="D45" i="1"/>
  <c r="B45" i="1"/>
  <c r="I44" i="1" a="1"/>
  <c r="I44" i="1" s="1"/>
  <c r="I43" i="1" a="1"/>
  <c r="I43" i="1" s="1"/>
  <c r="E43" i="1"/>
  <c r="D43" i="1"/>
  <c r="B43" i="1"/>
  <c r="I42" i="1" a="1"/>
  <c r="I42" i="1" s="1"/>
  <c r="I41" i="1" a="1"/>
  <c r="I41" i="1" s="1"/>
  <c r="E41" i="1"/>
  <c r="D41" i="1"/>
  <c r="B41" i="1"/>
  <c r="I40" i="1" a="1"/>
  <c r="I40" i="1" s="1"/>
  <c r="I39" i="1" a="1"/>
  <c r="I39" i="1" s="1"/>
  <c r="G39" i="1" a="1"/>
  <c r="G39" i="1" s="1"/>
  <c r="E39" i="1" a="1"/>
  <c r="E39" i="1" s="1"/>
  <c r="A3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<sst xmlns="http://schemas.openxmlformats.org/spreadsheetml/2006/main" count="97" uniqueCount="94">
  <si>
    <t>検査梱包指示書</t>
  </si>
  <si>
    <t>品目番号</t>
  </si>
  <si>
    <t>J1JAZZB10804440</t>
  </si>
  <si>
    <t>Ｌ寸</t>
  </si>
  <si>
    <t>名称</t>
  </si>
  <si>
    <t>8FL2813048110</t>
  </si>
  <si>
    <t>上長</t>
  </si>
  <si>
    <t>係員</t>
  </si>
  <si>
    <t>製造指図№</t>
  </si>
  <si>
    <t>000000000006669</t>
  </si>
  <si>
    <t>原料名</t>
  </si>
  <si>
    <t>(CASE 444MILK-W4)</t>
  </si>
  <si>
    <t>発注明細№</t>
  </si>
  <si>
    <t>000000000783889</t>
  </si>
  <si>
    <t>色　名</t>
  </si>
  <si>
    <t>J6VZ034</t>
  </si>
  <si>
    <t>製品Grp</t>
  </si>
  <si>
    <t>J1ZB</t>
  </si>
  <si>
    <t>開始日</t>
  </si>
  <si>
    <t>入り数</t>
  </si>
  <si>
    <t>終了日</t>
  </si>
  <si>
    <t>梱包数</t>
  </si>
  <si>
    <t>指示数量</t>
  </si>
  <si>
    <t>金　型</t>
  </si>
  <si>
    <t>4350</t>
  </si>
  <si>
    <t>*J1JAZZB10804440*</t>
  </si>
  <si>
    <t>格納先</t>
  </si>
  <si>
    <t>V3J03</t>
  </si>
  <si>
    <t>樹脂第3倉庫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</si>
  <si>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</si>
  <si>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</si>
  <si>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</si>
  <si>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</si>
  <si>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</si>
  <si>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</si>
  <si>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</si>
  <si>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</si>
  <si>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</si>
  <si>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V3P16</t>
  </si>
  <si>
    <t>検査・梱包</t>
  </si>
  <si>
    <t>V3P05</t>
  </si>
  <si>
    <t>切断</t>
  </si>
  <si>
    <t>品目コード</t>
  </si>
  <si>
    <t>品目名１</t>
  </si>
  <si>
    <t>在庫場所</t>
  </si>
  <si>
    <t>出庫数量</t>
  </si>
  <si>
    <t>バッチ必要数</t>
  </si>
  <si>
    <t>品目名２</t>
  </si>
  <si>
    <t>J1JAZZA10818200</t>
  </si>
  <si>
    <t>@8FL28130 L1820</t>
  </si>
  <si>
    <t>V3J04</t>
  </si>
  <si>
    <t>*J1JAZZA10818200*</t>
  </si>
  <si>
    <t>J6DW0087</t>
  </si>
  <si>
    <t>LED-A444</t>
  </si>
  <si>
    <t>V3W04</t>
  </si>
  <si>
    <t>*J6DW0087*</t>
  </si>
  <si>
    <t>L444×W275×H166</t>
  </si>
  <si>
    <t>J6XX0050</t>
  </si>
  <si>
    <t>(管理外)筋入ｸﾗﾌﾄ紙</t>
  </si>
  <si>
    <t>*J6XX0050*</t>
  </si>
  <si>
    <t>300＊100</t>
  </si>
  <si>
    <t>J6XX0051</t>
  </si>
  <si>
    <t>(管理外)LLDPE規格ｼｰﾄ0.02×950×100m</t>
  </si>
  <si>
    <t>*J6XX0051*</t>
  </si>
  <si>
    <t>0.02×950×100m</t>
  </si>
  <si>
    <t>製品名</t>
    <phoneticPr fontId="2"/>
  </si>
  <si>
    <t>備考、梱包方法等</t>
    <rPh sb="0" eb="2">
      <t>ビコウ</t>
    </rPh>
    <rPh sb="3" eb="5">
      <t>コンポウ</t>
    </rPh>
    <rPh sb="5" eb="7">
      <t>ホウホウ</t>
    </rPh>
    <rPh sb="7" eb="8">
      <t>ナド</t>
    </rPh>
    <phoneticPr fontId="2"/>
  </si>
  <si>
    <t>使用数</t>
    <rPh sb="0" eb="2">
      <t>シヨウ</t>
    </rPh>
    <rPh sb="2" eb="3">
      <t>スウ</t>
    </rPh>
    <phoneticPr fontId="2"/>
  </si>
  <si>
    <t>加工内容</t>
    <rPh sb="0" eb="2">
      <t>カコウ</t>
    </rPh>
    <rPh sb="2" eb="4">
      <t>ナイヨウ</t>
    </rPh>
    <phoneticPr fontId="2"/>
  </si>
  <si>
    <t>不良内訳</t>
    <rPh sb="0" eb="2">
      <t>フリョウ</t>
    </rPh>
    <rPh sb="2" eb="4">
      <t>ウチワケ</t>
    </rPh>
    <phoneticPr fontId="2"/>
  </si>
  <si>
    <t>入庫日</t>
    <rPh sb="0" eb="3">
      <t>ニュウコビ</t>
    </rPh>
    <phoneticPr fontId="2"/>
  </si>
  <si>
    <t>入庫数</t>
    <rPh sb="0" eb="3">
      <t>ニュウコスウ</t>
    </rPh>
    <phoneticPr fontId="2"/>
  </si>
  <si>
    <t>温度換算</t>
    <phoneticPr fontId="2"/>
  </si>
  <si>
    <t>取数</t>
    <phoneticPr fontId="2"/>
  </si>
  <si>
    <t>使用基材</t>
    <rPh sb="0" eb="2">
      <t>シヨウ</t>
    </rPh>
    <rPh sb="2" eb="4">
      <t>キザイ</t>
    </rPh>
    <phoneticPr fontId="2"/>
  </si>
  <si>
    <t>基材不良</t>
    <rPh sb="0" eb="2">
      <t>キザイ</t>
    </rPh>
    <rPh sb="2" eb="4">
      <t>フリョウ</t>
    </rPh>
    <phoneticPr fontId="2"/>
  </si>
  <si>
    <t>L寸</t>
    <phoneticPr fontId="2"/>
  </si>
  <si>
    <t>+公差</t>
    <phoneticPr fontId="2"/>
  </si>
  <si>
    <t>製品不良</t>
    <rPh sb="0" eb="2">
      <t>セイヒン</t>
    </rPh>
    <rPh sb="2" eb="4">
      <t>フリョウ</t>
    </rPh>
    <phoneticPr fontId="2"/>
  </si>
  <si>
    <t>端材使用</t>
    <rPh sb="0" eb="2">
      <t>ハザイ</t>
    </rPh>
    <rPh sb="2" eb="4">
      <t>シヨウ</t>
    </rPh>
    <phoneticPr fontId="2"/>
  </si>
  <si>
    <t>切断寸法</t>
    <phoneticPr fontId="2"/>
  </si>
  <si>
    <t>-公差</t>
    <phoneticPr fontId="2"/>
  </si>
  <si>
    <t>切断者</t>
    <rPh sb="0" eb="3">
      <t>セツダンシャ</t>
    </rPh>
    <phoneticPr fontId="2"/>
  </si>
  <si>
    <t>検査者</t>
    <rPh sb="0" eb="3">
      <t>ケンサシャ</t>
    </rPh>
    <phoneticPr fontId="2"/>
  </si>
  <si>
    <t>作業日</t>
    <phoneticPr fontId="2"/>
  </si>
  <si>
    <t>計測Lot</t>
    <rPh sb="0" eb="2">
      <t>ケイソク</t>
    </rPh>
    <phoneticPr fontId="2"/>
  </si>
  <si>
    <t>温度</t>
    <phoneticPr fontId="2"/>
  </si>
  <si>
    <t>換算寸法</t>
    <phoneticPr fontId="2"/>
  </si>
  <si>
    <t>計測値</t>
    <phoneticPr fontId="2"/>
  </si>
  <si>
    <t>使用Lot</t>
    <rPh sb="0" eb="2">
      <t>シヨウ</t>
    </rPh>
    <phoneticPr fontId="2"/>
  </si>
  <si>
    <t>加工数</t>
    <phoneticPr fontId="2"/>
  </si>
  <si>
    <t>基材換算</t>
    <phoneticPr fontId="2"/>
  </si>
  <si>
    <t>加工Lot</t>
    <phoneticPr fontId="2"/>
  </si>
  <si>
    <t>箱数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</si>
</sst>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[$-F800]dddd\,\ mmmm\ dd\,\ yyyy"/>
    <numFmt numFmtId="177" formatCode="#,##0.0_ "/>
    <numFmt numFmtId="178" formatCode="#,##0_ "/>
    <numFmt numFmtId="179" formatCode="#"/>
    <numFmt numFmtId="180" formatCode="#&quot;枚&quot;"/>
    <numFmt numFmtId="181" formatCode="m/d"/>
    <numFmt numFmtId="182" formatCode="&quot;キズ &quot;#"/>
    <numFmt numFmtId="183" formatCode="&quot;凹み &quot;#"/>
    <numFmt numFmtId="184" formatCode="&quot;異物 &quot;#"/>
    <numFmt numFmtId="185" formatCode="&quot;欠け &quot;#"/>
    <numFmt numFmtId="186" formatCode="&quot;L=&quot;0.0_ "/>
    <numFmt numFmtId="187" formatCode="&quot;ﾒﾔﾆ &quot;#"/>
    <numFmt numFmtId="188" formatCode="&quot;ﾍﾞｺﾂｷ &quot;#"/>
    <numFmt numFmtId="189" formatCode="0.00_ "/>
    <numFmt numFmtId="190" formatCode="&quot;その他 &quot;#"/>
    <numFmt numFmtId="191" formatCode="&quot;合計 &quot;#"/>
    <numFmt numFmtId="192" formatCode="yy\,mm\,dd"/>
    <numFmt numFmtId="193" formatCode="#&quot;箱&quot;"/>
  </numFmts>
  <fonts count="32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2"/>
      <color theme="0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22"/>
      <name val="游ゴシック"/>
      <family val="3"/>
      <charset val="128"/>
      <scheme val="minor"/>
    </font>
    <font>
      <b/>
      <sz val="16"/>
      <name val="游ゴシック"/>
      <family val="3"/>
      <charset val="128"/>
      <scheme val="minor"/>
    </font>
    <font>
      <b/>
      <sz val="16"/>
      <name val="游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4"/>
      <name val="ＭＳ Ｐゴシック"/>
      <family val="3"/>
      <charset val="128"/>
    </font>
    <font>
      <sz val="12"/>
      <name val="游ゴシック"/>
      <family val="3"/>
      <charset val="128"/>
    </font>
    <font>
      <b/>
      <sz val="16"/>
      <color theme="1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0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39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65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10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2" xfId="1" applyNumberFormat="1" applyBorder="1" applyAlignment="1">
      <alignment horizontal="center"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vertical="center" shrinkToFit="1"/>
    </xf>
    <xf numFmtId="49" fontId="1" fillId="0" borderId="8" xfId="1" applyNumberFormat="1" applyBorder="1" applyAlignment="1">
      <alignment horizontal="left" vertical="center" shrinkToFit="1"/>
    </xf>
    <xf numFmtId="49" fontId="1" fillId="0" borderId="9" xfId="1" applyNumberFormat="1" applyBorder="1" applyAlignment="1">
      <alignment vertical="center" shrinkToFit="1"/>
    </xf>
    <xf numFmtId="49" fontId="1" fillId="0" borderId="10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8" xfId="1" applyNumberFormat="1" applyBorder="1" applyAlignment="1">
      <alignment horizontal="right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5" fillId="3" borderId="19" xfId="0" applyFont="1" applyFill="1" applyBorder="1" applyAlignment="1">
      <alignment horizontal="center" vertical="center"/>
    </xf>
    <xf numFmtId="49" fontId="6" fillId="4" borderId="19" xfId="1" applyNumberFormat="1" applyFont="1" applyFill="1" applyBorder="1" applyAlignment="1">
      <alignment horizontal="center" vertical="center" shrinkToFit="1"/>
    </xf>
    <xf numFmtId="179" fontId="19" fillId="0" borderId="21" xfId="0" applyNumberFormat="1" applyFont="1" applyBorder="1" applyAlignment="1">
      <alignment horizontal="left" vertical="center"/>
    </xf>
    <xf numFmtId="181" fontId="20" fillId="0" borderId="2" xfId="1" applyNumberFormat="1" applyFont="1" applyBorder="1" applyAlignment="1">
      <alignment horizontal="center" vertical="center" shrinkToFit="1"/>
    </xf>
    <xf numFmtId="182" fontId="19" fillId="5" borderId="22" xfId="0" applyNumberFormat="1" applyFont="1" applyFill="1" applyBorder="1" applyAlignment="1">
      <alignment horizontal="left" vertical="center" shrinkToFit="1"/>
    </xf>
    <xf numFmtId="179" fontId="20" fillId="0" borderId="2" xfId="1" applyNumberFormat="1" applyFont="1" applyBorder="1" applyAlignment="1">
      <alignment horizontal="center" vertical="center" shrinkToFit="1"/>
    </xf>
    <xf numFmtId="183" fontId="19" fillId="5" borderId="22" xfId="0" applyNumberFormat="1" applyFont="1" applyFill="1" applyBorder="1" applyAlignment="1">
      <alignment horizontal="left" vertical="center" shrinkToFit="1"/>
    </xf>
    <xf numFmtId="49" fontId="21" fillId="0" borderId="0" xfId="1" applyNumberFormat="1" applyFont="1" applyAlignment="1">
      <alignment horizontal="left" vertical="center" shrinkToFit="1"/>
    </xf>
    <xf numFmtId="0" fontId="19" fillId="0" borderId="21" xfId="0" applyFont="1" applyBorder="1" applyAlignment="1">
      <alignment horizontal="left" vertical="center" wrapText="1"/>
    </xf>
    <xf numFmtId="184" fontId="19" fillId="5" borderId="22" xfId="0" applyNumberFormat="1" applyFont="1" applyFill="1" applyBorder="1" applyAlignment="1">
      <alignment horizontal="left" vertical="center" shrinkToFit="1"/>
    </xf>
    <xf numFmtId="49" fontId="23" fillId="0" borderId="0" xfId="1" applyNumberFormat="1" applyFont="1" applyAlignment="1">
      <alignment horizontal="left" vertical="center" shrinkToFit="1"/>
    </xf>
    <xf numFmtId="185" fontId="19" fillId="5" borderId="22" xfId="0" applyNumberFormat="1" applyFont="1" applyFill="1" applyBorder="1" applyAlignment="1">
      <alignment horizontal="left" vertical="center" shrinkToFit="1"/>
    </xf>
    <xf numFmtId="187" fontId="19" fillId="5" borderId="22" xfId="0" applyNumberFormat="1" applyFont="1" applyFill="1" applyBorder="1" applyAlignment="1">
      <alignment horizontal="left" vertical="center" shrinkToFit="1"/>
    </xf>
    <xf numFmtId="188" fontId="19" fillId="5" borderId="22" xfId="0" applyNumberFormat="1" applyFont="1" applyFill="1" applyBorder="1" applyAlignment="1">
      <alignment horizontal="left" vertical="center" shrinkToFit="1"/>
    </xf>
    <xf numFmtId="190" fontId="19" fillId="5" borderId="22" xfId="0" applyNumberFormat="1" applyFont="1" applyFill="1" applyBorder="1" applyAlignment="1">
      <alignment horizontal="left" vertical="center" shrinkToFit="1"/>
    </xf>
    <xf numFmtId="0" fontId="19" fillId="0" borderId="30" xfId="0" applyFont="1" applyBorder="1" applyAlignment="1">
      <alignment horizontal="left" vertical="center" wrapText="1"/>
    </xf>
    <xf numFmtId="179" fontId="25" fillId="0" borderId="31" xfId="1" applyNumberFormat="1" applyFont="1" applyBorder="1" applyAlignment="1">
      <alignment horizontal="center" vertical="center" shrinkToFit="1"/>
    </xf>
    <xf numFmtId="191" fontId="19" fillId="5" borderId="32" xfId="0" applyNumberFormat="1" applyFont="1" applyFill="1" applyBorder="1" applyAlignment="1">
      <alignment horizontal="center" vertical="center"/>
    </xf>
    <xf numFmtId="0" fontId="26" fillId="6" borderId="17" xfId="0" applyFont="1" applyFill="1" applyBorder="1" applyAlignment="1">
      <alignment horizontal="center" vertical="center"/>
    </xf>
    <xf numFmtId="49" fontId="26" fillId="6" borderId="18" xfId="1" applyNumberFormat="1" applyFont="1" applyFill="1" applyBorder="1" applyAlignment="1">
      <alignment vertical="center" shrinkToFit="1"/>
    </xf>
    <xf numFmtId="49" fontId="26" fillId="6" borderId="18" xfId="1" applyNumberFormat="1" applyFont="1" applyFill="1" applyBorder="1" applyAlignment="1">
      <alignment horizontal="center" vertical="center" shrinkToFit="1"/>
    </xf>
    <xf numFmtId="49" fontId="26" fillId="6" borderId="19" xfId="0" applyNumberFormat="1" applyFont="1" applyFill="1" applyBorder="1" applyAlignment="1">
      <alignment horizontal="center" vertical="center" shrinkToFit="1"/>
    </xf>
    <xf numFmtId="0" fontId="26" fillId="2" borderId="17" xfId="0" applyFont="1" applyFill="1" applyBorder="1">
      <alignment vertical="center"/>
    </xf>
    <xf numFmtId="49" fontId="26" fillId="2" borderId="18" xfId="0" applyNumberFormat="1" applyFont="1" applyFill="1" applyBorder="1" applyAlignment="1">
      <alignment horizontal="center" vertical="center" shrinkToFit="1"/>
    </xf>
    <xf numFmtId="49" fontId="26" fillId="2" borderId="19" xfId="0" applyNumberFormat="1" applyFont="1" applyFill="1" applyBorder="1" applyAlignment="1">
      <alignment horizontal="center" vertical="center" shrinkToFit="1"/>
    </xf>
    <xf numFmtId="0" fontId="27" fillId="3" borderId="33" xfId="0" applyFont="1" applyFill="1" applyBorder="1" applyAlignment="1">
      <alignment horizontal="center" vertical="center"/>
    </xf>
    <xf numFmtId="0" fontId="27" fillId="3" borderId="34" xfId="0" applyFont="1" applyFill="1" applyBorder="1" applyAlignment="1">
      <alignment horizontal="center" vertical="center"/>
    </xf>
    <xf numFmtId="0" fontId="28" fillId="0" borderId="0" xfId="0" applyFont="1">
      <alignment vertical="center"/>
    </xf>
    <xf numFmtId="49" fontId="29" fillId="0" borderId="0" xfId="0" applyNumberFormat="1" applyFont="1" applyAlignment="1">
      <alignment vertical="top" shrinkToFit="1"/>
    </xf>
    <xf numFmtId="181" fontId="15" fillId="4" borderId="21" xfId="0" applyNumberFormat="1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5" fillId="4" borderId="35" xfId="0" applyFont="1" applyFill="1" applyBorder="1" applyAlignment="1">
      <alignment horizontal="center" vertical="center"/>
    </xf>
    <xf numFmtId="189" fontId="15" fillId="4" borderId="36" xfId="0" applyNumberFormat="1" applyFont="1" applyFill="1" applyBorder="1" applyAlignment="1">
      <alignment horizontal="center" vertical="center"/>
    </xf>
    <xf numFmtId="179" fontId="15" fillId="4" borderId="21" xfId="0" applyNumberFormat="1" applyFont="1" applyFill="1" applyBorder="1" applyAlignment="1">
      <alignment horizontal="center" vertical="center"/>
    </xf>
    <xf numFmtId="179" fontId="15" fillId="4" borderId="2" xfId="0" applyNumberFormat="1" applyFont="1" applyFill="1" applyBorder="1" applyAlignment="1">
      <alignment horizontal="center" vertical="center"/>
    </xf>
    <xf numFmtId="179" fontId="15" fillId="4" borderId="22" xfId="0" applyNumberFormat="1" applyFont="1" applyFill="1" applyBorder="1" applyAlignment="1">
      <alignment horizontal="center" vertical="center"/>
    </xf>
    <xf numFmtId="192" fontId="15" fillId="0" borderId="21" xfId="0" applyNumberFormat="1" applyFont="1" applyBorder="1" applyAlignment="1">
      <alignment horizontal="center" vertical="center"/>
    </xf>
    <xf numFmtId="193" fontId="15" fillId="0" borderId="22" xfId="0" applyNumberFormat="1" applyFont="1" applyBorder="1" applyAlignment="1">
      <alignment horizontal="center" vertical="center"/>
    </xf>
    <xf numFmtId="0" fontId="30" fillId="0" borderId="0" xfId="0" applyFont="1">
      <alignment vertical="center"/>
    </xf>
    <xf numFmtId="49" fontId="31" fillId="0" borderId="0" xfId="0" applyNumberFormat="1" applyFont="1" applyAlignment="1">
      <alignment vertical="top" shrinkToFit="1"/>
    </xf>
    <xf numFmtId="181" fontId="15" fillId="0" borderId="21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189" fontId="15" fillId="0" borderId="22" xfId="0" applyNumberFormat="1" applyFont="1" applyBorder="1" applyAlignment="1">
      <alignment horizontal="center" vertical="center"/>
    </xf>
    <xf numFmtId="179" fontId="15" fillId="0" borderId="21" xfId="0" applyNumberFormat="1" applyFont="1" applyBorder="1" applyAlignment="1">
      <alignment horizontal="center" vertical="center"/>
    </xf>
    <xf numFmtId="179" fontId="15" fillId="0" borderId="2" xfId="0" applyNumberFormat="1" applyFont="1" applyBorder="1" applyAlignment="1">
      <alignment horizontal="center" vertical="center"/>
    </xf>
    <xf numFmtId="179" fontId="15" fillId="0" borderId="22" xfId="0" applyNumberFormat="1" applyFont="1" applyBorder="1" applyAlignment="1">
      <alignment horizontal="center" vertical="center"/>
    </xf>
    <xf numFmtId="192" fontId="15" fillId="0" borderId="24" xfId="0" applyNumberFormat="1" applyFont="1" applyBorder="1" applyAlignment="1">
      <alignment horizontal="center" vertical="center"/>
    </xf>
    <xf numFmtId="193" fontId="15" fillId="0" borderId="37" xfId="0" applyNumberFormat="1" applyFont="1" applyBorder="1" applyAlignment="1">
      <alignment horizontal="center" vertical="center"/>
    </xf>
    <xf numFmtId="179" fontId="15" fillId="0" borderId="11" xfId="0" applyNumberFormat="1" applyFont="1" applyBorder="1" applyAlignment="1">
      <alignment horizontal="center" vertical="center"/>
    </xf>
    <xf numFmtId="192" fontId="14" fillId="0" borderId="24" xfId="0" applyNumberFormat="1" applyFont="1" applyBorder="1" applyAlignment="1">
      <alignment horizontal="center" vertical="center"/>
    </xf>
    <xf numFmtId="193" fontId="14" fillId="0" borderId="37" xfId="0" applyNumberFormat="1" applyFont="1" applyBorder="1" applyAlignment="1">
      <alignment horizontal="center" vertical="center"/>
    </xf>
    <xf numFmtId="192" fontId="14" fillId="5" borderId="24" xfId="0" applyNumberFormat="1" applyFont="1" applyFill="1" applyBorder="1" applyAlignment="1">
      <alignment horizontal="center" vertical="center"/>
    </xf>
    <xf numFmtId="193" fontId="14" fillId="5" borderId="37" xfId="0" applyNumberFormat="1" applyFont="1" applyFill="1" applyBorder="1" applyAlignment="1">
      <alignment horizontal="center" vertical="center"/>
    </xf>
    <xf numFmtId="181" fontId="15" fillId="0" borderId="30" xfId="0" applyNumberFormat="1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189" fontId="15" fillId="0" borderId="32" xfId="0" applyNumberFormat="1" applyFont="1" applyBorder="1" applyAlignment="1">
      <alignment horizontal="center" vertical="center"/>
    </xf>
    <xf numFmtId="179" fontId="15" fillId="0" borderId="30" xfId="0" applyNumberFormat="1" applyFont="1" applyBorder="1" applyAlignment="1">
      <alignment horizontal="center" vertical="center"/>
    </xf>
    <xf numFmtId="179" fontId="15" fillId="0" borderId="31" xfId="0" applyNumberFormat="1" applyFont="1" applyBorder="1" applyAlignment="1">
      <alignment horizontal="center" vertical="center"/>
    </xf>
    <xf numFmtId="179" fontId="15" fillId="0" borderId="38" xfId="0" applyNumberFormat="1" applyFont="1" applyBorder="1" applyAlignment="1">
      <alignment horizontal="center" vertical="center"/>
    </xf>
    <xf numFmtId="192" fontId="14" fillId="5" borderId="30" xfId="0" applyNumberFormat="1" applyFont="1" applyFill="1" applyBorder="1" applyAlignment="1">
      <alignment horizontal="center" vertical="center"/>
    </xf>
    <xf numFmtId="193" fontId="14" fillId="5" borderId="32" xfId="0" applyNumberFormat="1" applyFont="1" applyFill="1" applyBorder="1" applyAlignment="1">
      <alignment horizontal="center" vertical="center"/>
    </xf>
    <xf numFmtId="49" fontId="9" fillId="0" borderId="0" xfId="1" applyNumberFormat="1" applyFont="1" applyAlignment="1">
      <alignment vertical="center" shrinkToFit="1"/>
    </xf>
    <xf numFmtId="49" fontId="1" fillId="0" borderId="0" xfId="1" applyNumberFormat="1" applyAlignment="1">
      <alignment vertical="center" shrinkToFit="1"/>
    </xf>
    <xf numFmtId="49" fontId="12" fillId="0" borderId="0" xfId="1" applyNumberFormat="1" applyFont="1" applyAlignment="1">
      <alignment horizontal="right" vertical="center" shrinkToFit="1"/>
    </xf>
    <xf numFmtId="49" fontId="1" fillId="0" borderId="0" xfId="1" applyNumberFormat="1" applyAlignment="1">
      <alignment horizontal="left" vertical="center" shrinkToFit="1"/>
    </xf>
    <xf numFmtId="49" fontId="11" fillId="0" borderId="2" xfId="1" applyNumberFormat="1" applyFont="1" applyBorder="1" applyAlignment="1">
      <alignment vertical="center" shrinkToFit="1"/>
    </xf>
    <xf numFmtId="0" fontId="0" fillId="0" borderId="6" xfId="0" applyBorder="1" applyAlignment="1"/>
    <xf numFmtId="0" fontId="12" fillId="0" borderId="0" xfId="0" applyFont="1">
      <alignment vertical="center"/>
    </xf>
    <xf numFmtId="49" fontId="4" fillId="0" borderId="0" xfId="1" applyNumberFormat="1" applyFont="1" applyAlignment="1">
      <alignment horizontal="left" vertical="center" shrinkToFit="1"/>
    </xf>
    <xf numFmtId="49" fontId="12" fillId="0" borderId="9" xfId="1" applyNumberFormat="1" applyFont="1" applyBorder="1" applyAlignment="1">
      <alignment vertical="center" shrinkToFit="1"/>
    </xf>
    <xf numFmtId="0" fontId="0" fillId="0" borderId="9" xfId="0" applyBorder="1" applyAlignment="1"/>
    <xf numFmtId="177" fontId="12" fillId="0" borderId="0" xfId="1" applyNumberFormat="1" applyFont="1" applyAlignment="1">
      <alignment horizontal="left" vertical="center" shrinkToFit="1"/>
    </xf>
    <xf numFmtId="49" fontId="8" fillId="0" borderId="0" xfId="1" applyNumberFormat="1" applyFont="1" applyAlignment="1">
      <alignment horizontal="left" vertical="center" shrinkToFit="1"/>
    </xf>
    <xf numFmtId="49" fontId="11" fillId="0" borderId="0" xfId="1" applyNumberFormat="1" applyFont="1" applyAlignment="1">
      <alignment vertical="center" shrinkToFit="1"/>
    </xf>
    <xf numFmtId="49" fontId="12" fillId="0" borderId="10" xfId="1" applyNumberFormat="1" applyFont="1" applyBorder="1" applyAlignment="1">
      <alignment vertical="center" shrinkToFit="1"/>
    </xf>
    <xf numFmtId="0" fontId="0" fillId="0" borderId="10" xfId="0" applyBorder="1" applyAlignment="1"/>
    <xf numFmtId="49" fontId="10" fillId="0" borderId="0" xfId="1" applyNumberFormat="1" applyFont="1" applyAlignment="1">
      <alignment vertical="center" shrinkToFit="1"/>
    </xf>
    <xf numFmtId="178" fontId="11" fillId="0" borderId="2" xfId="1" applyNumberFormat="1" applyFont="1" applyBorder="1" applyAlignment="1">
      <alignment horizontal="center" vertical="center" shrinkToFit="1"/>
    </xf>
    <xf numFmtId="0" fontId="0" fillId="0" borderId="13" xfId="0" applyBorder="1" applyAlignment="1"/>
    <xf numFmtId="0" fontId="0" fillId="0" borderId="14" xfId="0" applyBorder="1" applyAlignment="1"/>
    <xf numFmtId="0" fontId="0" fillId="0" borderId="15" xfId="0" applyBorder="1" applyAlignment="1"/>
    <xf numFmtId="0" fontId="0" fillId="0" borderId="12" xfId="0" applyBorder="1" applyAlignment="1"/>
    <xf numFmtId="49" fontId="11" fillId="0" borderId="11" xfId="1" applyNumberFormat="1" applyFont="1" applyBorder="1" applyAlignment="1">
      <alignment horizontal="center" vertical="center" shrinkToFit="1"/>
    </xf>
    <xf numFmtId="49" fontId="11" fillId="0" borderId="6" xfId="1" applyNumberFormat="1" applyFont="1" applyBorder="1" applyAlignment="1">
      <alignment vertical="center" shrinkToFit="1"/>
    </xf>
    <xf numFmtId="178" fontId="11" fillId="0" borderId="0" xfId="1" applyNumberFormat="1" applyFont="1" applyAlignment="1">
      <alignment horizontal="left" vertical="center" shrinkToFit="1"/>
    </xf>
    <xf numFmtId="177" fontId="10" fillId="0" borderId="0" xfId="1" applyNumberFormat="1" applyFont="1" applyAlignment="1">
      <alignment vertical="center" shrinkToFit="1"/>
    </xf>
    <xf numFmtId="49" fontId="11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49" fontId="1" fillId="0" borderId="3" xfId="1" applyNumberFormat="1" applyBorder="1" applyAlignment="1">
      <alignment vertical="center" shrinkToFit="1"/>
    </xf>
    <xf numFmtId="0" fontId="0" fillId="0" borderId="5" xfId="0" applyBorder="1" applyAlignment="1"/>
    <xf numFmtId="49" fontId="7" fillId="0" borderId="0" xfId="1" applyNumberFormat="1" applyFont="1" applyAlignment="1">
      <alignment vertical="center" shrinkToFit="1"/>
    </xf>
    <xf numFmtId="49" fontId="11" fillId="0" borderId="12" xfId="1" applyNumberFormat="1" applyFont="1" applyBorder="1" applyAlignment="1">
      <alignment vertical="center" shrinkToFit="1"/>
    </xf>
    <xf numFmtId="0" fontId="0" fillId="0" borderId="4" xfId="0" applyBorder="1" applyAlignment="1"/>
    <xf numFmtId="49" fontId="11" fillId="0" borderId="4" xfId="1" applyNumberFormat="1" applyFont="1" applyBorder="1" applyAlignment="1">
      <alignment horizontal="left" vertical="center" shrinkToFit="1"/>
    </xf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49" fontId="12" fillId="0" borderId="8" xfId="1" applyNumberFormat="1" applyFont="1" applyBorder="1" applyAlignment="1">
      <alignment horizontal="right" vertical="center" shrinkToFit="1"/>
    </xf>
    <xf numFmtId="49" fontId="10" fillId="0" borderId="4" xfId="1" applyNumberFormat="1" applyFont="1" applyBorder="1" applyAlignment="1">
      <alignment horizontal="left" vertical="center" shrinkToFit="1"/>
    </xf>
    <xf numFmtId="49" fontId="11" fillId="0" borderId="0" xfId="1" applyNumberFormat="1" applyFont="1" applyAlignment="1">
      <alignment horizontal="left" vertical="center" shrinkToFit="1"/>
    </xf>
    <xf numFmtId="49" fontId="14" fillId="2" borderId="24" xfId="1" applyNumberFormat="1" applyFont="1" applyFill="1" applyBorder="1" applyAlignment="1">
      <alignment horizontal="center" vertical="center" shrinkToFit="1"/>
    </xf>
    <xf numFmtId="49" fontId="14" fillId="2" borderId="26" xfId="1" applyNumberFormat="1" applyFont="1" applyFill="1" applyBorder="1" applyAlignment="1">
      <alignment horizontal="center" vertical="center" shrinkToFit="1"/>
    </xf>
    <xf numFmtId="186" fontId="17" fillId="0" borderId="3" xfId="0" applyNumberFormat="1" applyFont="1" applyBorder="1" applyAlignment="1">
      <alignment horizontal="center" vertical="center"/>
    </xf>
    <xf numFmtId="186" fontId="17" fillId="0" borderId="6" xfId="0" applyNumberFormat="1" applyFont="1" applyBorder="1" applyAlignment="1">
      <alignment horizontal="center" vertical="center"/>
    </xf>
    <xf numFmtId="49" fontId="24" fillId="2" borderId="25" xfId="0" applyNumberFormat="1" applyFont="1" applyFill="1" applyBorder="1" applyAlignment="1">
      <alignment horizontal="center" vertical="center"/>
    </xf>
    <xf numFmtId="49" fontId="24" fillId="2" borderId="15" xfId="0" applyNumberFormat="1" applyFont="1" applyFill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179" fontId="17" fillId="5" borderId="21" xfId="0" applyNumberFormat="1" applyFont="1" applyFill="1" applyBorder="1" applyAlignment="1">
      <alignment horizontal="left" vertical="center" shrinkToFit="1"/>
    </xf>
    <xf numFmtId="179" fontId="17" fillId="5" borderId="2" xfId="0" applyNumberFormat="1" applyFont="1" applyFill="1" applyBorder="1" applyAlignment="1">
      <alignment horizontal="left" vertical="center" shrinkToFit="1"/>
    </xf>
    <xf numFmtId="179" fontId="17" fillId="5" borderId="22" xfId="0" applyNumberFormat="1" applyFont="1" applyFill="1" applyBorder="1" applyAlignment="1">
      <alignment horizontal="left" vertical="center" shrinkToFit="1"/>
    </xf>
    <xf numFmtId="0" fontId="14" fillId="2" borderId="24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189" fontId="17" fillId="0" borderId="3" xfId="0" applyNumberFormat="1" applyFont="1" applyBorder="1" applyAlignment="1">
      <alignment horizontal="center" vertical="center"/>
    </xf>
    <xf numFmtId="189" fontId="17" fillId="0" borderId="28" xfId="0" applyNumberFormat="1" applyFont="1" applyBorder="1" applyAlignment="1">
      <alignment horizontal="center" vertical="center"/>
    </xf>
    <xf numFmtId="49" fontId="24" fillId="2" borderId="25" xfId="1" applyNumberFormat="1" applyFont="1" applyFill="1" applyBorder="1" applyAlignment="1">
      <alignment horizontal="center" vertical="center" shrinkToFit="1"/>
    </xf>
    <xf numFmtId="49" fontId="24" fillId="2" borderId="29" xfId="1" applyNumberFormat="1" applyFont="1" applyFill="1" applyBorder="1" applyAlignment="1">
      <alignment horizontal="center" vertical="center" shrinkToFit="1"/>
    </xf>
    <xf numFmtId="0" fontId="17" fillId="0" borderId="7" xfId="0" applyFont="1" applyBorder="1" applyAlignment="1">
      <alignment horizontal="center" vertical="center"/>
    </xf>
    <xf numFmtId="179" fontId="17" fillId="5" borderId="30" xfId="0" applyNumberFormat="1" applyFont="1" applyFill="1" applyBorder="1" applyAlignment="1">
      <alignment horizontal="left" vertical="center" shrinkToFit="1"/>
    </xf>
    <xf numFmtId="179" fontId="17" fillId="5" borderId="31" xfId="0" applyNumberFormat="1" applyFont="1" applyFill="1" applyBorder="1" applyAlignment="1">
      <alignment horizontal="left" vertical="center" shrinkToFit="1"/>
    </xf>
    <xf numFmtId="179" fontId="17" fillId="5" borderId="32" xfId="0" applyNumberFormat="1" applyFont="1" applyFill="1" applyBorder="1" applyAlignment="1">
      <alignment horizontal="left" vertical="center" shrinkToFit="1"/>
    </xf>
    <xf numFmtId="0" fontId="17" fillId="0" borderId="3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4" fillId="2" borderId="16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5" fillId="3" borderId="17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49" fontId="6" fillId="4" borderId="16" xfId="1" applyNumberFormat="1" applyFont="1" applyFill="1" applyBorder="1" applyAlignment="1">
      <alignment horizontal="center" vertical="center" shrinkToFit="1"/>
    </xf>
    <xf numFmtId="49" fontId="6" fillId="4" borderId="8" xfId="1" applyNumberFormat="1" applyFont="1" applyFill="1" applyBorder="1" applyAlignment="1">
      <alignment horizontal="center" vertical="center" shrinkToFit="1"/>
    </xf>
    <xf numFmtId="0" fontId="16" fillId="0" borderId="20" xfId="1" applyFont="1" applyBorder="1" applyAlignment="1">
      <alignment horizontal="left" vertical="center" shrinkToFit="1"/>
    </xf>
    <xf numFmtId="0" fontId="16" fillId="0" borderId="13" xfId="1" applyFont="1" applyBorder="1" applyAlignment="1">
      <alignment horizontal="left" vertical="center" shrinkToFit="1"/>
    </xf>
    <xf numFmtId="0" fontId="16" fillId="0" borderId="23" xfId="1" applyFont="1" applyBorder="1" applyAlignment="1">
      <alignment horizontal="left" vertical="center" shrinkToFit="1"/>
    </xf>
    <xf numFmtId="0" fontId="16" fillId="0" borderId="10" xfId="1" applyFont="1" applyBorder="1" applyAlignment="1">
      <alignment horizontal="left" vertical="center" shrinkToFit="1"/>
    </xf>
    <xf numFmtId="180" fontId="18" fillId="0" borderId="22" xfId="1" applyNumberFormat="1" applyFont="1" applyBorder="1" applyAlignment="1">
      <alignment horizontal="center" vertical="center" shrinkToFit="1"/>
    </xf>
    <xf numFmtId="0" fontId="14" fillId="2" borderId="26" xfId="0" applyFont="1" applyFill="1" applyBorder="1" applyAlignment="1">
      <alignment horizontal="center" vertical="center"/>
    </xf>
    <xf numFmtId="49" fontId="14" fillId="2" borderId="25" xfId="1" applyNumberFormat="1" applyFont="1" applyFill="1" applyBorder="1" applyAlignment="1">
      <alignment horizontal="center" vertical="center" shrinkToFit="1"/>
    </xf>
    <xf numFmtId="49" fontId="14" fillId="2" borderId="15" xfId="1" applyNumberFormat="1" applyFont="1" applyFill="1" applyBorder="1" applyAlignment="1">
      <alignment horizontal="center" vertical="center" shrinkToFit="1"/>
    </xf>
    <xf numFmtId="0" fontId="22" fillId="0" borderId="13" xfId="1" applyFont="1" applyBorder="1" applyAlignment="1">
      <alignment horizontal="center" vertical="center" shrinkToFit="1"/>
    </xf>
    <xf numFmtId="0" fontId="22" fillId="0" borderId="10" xfId="1" applyFont="1" applyBorder="1" applyAlignment="1">
      <alignment horizontal="center" vertical="center" shrinkToFit="1"/>
    </xf>
  </cellXfs>
  <cellStyles count="2">
    <cellStyle name="標準" xfId="0" builtinId="0"/>
    <cellStyle name="標準 2" xfId="1" xr:uid="{00000000-0005-0000-0000-000001000000}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123825</xdr:colOff>
      <xdr:row>3</xdr:row>
      <xdr:rowOff>47625</xdr:rowOff>
    </xdr:from>
    <xdr:to>
      <xdr:col>8</xdr:col>
      <xdr:colOff>628650</xdr:colOff>
      <xdr:row>5</xdr:row>
      <xdr:rowOff>152400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2427647-7CE7-5854-D945-A15B7FCC7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39075" y="590550"/>
          <a:ext cx="504825" cy="504825"/>
        </a:xfrm>
        <a:prstGeom prst="rect">
          <a:avLst/>
        </a:prstGeom>
      </xdr:spPr>
    </xdr:pic>
    <xdr:clientData/>
  </xdr:twoCellAnchor>
  <xdr:twoCellAnchor editAs="oneCell">
    <xdr:from>
      <xdr:col>9</xdr:col>
      <xdr:colOff>200025</xdr:colOff>
      <xdr:row>3</xdr:row>
      <xdr:rowOff>95250</xdr:rowOff>
    </xdr:from>
    <xdr:to>
      <xdr:col>9</xdr:col>
      <xdr:colOff>609600</xdr:colOff>
      <xdr:row>5</xdr:row>
      <xdr:rowOff>104775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A4B57B4-BA7A-4207-B237-016AE2630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24900" y="638175"/>
          <a:ext cx="409575" cy="4095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40658;&#37096;&#24037;&#26989;&#65293;&#65328;&#65315;\Desktop\sgt2509.xlsm" TargetMode="External"/><Relationship Id="rId1" Type="http://schemas.openxmlformats.org/officeDocument/2006/relationships/externalLinkPath" Target="/Users/&#40658;&#37096;&#24037;&#26989;&#65293;&#65328;&#65315;/Desktop/sgt250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日程"/>
      <sheetName val="取引"/>
      <sheetName val="加工記録２"/>
      <sheetName val="8FL基材M"/>
      <sheetName val="納品明細書"/>
      <sheetName val="指図書"/>
      <sheetName val="依頼書保管"/>
      <sheetName val="請求"/>
      <sheetName val="VFDB2"/>
      <sheetName val="温度換算"/>
      <sheetName val="網戸日程"/>
      <sheetName val="棚卸"/>
    </sheetNames>
    <sheetDataSet>
      <sheetData sheetId="0"/>
      <sheetData sheetId="1"/>
      <sheetData sheetId="2">
        <row r="3">
          <cell r="C3" t="str">
            <v>8FL281304 5010　L=888</v>
          </cell>
          <cell r="I3">
            <v>0</v>
          </cell>
          <cell r="J3">
            <v>0</v>
          </cell>
          <cell r="K3">
            <v>0</v>
          </cell>
          <cell r="L3">
            <v>45895</v>
          </cell>
          <cell r="M3">
            <v>8</v>
          </cell>
          <cell r="O3">
            <v>45896</v>
          </cell>
          <cell r="P3">
            <v>3</v>
          </cell>
          <cell r="T3" t="str">
            <v>000000000006086</v>
          </cell>
        </row>
        <row r="4">
          <cell r="D4">
            <v>45894</v>
          </cell>
          <cell r="E4" t="str">
            <v>25G30-10</v>
          </cell>
          <cell r="F4">
            <v>32</v>
          </cell>
          <cell r="G4">
            <v>888.69</v>
          </cell>
          <cell r="H4">
            <v>888.9</v>
          </cell>
          <cell r="I4" t="str">
            <v>25G30-10</v>
          </cell>
          <cell r="J4">
            <v>366</v>
          </cell>
          <cell r="K4">
            <v>183</v>
          </cell>
          <cell r="L4">
            <v>45896</v>
          </cell>
          <cell r="M4">
            <v>12</v>
          </cell>
          <cell r="O4">
            <v>2000</v>
          </cell>
          <cell r="T4" t="str">
            <v>000000000006086</v>
          </cell>
        </row>
        <row r="5">
          <cell r="C5">
            <v>2000</v>
          </cell>
          <cell r="D5">
            <v>45894</v>
          </cell>
          <cell r="E5" t="str">
            <v>25G30-10</v>
          </cell>
          <cell r="F5">
            <v>30</v>
          </cell>
          <cell r="G5">
            <v>888.58</v>
          </cell>
          <cell r="H5">
            <v>888.83</v>
          </cell>
          <cell r="I5" t="str">
            <v>25H01-01</v>
          </cell>
          <cell r="J5">
            <v>880</v>
          </cell>
          <cell r="K5">
            <v>440</v>
          </cell>
          <cell r="O5">
            <v>1004</v>
          </cell>
          <cell r="P5">
            <v>4</v>
          </cell>
          <cell r="T5" t="str">
            <v>000000000006086</v>
          </cell>
        </row>
        <row r="6">
          <cell r="D6">
            <v>45895</v>
          </cell>
          <cell r="E6" t="str">
            <v>25G30-10</v>
          </cell>
          <cell r="F6">
            <v>28</v>
          </cell>
          <cell r="G6">
            <v>888.46</v>
          </cell>
          <cell r="H6">
            <v>888.59</v>
          </cell>
          <cell r="I6" t="str">
            <v>25G31-12</v>
          </cell>
          <cell r="J6">
            <v>720</v>
          </cell>
          <cell r="K6">
            <v>360</v>
          </cell>
          <cell r="O6">
            <v>4</v>
          </cell>
          <cell r="T6" t="str">
            <v>000000000006086</v>
          </cell>
        </row>
        <row r="7">
          <cell r="C7">
            <v>2</v>
          </cell>
          <cell r="D7">
            <v>45895</v>
          </cell>
          <cell r="E7" t="str">
            <v>25H01-01</v>
          </cell>
          <cell r="F7">
            <v>30</v>
          </cell>
          <cell r="G7">
            <v>888.58</v>
          </cell>
          <cell r="H7">
            <v>888.61</v>
          </cell>
          <cell r="I7" t="str">
            <v>25G31-11</v>
          </cell>
          <cell r="J7">
            <v>41</v>
          </cell>
          <cell r="K7">
            <v>21</v>
          </cell>
          <cell r="O7">
            <v>7</v>
          </cell>
          <cell r="T7" t="str">
            <v>000000000006086</v>
          </cell>
        </row>
        <row r="8">
          <cell r="C8" t="str">
            <v>LED-A888</v>
          </cell>
          <cell r="D8">
            <v>45895</v>
          </cell>
          <cell r="E8" t="str">
            <v>25H01-01</v>
          </cell>
          <cell r="F8">
            <v>32</v>
          </cell>
          <cell r="G8">
            <v>888.69</v>
          </cell>
          <cell r="H8">
            <v>888.69</v>
          </cell>
          <cell r="K8">
            <v>0</v>
          </cell>
          <cell r="L8" t="str">
            <v>旧品加工</v>
          </cell>
          <cell r="O8">
            <v>0</v>
          </cell>
          <cell r="T8" t="str">
            <v>000000000006086</v>
          </cell>
        </row>
        <row r="9">
          <cell r="C9">
            <v>20</v>
          </cell>
          <cell r="D9">
            <v>45895</v>
          </cell>
          <cell r="E9" t="str">
            <v>25G31-12</v>
          </cell>
          <cell r="F9">
            <v>28</v>
          </cell>
          <cell r="G9">
            <v>888.46</v>
          </cell>
          <cell r="H9">
            <v>888.71</v>
          </cell>
          <cell r="K9">
            <v>0</v>
          </cell>
          <cell r="L9" t="str">
            <v>持出端材</v>
          </cell>
          <cell r="O9" t="str">
            <v>水野</v>
          </cell>
          <cell r="T9" t="str">
            <v>000000000006086</v>
          </cell>
        </row>
        <row r="10">
          <cell r="D10">
            <v>45895</v>
          </cell>
          <cell r="E10" t="str">
            <v>25G31-11</v>
          </cell>
          <cell r="F10">
            <v>28</v>
          </cell>
          <cell r="G10">
            <v>888.46</v>
          </cell>
          <cell r="H10">
            <v>888.62</v>
          </cell>
          <cell r="K10">
            <v>0</v>
          </cell>
          <cell r="L10" t="str">
            <v>α端材</v>
          </cell>
          <cell r="M10">
            <v>0</v>
          </cell>
          <cell r="O10" t="str">
            <v>高森・上野</v>
          </cell>
          <cell r="P10">
            <v>7</v>
          </cell>
          <cell r="T10" t="str">
            <v>000000000006086</v>
          </cell>
        </row>
        <row r="11">
          <cell r="C11" t="str">
            <v>8FL281304 5010　L=888</v>
          </cell>
          <cell r="I11">
            <v>0</v>
          </cell>
          <cell r="J11">
            <v>0</v>
          </cell>
          <cell r="K11">
            <v>0</v>
          </cell>
          <cell r="L11">
            <v>45896</v>
          </cell>
          <cell r="M11">
            <v>3</v>
          </cell>
          <cell r="O11">
            <v>45897</v>
          </cell>
          <cell r="P11">
            <v>4</v>
          </cell>
          <cell r="T11" t="str">
            <v>000000000006671</v>
          </cell>
        </row>
        <row r="12">
          <cell r="D12">
            <v>45896</v>
          </cell>
          <cell r="E12" t="str">
            <v>25G31-11</v>
          </cell>
          <cell r="F12">
            <v>28</v>
          </cell>
          <cell r="G12">
            <v>888.46</v>
          </cell>
          <cell r="H12">
            <v>888.56</v>
          </cell>
          <cell r="I12" t="str">
            <v>25G31-11</v>
          </cell>
          <cell r="J12">
            <v>1558</v>
          </cell>
          <cell r="K12">
            <v>779</v>
          </cell>
          <cell r="L12">
            <v>45897</v>
          </cell>
          <cell r="M12">
            <v>13</v>
          </cell>
          <cell r="O12">
            <v>1600</v>
          </cell>
          <cell r="T12" t="str">
            <v>000000000006671</v>
          </cell>
        </row>
        <row r="13">
          <cell r="C13">
            <v>1600</v>
          </cell>
          <cell r="D13">
            <v>45896</v>
          </cell>
          <cell r="E13" t="str">
            <v>25G31-11</v>
          </cell>
          <cell r="F13">
            <v>26</v>
          </cell>
          <cell r="G13">
            <v>888.35</v>
          </cell>
          <cell r="H13">
            <v>888.65</v>
          </cell>
          <cell r="I13" t="str">
            <v>25H26-02</v>
          </cell>
          <cell r="J13">
            <v>48</v>
          </cell>
          <cell r="K13">
            <v>24</v>
          </cell>
          <cell r="O13">
            <v>803</v>
          </cell>
          <cell r="P13">
            <v>2</v>
          </cell>
          <cell r="T13" t="str">
            <v>000000000006671</v>
          </cell>
        </row>
        <row r="14">
          <cell r="D14">
            <v>45896</v>
          </cell>
          <cell r="E14" t="str">
            <v>25G31-11</v>
          </cell>
          <cell r="F14">
            <v>28</v>
          </cell>
          <cell r="G14">
            <v>888.46</v>
          </cell>
          <cell r="H14">
            <v>888.52</v>
          </cell>
          <cell r="K14">
            <v>0</v>
          </cell>
          <cell r="O14">
            <v>3</v>
          </cell>
          <cell r="T14" t="str">
            <v>000000000006671</v>
          </cell>
        </row>
        <row r="15">
          <cell r="C15">
            <v>2</v>
          </cell>
          <cell r="D15">
            <v>45896</v>
          </cell>
          <cell r="E15" t="str">
            <v>25H26-02</v>
          </cell>
          <cell r="F15">
            <v>28</v>
          </cell>
          <cell r="G15">
            <v>888.46</v>
          </cell>
          <cell r="H15">
            <v>888.58</v>
          </cell>
          <cell r="K15">
            <v>0</v>
          </cell>
          <cell r="O15">
            <v>6</v>
          </cell>
          <cell r="T15" t="str">
            <v>000000000006671</v>
          </cell>
        </row>
        <row r="16">
          <cell r="C16" t="str">
            <v>LED-A888</v>
          </cell>
          <cell r="G16" t="str">
            <v/>
          </cell>
          <cell r="K16">
            <v>0</v>
          </cell>
          <cell r="L16" t="str">
            <v>旧品加工</v>
          </cell>
          <cell r="O16">
            <v>0</v>
          </cell>
          <cell r="T16" t="str">
            <v>000000000006671</v>
          </cell>
        </row>
        <row r="17">
          <cell r="C17">
            <v>16</v>
          </cell>
          <cell r="G17" t="str">
            <v/>
          </cell>
          <cell r="K17">
            <v>0</v>
          </cell>
          <cell r="L17" t="str">
            <v>持出端材</v>
          </cell>
          <cell r="O17" t="str">
            <v>水野</v>
          </cell>
          <cell r="T17" t="str">
            <v>000000000006671</v>
          </cell>
        </row>
        <row r="18">
          <cell r="G18" t="str">
            <v/>
          </cell>
          <cell r="K18">
            <v>0</v>
          </cell>
          <cell r="L18" t="str">
            <v>α端材</v>
          </cell>
          <cell r="M18">
            <v>0</v>
          </cell>
          <cell r="O18" t="str">
            <v>高森・上野</v>
          </cell>
          <cell r="P18">
            <v>6</v>
          </cell>
          <cell r="T18" t="str">
            <v>000000000006671</v>
          </cell>
        </row>
        <row r="19">
          <cell r="C19" t="str">
            <v>8FL281304 8310　L=748</v>
          </cell>
          <cell r="D19">
            <v>45869</v>
          </cell>
          <cell r="E19" t="str">
            <v>25G25-07</v>
          </cell>
          <cell r="I19" t="str">
            <v>25G25-07</v>
          </cell>
          <cell r="J19">
            <v>8</v>
          </cell>
          <cell r="K19">
            <v>4</v>
          </cell>
          <cell r="L19">
            <v>45897</v>
          </cell>
          <cell r="M19">
            <v>2</v>
          </cell>
          <cell r="O19">
            <v>45898</v>
          </cell>
          <cell r="T19" t="str">
            <v>000000000006084</v>
          </cell>
        </row>
        <row r="20">
          <cell r="D20">
            <v>45897</v>
          </cell>
          <cell r="E20" t="str">
            <v>25H26-02</v>
          </cell>
          <cell r="F20">
            <v>28</v>
          </cell>
          <cell r="G20">
            <v>748.39</v>
          </cell>
          <cell r="H20">
            <v>748.27</v>
          </cell>
          <cell r="I20" t="str">
            <v>25H26-02</v>
          </cell>
          <cell r="J20">
            <v>392</v>
          </cell>
          <cell r="K20">
            <v>196</v>
          </cell>
          <cell r="L20">
            <v>45898</v>
          </cell>
          <cell r="M20">
            <v>2</v>
          </cell>
          <cell r="O20">
            <v>400</v>
          </cell>
          <cell r="T20" t="str">
            <v>000000000006084</v>
          </cell>
        </row>
        <row r="21">
          <cell r="C21">
            <v>400</v>
          </cell>
          <cell r="D21">
            <v>45897</v>
          </cell>
          <cell r="E21" t="str">
            <v>25H26-02</v>
          </cell>
          <cell r="F21">
            <v>28</v>
          </cell>
          <cell r="G21">
            <v>748.39</v>
          </cell>
          <cell r="H21">
            <v>748.47</v>
          </cell>
          <cell r="K21">
            <v>0</v>
          </cell>
          <cell r="O21">
            <v>200</v>
          </cell>
          <cell r="T21" t="str">
            <v>000000000006084</v>
          </cell>
        </row>
        <row r="22">
          <cell r="G22" t="str">
            <v/>
          </cell>
          <cell r="K22">
            <v>0</v>
          </cell>
          <cell r="O22">
            <v>0</v>
          </cell>
          <cell r="T22" t="str">
            <v>000000000006084</v>
          </cell>
        </row>
        <row r="23">
          <cell r="C23">
            <v>2</v>
          </cell>
          <cell r="G23" t="str">
            <v/>
          </cell>
          <cell r="K23">
            <v>0</v>
          </cell>
          <cell r="O23">
            <v>0</v>
          </cell>
          <cell r="T23" t="str">
            <v>000000000006084</v>
          </cell>
        </row>
        <row r="24">
          <cell r="C24" t="str">
            <v>LED-A888</v>
          </cell>
          <cell r="G24" t="str">
            <v/>
          </cell>
          <cell r="K24">
            <v>0</v>
          </cell>
          <cell r="L24" t="str">
            <v>旧品加工</v>
          </cell>
          <cell r="M24">
            <v>8</v>
          </cell>
          <cell r="O24">
            <v>0</v>
          </cell>
          <cell r="T24" t="str">
            <v>000000000006084</v>
          </cell>
        </row>
        <row r="25">
          <cell r="C25">
            <v>4</v>
          </cell>
          <cell r="G25" t="str">
            <v/>
          </cell>
          <cell r="K25">
            <v>0</v>
          </cell>
          <cell r="L25" t="str">
            <v>持出端材</v>
          </cell>
          <cell r="O25" t="str">
            <v>水野</v>
          </cell>
          <cell r="T25" t="str">
            <v>000000000006084</v>
          </cell>
        </row>
        <row r="26">
          <cell r="G26" t="str">
            <v/>
          </cell>
          <cell r="K26">
            <v>0</v>
          </cell>
          <cell r="L26" t="str">
            <v>α端材</v>
          </cell>
          <cell r="M26">
            <v>0</v>
          </cell>
          <cell r="O26" t="str">
            <v>上野・高森</v>
          </cell>
          <cell r="P26">
            <v>0</v>
          </cell>
          <cell r="T26" t="str">
            <v>000000000006084</v>
          </cell>
        </row>
        <row r="27">
          <cell r="C27" t="str">
            <v>8FL281304 4910　L=592</v>
          </cell>
          <cell r="D27">
            <v>45867</v>
          </cell>
          <cell r="E27" t="str">
            <v>25G24-06</v>
          </cell>
          <cell r="I27" t="str">
            <v>25G24-06</v>
          </cell>
          <cell r="J27">
            <v>6</v>
          </cell>
          <cell r="K27">
            <v>2</v>
          </cell>
          <cell r="L27">
            <v>45898</v>
          </cell>
          <cell r="M27">
            <v>3</v>
          </cell>
          <cell r="O27">
            <v>45898</v>
          </cell>
          <cell r="P27">
            <v>3</v>
          </cell>
          <cell r="T27" t="str">
            <v>000000000006083</v>
          </cell>
        </row>
        <row r="28">
          <cell r="D28">
            <v>45897</v>
          </cell>
          <cell r="E28" t="str">
            <v>25H26-02</v>
          </cell>
          <cell r="F28">
            <v>28</v>
          </cell>
          <cell r="G28">
            <v>591.80999999999995</v>
          </cell>
          <cell r="H28">
            <v>591.66999999999996</v>
          </cell>
          <cell r="I28" t="str">
            <v>25H26-02</v>
          </cell>
          <cell r="J28">
            <v>300</v>
          </cell>
          <cell r="K28">
            <v>100</v>
          </cell>
          <cell r="O28">
            <v>300</v>
          </cell>
          <cell r="T28" t="str">
            <v>000000000006083</v>
          </cell>
        </row>
        <row r="29">
          <cell r="C29">
            <v>300</v>
          </cell>
          <cell r="D29">
            <v>45897</v>
          </cell>
          <cell r="E29" t="str">
            <v>25H26-02</v>
          </cell>
          <cell r="F29">
            <v>28</v>
          </cell>
          <cell r="G29">
            <v>591.80999999999995</v>
          </cell>
          <cell r="H29">
            <v>591.77</v>
          </cell>
          <cell r="K29">
            <v>0</v>
          </cell>
          <cell r="O29">
            <v>101</v>
          </cell>
          <cell r="T29" t="str">
            <v>000000000006083</v>
          </cell>
        </row>
        <row r="30">
          <cell r="G30" t="str">
            <v/>
          </cell>
          <cell r="K30">
            <v>0</v>
          </cell>
          <cell r="O30">
            <v>3</v>
          </cell>
          <cell r="T30" t="str">
            <v>000000000006083</v>
          </cell>
        </row>
        <row r="31">
          <cell r="C31">
            <v>3</v>
          </cell>
          <cell r="G31" t="str">
            <v/>
          </cell>
          <cell r="K31">
            <v>0</v>
          </cell>
          <cell r="O31">
            <v>7</v>
          </cell>
          <cell r="T31" t="str">
            <v>000000000006083</v>
          </cell>
        </row>
        <row r="32">
          <cell r="C32" t="str">
            <v>LED-A592</v>
          </cell>
          <cell r="G32" t="str">
            <v/>
          </cell>
          <cell r="K32">
            <v>0</v>
          </cell>
          <cell r="L32" t="str">
            <v>旧品加工</v>
          </cell>
          <cell r="M32">
            <v>8</v>
          </cell>
          <cell r="O32">
            <v>2</v>
          </cell>
          <cell r="T32" t="str">
            <v>000000000006083</v>
          </cell>
        </row>
        <row r="33">
          <cell r="C33">
            <v>3</v>
          </cell>
          <cell r="G33" t="str">
            <v/>
          </cell>
          <cell r="K33">
            <v>0</v>
          </cell>
          <cell r="L33" t="str">
            <v>持出端材</v>
          </cell>
          <cell r="O33" t="str">
            <v>水野</v>
          </cell>
          <cell r="P33">
            <v>4</v>
          </cell>
          <cell r="T33" t="str">
            <v>000000000006083</v>
          </cell>
        </row>
        <row r="34">
          <cell r="G34" t="str">
            <v/>
          </cell>
          <cell r="K34">
            <v>0</v>
          </cell>
          <cell r="L34" t="str">
            <v>α端材</v>
          </cell>
          <cell r="M34">
            <v>2</v>
          </cell>
          <cell r="O34" t="str">
            <v>高森・上野</v>
          </cell>
          <cell r="P34">
            <v>7</v>
          </cell>
          <cell r="T34" t="str">
            <v>000000000006083</v>
          </cell>
        </row>
        <row r="35">
          <cell r="C35" t="str">
            <v>8FL281304 4810　L=297</v>
          </cell>
          <cell r="D35">
            <v>45868</v>
          </cell>
          <cell r="E35" t="str">
            <v>25G24-06</v>
          </cell>
          <cell r="I35" t="str">
            <v>25G24-06</v>
          </cell>
          <cell r="J35">
            <v>3</v>
          </cell>
          <cell r="K35">
            <v>0</v>
          </cell>
          <cell r="L35">
            <v>45898</v>
          </cell>
          <cell r="M35">
            <v>3</v>
          </cell>
          <cell r="O35">
            <v>45898</v>
          </cell>
          <cell r="P35">
            <v>2</v>
          </cell>
          <cell r="T35" t="str">
            <v>000000000006082</v>
          </cell>
        </row>
        <row r="36">
          <cell r="D36">
            <v>45897</v>
          </cell>
          <cell r="E36" t="str">
            <v>25H26-02</v>
          </cell>
          <cell r="F36">
            <v>28</v>
          </cell>
          <cell r="G36">
            <v>297.14999999999998</v>
          </cell>
          <cell r="H36">
            <v>297.22000000000003</v>
          </cell>
          <cell r="I36" t="str">
            <v>25H26-02</v>
          </cell>
          <cell r="J36">
            <v>300</v>
          </cell>
          <cell r="K36">
            <v>50</v>
          </cell>
          <cell r="O36">
            <v>300</v>
          </cell>
          <cell r="T36" t="str">
            <v>000000000006082</v>
          </cell>
        </row>
        <row r="37">
          <cell r="C37">
            <v>300</v>
          </cell>
          <cell r="D37">
            <v>45897</v>
          </cell>
          <cell r="E37" t="str">
            <v>25H26-02</v>
          </cell>
          <cell r="F37">
            <v>28</v>
          </cell>
          <cell r="G37">
            <v>297.14999999999998</v>
          </cell>
          <cell r="H37">
            <v>297.44</v>
          </cell>
          <cell r="K37">
            <v>0</v>
          </cell>
          <cell r="O37">
            <v>50</v>
          </cell>
          <cell r="P37">
            <v>1</v>
          </cell>
          <cell r="T37" t="str">
            <v>000000000006082</v>
          </cell>
        </row>
        <row r="38">
          <cell r="D38">
            <v>45898</v>
          </cell>
          <cell r="E38" t="str">
            <v>25H26-02</v>
          </cell>
          <cell r="F38">
            <v>26</v>
          </cell>
          <cell r="G38">
            <v>297.12</v>
          </cell>
          <cell r="H38">
            <v>297.3</v>
          </cell>
          <cell r="K38">
            <v>0</v>
          </cell>
          <cell r="O38">
            <v>1</v>
          </cell>
          <cell r="T38" t="str">
            <v>000000000006082</v>
          </cell>
        </row>
        <row r="39">
          <cell r="C39">
            <v>6</v>
          </cell>
          <cell r="D39">
            <v>45898</v>
          </cell>
          <cell r="E39" t="str">
            <v>25H26-02</v>
          </cell>
          <cell r="F39">
            <v>26</v>
          </cell>
          <cell r="G39">
            <v>297.12</v>
          </cell>
          <cell r="H39">
            <v>297.31</v>
          </cell>
          <cell r="K39">
            <v>0</v>
          </cell>
          <cell r="O39">
            <v>3</v>
          </cell>
          <cell r="T39" t="str">
            <v>000000000006082</v>
          </cell>
        </row>
        <row r="40">
          <cell r="C40" t="str">
            <v>LED-A300</v>
          </cell>
          <cell r="G40" t="str">
            <v/>
          </cell>
          <cell r="K40">
            <v>0</v>
          </cell>
          <cell r="L40" t="str">
            <v>旧品加工</v>
          </cell>
          <cell r="M40">
            <v>3</v>
          </cell>
          <cell r="O40">
            <v>3</v>
          </cell>
          <cell r="T40" t="str">
            <v>000000000006082</v>
          </cell>
        </row>
        <row r="41">
          <cell r="C41">
            <v>3</v>
          </cell>
          <cell r="G41" t="str">
            <v/>
          </cell>
          <cell r="K41">
            <v>0</v>
          </cell>
          <cell r="L41" t="str">
            <v>持出端材</v>
          </cell>
          <cell r="O41" t="str">
            <v>水野</v>
          </cell>
          <cell r="T41" t="str">
            <v>000000000006082</v>
          </cell>
        </row>
        <row r="42">
          <cell r="G42" t="str">
            <v/>
          </cell>
          <cell r="K42">
            <v>0</v>
          </cell>
          <cell r="L42" t="str">
            <v>α端材</v>
          </cell>
          <cell r="M42">
            <v>3</v>
          </cell>
          <cell r="O42" t="str">
            <v>高森・上野</v>
          </cell>
          <cell r="P42">
            <v>3</v>
          </cell>
          <cell r="T42" t="str">
            <v>000000000006082</v>
          </cell>
        </row>
        <row r="43">
          <cell r="C43" t="str">
            <v>8FL281304 5010　L=888</v>
          </cell>
          <cell r="D43">
            <v>45897</v>
          </cell>
          <cell r="E43" t="str">
            <v>25H26-02</v>
          </cell>
          <cell r="I43" t="str">
            <v>25H26-02</v>
          </cell>
          <cell r="J43">
            <v>10</v>
          </cell>
          <cell r="K43">
            <v>5</v>
          </cell>
          <cell r="L43">
            <v>45898</v>
          </cell>
          <cell r="M43">
            <v>5</v>
          </cell>
          <cell r="O43">
            <v>45902</v>
          </cell>
          <cell r="P43">
            <v>5</v>
          </cell>
          <cell r="T43" t="str">
            <v>000000000006664</v>
          </cell>
        </row>
        <row r="44">
          <cell r="D44">
            <v>45898</v>
          </cell>
          <cell r="E44" t="str">
            <v>25H26-02</v>
          </cell>
          <cell r="F44">
            <v>26</v>
          </cell>
          <cell r="G44">
            <v>888.35</v>
          </cell>
          <cell r="H44">
            <v>888.53</v>
          </cell>
          <cell r="I44" t="str">
            <v>25H26-02</v>
          </cell>
          <cell r="J44">
            <v>840</v>
          </cell>
          <cell r="K44">
            <v>420</v>
          </cell>
          <cell r="L44">
            <v>45901</v>
          </cell>
          <cell r="M44">
            <v>7</v>
          </cell>
          <cell r="O44">
            <v>1400</v>
          </cell>
          <cell r="T44" t="str">
            <v>000000000006664</v>
          </cell>
        </row>
        <row r="45">
          <cell r="C45">
            <v>1400</v>
          </cell>
          <cell r="D45">
            <v>45898</v>
          </cell>
          <cell r="E45" t="str">
            <v>25H26-02</v>
          </cell>
          <cell r="F45">
            <v>28</v>
          </cell>
          <cell r="G45">
            <v>888.46</v>
          </cell>
          <cell r="H45">
            <v>888.55</v>
          </cell>
          <cell r="I45" t="str">
            <v>25H27-03</v>
          </cell>
          <cell r="J45">
            <v>561</v>
          </cell>
          <cell r="K45">
            <v>281</v>
          </cell>
          <cell r="L45">
            <v>45902</v>
          </cell>
          <cell r="M45">
            <v>2</v>
          </cell>
          <cell r="O45">
            <v>706</v>
          </cell>
          <cell r="P45">
            <v>8</v>
          </cell>
          <cell r="T45" t="str">
            <v>000000000006664</v>
          </cell>
        </row>
        <row r="46">
          <cell r="D46">
            <v>45898</v>
          </cell>
          <cell r="E46" t="str">
            <v>25H27-03</v>
          </cell>
          <cell r="F46">
            <v>30</v>
          </cell>
          <cell r="G46">
            <v>888.58</v>
          </cell>
          <cell r="H46">
            <v>888.46</v>
          </cell>
          <cell r="K46">
            <v>0</v>
          </cell>
          <cell r="O46">
            <v>7</v>
          </cell>
          <cell r="T46" t="str">
            <v>000000000006664</v>
          </cell>
        </row>
        <row r="47">
          <cell r="C47">
            <v>2</v>
          </cell>
          <cell r="D47">
            <v>45898</v>
          </cell>
          <cell r="E47" t="str">
            <v>25H27-03</v>
          </cell>
          <cell r="F47">
            <v>30</v>
          </cell>
          <cell r="G47">
            <v>888.58</v>
          </cell>
          <cell r="H47">
            <v>888.41</v>
          </cell>
          <cell r="K47">
            <v>0</v>
          </cell>
          <cell r="O47">
            <v>13</v>
          </cell>
          <cell r="T47" t="str">
            <v>000000000006664</v>
          </cell>
        </row>
        <row r="48">
          <cell r="C48" t="str">
            <v>LED-A888</v>
          </cell>
          <cell r="D48">
            <v>45901</v>
          </cell>
          <cell r="E48" t="str">
            <v>25H27-03</v>
          </cell>
          <cell r="F48">
            <v>28</v>
          </cell>
          <cell r="G48">
            <v>888.46</v>
          </cell>
          <cell r="H48">
            <v>888.54</v>
          </cell>
          <cell r="K48">
            <v>0</v>
          </cell>
          <cell r="L48" t="str">
            <v>旧品加工</v>
          </cell>
          <cell r="M48">
            <v>11</v>
          </cell>
          <cell r="O48">
            <v>1</v>
          </cell>
          <cell r="T48" t="str">
            <v>000000000006664</v>
          </cell>
        </row>
        <row r="49">
          <cell r="C49">
            <v>14</v>
          </cell>
          <cell r="D49">
            <v>45901</v>
          </cell>
          <cell r="E49" t="str">
            <v>25H27-03</v>
          </cell>
          <cell r="F49">
            <v>32</v>
          </cell>
          <cell r="G49">
            <v>888.69</v>
          </cell>
          <cell r="H49">
            <v>888.58</v>
          </cell>
          <cell r="K49">
            <v>0</v>
          </cell>
          <cell r="L49" t="str">
            <v>持出端材</v>
          </cell>
          <cell r="O49" t="str">
            <v>M</v>
          </cell>
          <cell r="T49" t="str">
            <v>000000000006664</v>
          </cell>
        </row>
        <row r="50">
          <cell r="G50" t="str">
            <v/>
          </cell>
          <cell r="K50">
            <v>0</v>
          </cell>
          <cell r="L50" t="str">
            <v>α端材</v>
          </cell>
          <cell r="M50">
            <v>1</v>
          </cell>
          <cell r="O50" t="str">
            <v>T/U</v>
          </cell>
          <cell r="P50">
            <v>13</v>
          </cell>
          <cell r="T50" t="str">
            <v>000000000006664</v>
          </cell>
        </row>
        <row r="51">
          <cell r="C51" t="str">
            <v>8FL281304 5010　L=888</v>
          </cell>
          <cell r="I51">
            <v>0</v>
          </cell>
          <cell r="J51">
            <v>0</v>
          </cell>
          <cell r="K51">
            <v>0</v>
          </cell>
          <cell r="L51">
            <v>45902</v>
          </cell>
          <cell r="M51">
            <v>8</v>
          </cell>
          <cell r="O51">
            <v>45902</v>
          </cell>
          <cell r="P51">
            <v>1</v>
          </cell>
          <cell r="T51" t="str">
            <v>000000000006663-1</v>
          </cell>
        </row>
        <row r="52">
          <cell r="D52">
            <v>45901</v>
          </cell>
          <cell r="E52" t="str">
            <v>25H27-03</v>
          </cell>
          <cell r="F52">
            <v>30</v>
          </cell>
          <cell r="G52">
            <v>888.58</v>
          </cell>
          <cell r="H52">
            <v>888.56</v>
          </cell>
          <cell r="I52" t="str">
            <v>25H27-03</v>
          </cell>
          <cell r="J52">
            <v>803</v>
          </cell>
          <cell r="K52">
            <v>402</v>
          </cell>
          <cell r="O52">
            <v>800</v>
          </cell>
          <cell r="P52">
            <v>2</v>
          </cell>
          <cell r="T52" t="str">
            <v>000000000006663-1</v>
          </cell>
        </row>
        <row r="53">
          <cell r="C53">
            <v>800</v>
          </cell>
          <cell r="D53">
            <v>45901</v>
          </cell>
          <cell r="E53" t="str">
            <v>25H27-03</v>
          </cell>
          <cell r="F53">
            <v>30</v>
          </cell>
          <cell r="G53">
            <v>888.58</v>
          </cell>
          <cell r="H53">
            <v>888.69</v>
          </cell>
          <cell r="K53">
            <v>0</v>
          </cell>
          <cell r="O53">
            <v>402</v>
          </cell>
          <cell r="T53" t="str">
            <v>000000000006663-1</v>
          </cell>
        </row>
        <row r="54">
          <cell r="D54">
            <v>45901</v>
          </cell>
          <cell r="E54" t="str">
            <v>25H27-03</v>
          </cell>
          <cell r="F54">
            <v>30</v>
          </cell>
          <cell r="G54">
            <v>888.58</v>
          </cell>
          <cell r="H54">
            <v>888.55</v>
          </cell>
          <cell r="K54">
            <v>0</v>
          </cell>
          <cell r="O54">
            <v>2</v>
          </cell>
          <cell r="T54" t="str">
            <v>000000000006663-1</v>
          </cell>
        </row>
        <row r="55">
          <cell r="C55">
            <v>2</v>
          </cell>
          <cell r="G55" t="str">
            <v/>
          </cell>
          <cell r="K55">
            <v>0</v>
          </cell>
          <cell r="O55">
            <v>3</v>
          </cell>
          <cell r="T55" t="str">
            <v>000000000006663-1</v>
          </cell>
        </row>
        <row r="56">
          <cell r="C56" t="str">
            <v>LED-A888</v>
          </cell>
          <cell r="G56" t="str">
            <v/>
          </cell>
          <cell r="K56">
            <v>0</v>
          </cell>
          <cell r="L56" t="str">
            <v>旧品加工</v>
          </cell>
          <cell r="O56">
            <v>0</v>
          </cell>
          <cell r="T56" t="str">
            <v>000000000006663-1</v>
          </cell>
        </row>
        <row r="57">
          <cell r="C57">
            <v>8</v>
          </cell>
          <cell r="G57" t="str">
            <v/>
          </cell>
          <cell r="K57">
            <v>0</v>
          </cell>
          <cell r="L57" t="str">
            <v>持出端材</v>
          </cell>
          <cell r="O57" t="str">
            <v>M</v>
          </cell>
          <cell r="T57" t="str">
            <v>000000000006663-1</v>
          </cell>
        </row>
        <row r="58">
          <cell r="G58" t="str">
            <v/>
          </cell>
          <cell r="K58">
            <v>0</v>
          </cell>
          <cell r="L58" t="str">
            <v>α端材</v>
          </cell>
          <cell r="M58">
            <v>0</v>
          </cell>
          <cell r="O58" t="str">
            <v>T/U</v>
          </cell>
          <cell r="P58">
            <v>3</v>
          </cell>
          <cell r="T58" t="str">
            <v>000000000006663-1</v>
          </cell>
        </row>
        <row r="59">
          <cell r="C59" t="str">
            <v>8FL281304 6110　L=1478</v>
          </cell>
          <cell r="D59">
            <v>45894</v>
          </cell>
          <cell r="E59" t="str">
            <v>25G29-09</v>
          </cell>
          <cell r="I59" t="str">
            <v>25G29-09</v>
          </cell>
          <cell r="J59">
            <v>4</v>
          </cell>
          <cell r="K59">
            <v>4</v>
          </cell>
          <cell r="L59">
            <v>45902</v>
          </cell>
          <cell r="M59">
            <v>2</v>
          </cell>
          <cell r="O59">
            <v>45904</v>
          </cell>
          <cell r="P59">
            <v>5</v>
          </cell>
          <cell r="T59" t="str">
            <v>000000000006667-1</v>
          </cell>
        </row>
        <row r="60">
          <cell r="D60">
            <v>45902</v>
          </cell>
          <cell r="E60" t="str">
            <v>25H27-03</v>
          </cell>
          <cell r="G60" t="str">
            <v/>
          </cell>
          <cell r="I60" t="str">
            <v>25H27-03</v>
          </cell>
          <cell r="J60">
            <v>112</v>
          </cell>
          <cell r="K60">
            <v>112</v>
          </cell>
          <cell r="L60">
            <v>45903</v>
          </cell>
          <cell r="M60">
            <v>11</v>
          </cell>
          <cell r="O60">
            <v>1900</v>
          </cell>
          <cell r="T60" t="str">
            <v>000000000006667-1</v>
          </cell>
        </row>
        <row r="61">
          <cell r="C61">
            <v>1900</v>
          </cell>
          <cell r="D61">
            <v>45902</v>
          </cell>
          <cell r="E61" t="str">
            <v>25H28-04</v>
          </cell>
          <cell r="G61" t="str">
            <v/>
          </cell>
          <cell r="I61" t="str">
            <v>25H28-04</v>
          </cell>
          <cell r="J61">
            <v>800</v>
          </cell>
          <cell r="K61">
            <v>800</v>
          </cell>
          <cell r="L61">
            <v>45904</v>
          </cell>
          <cell r="M61">
            <v>6</v>
          </cell>
          <cell r="O61">
            <v>1906</v>
          </cell>
          <cell r="P61">
            <v>1</v>
          </cell>
          <cell r="T61" t="str">
            <v>000000000006667-1</v>
          </cell>
        </row>
        <row r="62">
          <cell r="D62">
            <v>45902</v>
          </cell>
          <cell r="E62" t="str">
            <v>25H28-04</v>
          </cell>
          <cell r="G62" t="str">
            <v/>
          </cell>
          <cell r="I62" t="str">
            <v>25H29-05</v>
          </cell>
          <cell r="J62">
            <v>800</v>
          </cell>
          <cell r="K62">
            <v>800</v>
          </cell>
          <cell r="O62">
            <v>6</v>
          </cell>
          <cell r="T62" t="str">
            <v>000000000006667-1</v>
          </cell>
        </row>
        <row r="63">
          <cell r="C63">
            <v>1</v>
          </cell>
          <cell r="D63">
            <v>45903</v>
          </cell>
          <cell r="E63" t="str">
            <v>25H28-04</v>
          </cell>
          <cell r="G63" t="str">
            <v/>
          </cell>
          <cell r="I63" t="str">
            <v>25H29-06</v>
          </cell>
          <cell r="J63">
            <v>190</v>
          </cell>
          <cell r="K63">
            <v>190</v>
          </cell>
          <cell r="O63">
            <v>6</v>
          </cell>
          <cell r="T63" t="str">
            <v>000000000006667-1</v>
          </cell>
        </row>
        <row r="64">
          <cell r="C64" t="str">
            <v>LED-A1478</v>
          </cell>
          <cell r="D64">
            <v>45903</v>
          </cell>
          <cell r="E64" t="str">
            <v>25H29-05</v>
          </cell>
          <cell r="G64" t="str">
            <v/>
          </cell>
          <cell r="K64">
            <v>0</v>
          </cell>
          <cell r="L64" t="str">
            <v>旧品加工</v>
          </cell>
          <cell r="M64">
            <v>4</v>
          </cell>
          <cell r="O64">
            <v>0</v>
          </cell>
          <cell r="T64" t="str">
            <v>000000000006667-1</v>
          </cell>
        </row>
        <row r="65">
          <cell r="C65">
            <v>19</v>
          </cell>
          <cell r="D65">
            <v>45903</v>
          </cell>
          <cell r="E65" t="str">
            <v>25H29-06</v>
          </cell>
          <cell r="G65" t="str">
            <v/>
          </cell>
          <cell r="K65">
            <v>0</v>
          </cell>
          <cell r="L65" t="str">
            <v>持出端材</v>
          </cell>
          <cell r="O65" t="str">
            <v>M/C</v>
          </cell>
          <cell r="T65" t="str">
            <v>000000000006667-1</v>
          </cell>
        </row>
        <row r="66">
          <cell r="G66" t="str">
            <v/>
          </cell>
          <cell r="K66">
            <v>0</v>
          </cell>
          <cell r="L66" t="str">
            <v>α端材</v>
          </cell>
          <cell r="M66">
            <v>0</v>
          </cell>
          <cell r="O66" t="str">
            <v>T/U</v>
          </cell>
          <cell r="P66">
            <v>6</v>
          </cell>
          <cell r="T66" t="str">
            <v>000000000006667-1</v>
          </cell>
        </row>
        <row r="67">
          <cell r="C67" t="str">
            <v>8FL281304 4810　L=297</v>
          </cell>
          <cell r="D67">
            <v>45898</v>
          </cell>
          <cell r="E67" t="str">
            <v>25H26-02</v>
          </cell>
          <cell r="I67" t="str">
            <v>25H26-02</v>
          </cell>
          <cell r="J67">
            <v>6</v>
          </cell>
          <cell r="K67">
            <v>1</v>
          </cell>
          <cell r="L67">
            <v>45904</v>
          </cell>
          <cell r="M67">
            <v>2</v>
          </cell>
          <cell r="O67">
            <v>45904</v>
          </cell>
          <cell r="P67">
            <v>3</v>
          </cell>
          <cell r="T67" t="str">
            <v>000000000006650</v>
          </cell>
        </row>
        <row r="68">
          <cell r="D68">
            <v>45904</v>
          </cell>
          <cell r="E68" t="str">
            <v>25H29-06</v>
          </cell>
          <cell r="F68">
            <v>26</v>
          </cell>
          <cell r="G68">
            <v>297.12</v>
          </cell>
          <cell r="H68">
            <v>297.22000000000003</v>
          </cell>
          <cell r="I68" t="str">
            <v>25H29-06</v>
          </cell>
          <cell r="J68">
            <v>60</v>
          </cell>
          <cell r="K68">
            <v>10</v>
          </cell>
          <cell r="O68">
            <v>200</v>
          </cell>
          <cell r="T68" t="str">
            <v>000000000006650</v>
          </cell>
        </row>
        <row r="69">
          <cell r="C69">
            <v>200</v>
          </cell>
          <cell r="D69">
            <v>45904</v>
          </cell>
          <cell r="E69" t="str">
            <v>25H29-06</v>
          </cell>
          <cell r="F69">
            <v>28</v>
          </cell>
          <cell r="G69">
            <v>297.14999999999998</v>
          </cell>
          <cell r="H69">
            <v>297.24</v>
          </cell>
          <cell r="K69">
            <v>0</v>
          </cell>
          <cell r="O69">
            <v>11</v>
          </cell>
          <cell r="P69">
            <v>5</v>
          </cell>
          <cell r="T69" t="str">
            <v>000000000006650</v>
          </cell>
        </row>
        <row r="70">
          <cell r="G70" t="str">
            <v/>
          </cell>
          <cell r="K70">
            <v>0</v>
          </cell>
          <cell r="O70">
            <v>2</v>
          </cell>
          <cell r="T70" t="str">
            <v>000000000006650</v>
          </cell>
        </row>
        <row r="71">
          <cell r="C71">
            <v>6</v>
          </cell>
          <cell r="G71" t="str">
            <v/>
          </cell>
          <cell r="K71">
            <v>0</v>
          </cell>
          <cell r="O71">
            <v>8</v>
          </cell>
          <cell r="T71" t="str">
            <v>000000000006650</v>
          </cell>
        </row>
        <row r="72">
          <cell r="C72" t="str">
            <v>LED-A300</v>
          </cell>
          <cell r="G72" t="str">
            <v/>
          </cell>
          <cell r="K72">
            <v>0</v>
          </cell>
          <cell r="L72" t="str">
            <v>旧品加工</v>
          </cell>
          <cell r="M72">
            <v>9</v>
          </cell>
          <cell r="O72">
            <v>139</v>
          </cell>
          <cell r="T72" t="str">
            <v>000000000006650</v>
          </cell>
        </row>
        <row r="73">
          <cell r="C73">
            <v>2</v>
          </cell>
          <cell r="G73" t="str">
            <v/>
          </cell>
          <cell r="K73">
            <v>0</v>
          </cell>
          <cell r="L73" t="str">
            <v>持出端材</v>
          </cell>
          <cell r="M73">
            <v>136</v>
          </cell>
          <cell r="O73" t="str">
            <v>C/M</v>
          </cell>
          <cell r="T73" t="str">
            <v>000000000006650</v>
          </cell>
        </row>
        <row r="74">
          <cell r="G74" t="str">
            <v/>
          </cell>
          <cell r="K74">
            <v>0</v>
          </cell>
          <cell r="L74" t="str">
            <v>α端材</v>
          </cell>
          <cell r="M74">
            <v>3</v>
          </cell>
          <cell r="O74" t="str">
            <v>T</v>
          </cell>
          <cell r="P74">
            <v>8</v>
          </cell>
          <cell r="T74" t="str">
            <v>000000000006650</v>
          </cell>
        </row>
        <row r="75">
          <cell r="C75" t="str">
            <v>8FL281304 4810　L=297</v>
          </cell>
          <cell r="I75">
            <v>0</v>
          </cell>
          <cell r="J75">
            <v>0</v>
          </cell>
          <cell r="K75">
            <v>0</v>
          </cell>
          <cell r="L75">
            <v>45904</v>
          </cell>
          <cell r="M75">
            <v>1</v>
          </cell>
          <cell r="O75">
            <v>45904</v>
          </cell>
          <cell r="T75" t="str">
            <v>000000000006651</v>
          </cell>
        </row>
        <row r="76">
          <cell r="D76">
            <v>45904</v>
          </cell>
          <cell r="E76" t="str">
            <v>25H29-06</v>
          </cell>
          <cell r="F76">
            <v>28</v>
          </cell>
          <cell r="G76">
            <v>297.14999999999998</v>
          </cell>
          <cell r="H76">
            <v>297.24</v>
          </cell>
          <cell r="I76" t="str">
            <v>25H29-06</v>
          </cell>
          <cell r="K76">
            <v>0</v>
          </cell>
          <cell r="O76">
            <v>100</v>
          </cell>
          <cell r="T76" t="str">
            <v>000000000006651</v>
          </cell>
        </row>
        <row r="77">
          <cell r="C77">
            <v>100</v>
          </cell>
          <cell r="D77">
            <v>45904</v>
          </cell>
          <cell r="E77" t="str">
            <v>25H29-06</v>
          </cell>
          <cell r="F77">
            <v>28</v>
          </cell>
          <cell r="G77">
            <v>297.14999999999998</v>
          </cell>
          <cell r="H77">
            <v>297.26</v>
          </cell>
          <cell r="K77">
            <v>0</v>
          </cell>
          <cell r="O77">
            <v>0</v>
          </cell>
          <cell r="T77" t="str">
            <v>000000000006651</v>
          </cell>
        </row>
        <row r="78">
          <cell r="G78" t="str">
            <v/>
          </cell>
          <cell r="K78">
            <v>0</v>
          </cell>
          <cell r="O78">
            <v>0</v>
          </cell>
          <cell r="T78" t="str">
            <v>000000000006651</v>
          </cell>
        </row>
        <row r="79">
          <cell r="C79">
            <v>6</v>
          </cell>
          <cell r="G79" t="str">
            <v/>
          </cell>
          <cell r="K79">
            <v>0</v>
          </cell>
          <cell r="O79">
            <v>0</v>
          </cell>
          <cell r="T79" t="str">
            <v>000000000006651</v>
          </cell>
        </row>
        <row r="80">
          <cell r="C80" t="str">
            <v>LED-A300</v>
          </cell>
          <cell r="G80" t="str">
            <v/>
          </cell>
          <cell r="K80">
            <v>0</v>
          </cell>
          <cell r="L80" t="str">
            <v>旧品加工</v>
          </cell>
          <cell r="O80">
            <v>100</v>
          </cell>
          <cell r="T80" t="str">
            <v>000000000006651</v>
          </cell>
        </row>
        <row r="81">
          <cell r="C81">
            <v>1</v>
          </cell>
          <cell r="G81" t="str">
            <v/>
          </cell>
          <cell r="K81">
            <v>0</v>
          </cell>
          <cell r="L81" t="str">
            <v>持出端材</v>
          </cell>
          <cell r="M81">
            <v>100</v>
          </cell>
          <cell r="O81" t="str">
            <v>C</v>
          </cell>
          <cell r="T81" t="str">
            <v>000000000006651</v>
          </cell>
        </row>
        <row r="82">
          <cell r="G82" t="str">
            <v/>
          </cell>
          <cell r="K82">
            <v>0</v>
          </cell>
          <cell r="L82" t="str">
            <v>α端材</v>
          </cell>
          <cell r="M82">
            <v>0</v>
          </cell>
          <cell r="O82" t="str">
            <v>T</v>
          </cell>
          <cell r="P82">
            <v>0</v>
          </cell>
          <cell r="T82" t="str">
            <v>000000000006651</v>
          </cell>
        </row>
        <row r="83">
          <cell r="C83" t="str">
            <v>採光ルーバーパネルB　L=1996</v>
          </cell>
          <cell r="D83">
            <v>45869</v>
          </cell>
          <cell r="E83" t="str">
            <v>25G18-03</v>
          </cell>
          <cell r="I83" t="str">
            <v>25G18-03</v>
          </cell>
          <cell r="J83">
            <v>12</v>
          </cell>
          <cell r="K83">
            <v>12</v>
          </cell>
          <cell r="L83">
            <v>45904</v>
          </cell>
          <cell r="M83">
            <v>3</v>
          </cell>
          <cell r="O83">
            <v>45905</v>
          </cell>
          <cell r="P83">
            <v>19</v>
          </cell>
          <cell r="T83" t="str">
            <v>000000000006531</v>
          </cell>
        </row>
        <row r="84">
          <cell r="D84">
            <v>45904</v>
          </cell>
          <cell r="E84" t="str">
            <v>25H29-01</v>
          </cell>
          <cell r="F84">
            <v>30</v>
          </cell>
          <cell r="G84">
            <v>1997.3</v>
          </cell>
          <cell r="H84">
            <v>1998</v>
          </cell>
          <cell r="I84" t="str">
            <v>25H29-01</v>
          </cell>
          <cell r="J84">
            <v>300</v>
          </cell>
          <cell r="K84">
            <v>300</v>
          </cell>
          <cell r="L84">
            <v>45905</v>
          </cell>
          <cell r="M84">
            <v>10</v>
          </cell>
          <cell r="O84">
            <v>546</v>
          </cell>
          <cell r="P84">
            <v>47</v>
          </cell>
          <cell r="T84" t="str">
            <v>000000000006531</v>
          </cell>
        </row>
        <row r="85">
          <cell r="C85">
            <v>546</v>
          </cell>
          <cell r="D85">
            <v>45904</v>
          </cell>
          <cell r="E85" t="str">
            <v>25H29-01</v>
          </cell>
          <cell r="F85">
            <v>28</v>
          </cell>
          <cell r="G85">
            <v>1997.04</v>
          </cell>
          <cell r="H85">
            <v>1997.7</v>
          </cell>
          <cell r="I85" t="str">
            <v>25H29-02</v>
          </cell>
          <cell r="J85">
            <v>300</v>
          </cell>
          <cell r="K85">
            <v>300</v>
          </cell>
          <cell r="O85">
            <v>612</v>
          </cell>
          <cell r="T85" t="str">
            <v>000000000006531</v>
          </cell>
        </row>
        <row r="86">
          <cell r="D86">
            <v>45904</v>
          </cell>
          <cell r="E86" t="str">
            <v>25H29-02</v>
          </cell>
          <cell r="F86">
            <v>28</v>
          </cell>
          <cell r="G86">
            <v>1997.04</v>
          </cell>
          <cell r="H86">
            <v>1997.7</v>
          </cell>
          <cell r="K86">
            <v>0</v>
          </cell>
          <cell r="O86">
            <v>66</v>
          </cell>
          <cell r="T86" t="str">
            <v>000000000006531</v>
          </cell>
        </row>
        <row r="87">
          <cell r="C87">
            <v>1</v>
          </cell>
          <cell r="D87">
            <v>45905</v>
          </cell>
          <cell r="E87" t="str">
            <v>25H29-02</v>
          </cell>
          <cell r="F87">
            <v>26</v>
          </cell>
          <cell r="G87">
            <v>1996.78</v>
          </cell>
          <cell r="H87">
            <v>1997.6</v>
          </cell>
          <cell r="K87">
            <v>0</v>
          </cell>
          <cell r="O87">
            <v>66</v>
          </cell>
          <cell r="T87" t="str">
            <v>000000000006531</v>
          </cell>
        </row>
        <row r="88">
          <cell r="C88" t="str">
            <v>上-1</v>
          </cell>
          <cell r="D88">
            <v>45905</v>
          </cell>
          <cell r="E88" t="str">
            <v>25H29-02</v>
          </cell>
          <cell r="F88">
            <v>26</v>
          </cell>
          <cell r="G88">
            <v>1996.78</v>
          </cell>
          <cell r="H88">
            <v>1997.4</v>
          </cell>
          <cell r="K88">
            <v>0</v>
          </cell>
          <cell r="L88" t="str">
            <v>旧品加工</v>
          </cell>
          <cell r="M88">
            <v>12</v>
          </cell>
          <cell r="O88">
            <v>0</v>
          </cell>
          <cell r="T88" t="str">
            <v>000000000006531</v>
          </cell>
        </row>
        <row r="89">
          <cell r="C89">
            <v>13</v>
          </cell>
          <cell r="G89" t="str">
            <v/>
          </cell>
          <cell r="K89">
            <v>0</v>
          </cell>
          <cell r="L89" t="str">
            <v>持出端材</v>
          </cell>
          <cell r="O89" t="str">
            <v>C/M</v>
          </cell>
          <cell r="T89" t="str">
            <v>000000000006531</v>
          </cell>
        </row>
        <row r="90">
          <cell r="G90" t="str">
            <v/>
          </cell>
          <cell r="K90">
            <v>0</v>
          </cell>
          <cell r="L90" t="str">
            <v>α端材</v>
          </cell>
          <cell r="M90">
            <v>0</v>
          </cell>
          <cell r="O90" t="str">
            <v>U/T</v>
          </cell>
          <cell r="P90">
            <v>66</v>
          </cell>
          <cell r="T90" t="str">
            <v>000000000006531</v>
          </cell>
        </row>
        <row r="91">
          <cell r="C91" t="str">
            <v>灯具カバーPC IN 2090　L=840</v>
          </cell>
          <cell r="D91">
            <v>45881</v>
          </cell>
          <cell r="E91" t="str">
            <v>25G30-01</v>
          </cell>
          <cell r="I91" t="str">
            <v>25G30-01</v>
          </cell>
          <cell r="J91">
            <v>7</v>
          </cell>
          <cell r="K91">
            <v>7</v>
          </cell>
          <cell r="L91">
            <v>45905</v>
          </cell>
          <cell r="M91">
            <v>1</v>
          </cell>
          <cell r="O91">
            <v>45905</v>
          </cell>
          <cell r="P91">
            <v>5</v>
          </cell>
          <cell r="T91" t="str">
            <v>000000000006735</v>
          </cell>
        </row>
        <row r="92">
          <cell r="D92">
            <v>45905</v>
          </cell>
          <cell r="E92" t="str">
            <v>25I04-01</v>
          </cell>
          <cell r="G92" t="str">
            <v/>
          </cell>
          <cell r="I92" t="str">
            <v>25I04-01</v>
          </cell>
          <cell r="J92">
            <v>14</v>
          </cell>
          <cell r="K92">
            <v>14</v>
          </cell>
          <cell r="O92">
            <v>16</v>
          </cell>
          <cell r="T92" t="str">
            <v>000000000006735</v>
          </cell>
        </row>
        <row r="93">
          <cell r="C93">
            <v>16</v>
          </cell>
          <cell r="G93" t="str">
            <v/>
          </cell>
          <cell r="K93">
            <v>0</v>
          </cell>
          <cell r="O93">
            <v>21</v>
          </cell>
          <cell r="T93" t="str">
            <v>000000000006735</v>
          </cell>
        </row>
        <row r="94">
          <cell r="G94" t="str">
            <v/>
          </cell>
          <cell r="K94">
            <v>0</v>
          </cell>
          <cell r="O94">
            <v>5</v>
          </cell>
          <cell r="T94" t="str">
            <v>000000000006735</v>
          </cell>
        </row>
        <row r="95">
          <cell r="C95">
            <v>1</v>
          </cell>
          <cell r="G95" t="str">
            <v/>
          </cell>
          <cell r="K95">
            <v>0</v>
          </cell>
          <cell r="O95">
            <v>5</v>
          </cell>
          <cell r="T95" t="str">
            <v>000000000006735</v>
          </cell>
        </row>
        <row r="96">
          <cell r="C96" t="str">
            <v>灯具-2　L＝1996</v>
          </cell>
          <cell r="G96" t="str">
            <v/>
          </cell>
          <cell r="K96">
            <v>0</v>
          </cell>
          <cell r="L96" t="str">
            <v>旧品加工</v>
          </cell>
          <cell r="M96">
            <v>7</v>
          </cell>
          <cell r="O96">
            <v>0</v>
          </cell>
          <cell r="T96" t="str">
            <v>000000000006735</v>
          </cell>
        </row>
        <row r="97">
          <cell r="C97">
            <v>0.5</v>
          </cell>
          <cell r="G97" t="str">
            <v/>
          </cell>
          <cell r="K97">
            <v>0</v>
          </cell>
          <cell r="L97" t="str">
            <v>持出端材</v>
          </cell>
          <cell r="O97" t="str">
            <v>-</v>
          </cell>
          <cell r="T97" t="str">
            <v>000000000006735</v>
          </cell>
        </row>
        <row r="98">
          <cell r="G98" t="str">
            <v/>
          </cell>
          <cell r="K98">
            <v>0</v>
          </cell>
          <cell r="L98" t="str">
            <v>α端材</v>
          </cell>
          <cell r="M98">
            <v>0</v>
          </cell>
          <cell r="O98" t="str">
            <v>M</v>
          </cell>
          <cell r="P98">
            <v>5</v>
          </cell>
          <cell r="T98" t="str">
            <v>000000000006735</v>
          </cell>
        </row>
        <row r="99">
          <cell r="C99" t="str">
            <v>灯具カバーPC IN 2090　L=840</v>
          </cell>
          <cell r="I99">
            <v>0</v>
          </cell>
          <cell r="J99">
            <v>0</v>
          </cell>
          <cell r="K99">
            <v>0</v>
          </cell>
          <cell r="L99">
            <v>45908</v>
          </cell>
          <cell r="M99">
            <v>10</v>
          </cell>
          <cell r="O99">
            <v>45908</v>
          </cell>
          <cell r="P99">
            <v>3</v>
          </cell>
          <cell r="T99" t="str">
            <v>000000000006736</v>
          </cell>
        </row>
        <row r="100">
          <cell r="D100">
            <v>45908</v>
          </cell>
          <cell r="E100" t="str">
            <v>25I04-01</v>
          </cell>
          <cell r="G100" t="str">
            <v/>
          </cell>
          <cell r="I100" t="str">
            <v>25I04-01</v>
          </cell>
          <cell r="J100">
            <v>175</v>
          </cell>
          <cell r="K100">
            <v>175</v>
          </cell>
          <cell r="O100">
            <v>160</v>
          </cell>
          <cell r="P100">
            <v>12</v>
          </cell>
          <cell r="T100" t="str">
            <v>000000000006736</v>
          </cell>
        </row>
        <row r="101">
          <cell r="C101">
            <v>160</v>
          </cell>
          <cell r="G101" t="str">
            <v/>
          </cell>
          <cell r="K101">
            <v>0</v>
          </cell>
          <cell r="O101">
            <v>175</v>
          </cell>
          <cell r="T101" t="str">
            <v>000000000006736</v>
          </cell>
        </row>
        <row r="102">
          <cell r="G102" t="str">
            <v/>
          </cell>
          <cell r="K102">
            <v>0</v>
          </cell>
          <cell r="O102">
            <v>15</v>
          </cell>
          <cell r="T102" t="str">
            <v>000000000006736</v>
          </cell>
        </row>
        <row r="103">
          <cell r="C103">
            <v>1</v>
          </cell>
          <cell r="G103" t="str">
            <v/>
          </cell>
          <cell r="K103">
            <v>0</v>
          </cell>
          <cell r="O103">
            <v>15</v>
          </cell>
          <cell r="T103" t="str">
            <v>000000000006736</v>
          </cell>
        </row>
        <row r="104">
          <cell r="C104" t="str">
            <v>灯具-2　L＝1996</v>
          </cell>
          <cell r="G104" t="str">
            <v/>
          </cell>
          <cell r="K104">
            <v>0</v>
          </cell>
          <cell r="L104" t="str">
            <v>旧品加工</v>
          </cell>
          <cell r="O104">
            <v>0</v>
          </cell>
          <cell r="T104" t="str">
            <v>000000000006736</v>
          </cell>
        </row>
        <row r="105">
          <cell r="C105">
            <v>5</v>
          </cell>
          <cell r="G105" t="str">
            <v/>
          </cell>
          <cell r="K105">
            <v>0</v>
          </cell>
          <cell r="L105" t="str">
            <v>持出端材</v>
          </cell>
          <cell r="O105" t="str">
            <v>-</v>
          </cell>
          <cell r="T105" t="str">
            <v>000000000006736</v>
          </cell>
        </row>
        <row r="106">
          <cell r="G106" t="str">
            <v/>
          </cell>
          <cell r="K106">
            <v>0</v>
          </cell>
          <cell r="L106" t="str">
            <v>α端材</v>
          </cell>
          <cell r="M106">
            <v>0</v>
          </cell>
          <cell r="O106" t="str">
            <v>M/T</v>
          </cell>
          <cell r="P106">
            <v>15</v>
          </cell>
          <cell r="T106" t="str">
            <v>000000000006736</v>
          </cell>
        </row>
        <row r="107">
          <cell r="C107" t="str">
            <v>灯具カバーPC IN 2070　L=1966</v>
          </cell>
          <cell r="D107">
            <v>45887</v>
          </cell>
          <cell r="E107" t="str">
            <v>25H01-01</v>
          </cell>
          <cell r="I107" t="str">
            <v>25H01-01</v>
          </cell>
          <cell r="J107">
            <v>14</v>
          </cell>
          <cell r="K107">
            <v>14</v>
          </cell>
          <cell r="L107">
            <v>45908</v>
          </cell>
          <cell r="M107">
            <v>4</v>
          </cell>
          <cell r="O107">
            <v>45909</v>
          </cell>
          <cell r="P107">
            <v>5</v>
          </cell>
          <cell r="T107" t="str">
            <v>000000000006734</v>
          </cell>
        </row>
        <row r="108">
          <cell r="D108">
            <v>45908</v>
          </cell>
          <cell r="E108" t="str">
            <v>25I05-01</v>
          </cell>
          <cell r="G108" t="str">
            <v/>
          </cell>
          <cell r="I108" t="str">
            <v>25I05-01</v>
          </cell>
          <cell r="J108">
            <v>185</v>
          </cell>
          <cell r="K108">
            <v>185</v>
          </cell>
          <cell r="L108">
            <v>45909</v>
          </cell>
          <cell r="M108">
            <v>4</v>
          </cell>
          <cell r="O108">
            <v>128</v>
          </cell>
          <cell r="P108">
            <v>64</v>
          </cell>
          <cell r="T108" t="str">
            <v>000000000006734</v>
          </cell>
        </row>
        <row r="109">
          <cell r="C109">
            <v>128</v>
          </cell>
          <cell r="D109">
            <v>45909</v>
          </cell>
          <cell r="E109" t="str">
            <v>25I05-01</v>
          </cell>
          <cell r="G109" t="str">
            <v/>
          </cell>
          <cell r="K109">
            <v>0</v>
          </cell>
          <cell r="O109">
            <v>199</v>
          </cell>
          <cell r="T109" t="str">
            <v>000000000006734</v>
          </cell>
        </row>
        <row r="110">
          <cell r="G110" t="str">
            <v/>
          </cell>
          <cell r="K110">
            <v>0</v>
          </cell>
          <cell r="O110">
            <v>71</v>
          </cell>
          <cell r="T110" t="str">
            <v>000000000006734</v>
          </cell>
        </row>
        <row r="111">
          <cell r="C111">
            <v>1</v>
          </cell>
          <cell r="G111" t="str">
            <v/>
          </cell>
          <cell r="K111">
            <v>0</v>
          </cell>
          <cell r="O111">
            <v>71</v>
          </cell>
          <cell r="T111" t="str">
            <v>000000000006734</v>
          </cell>
        </row>
        <row r="112">
          <cell r="C112" t="str">
            <v>灯具-2　L＝1996</v>
          </cell>
          <cell r="G112" t="str">
            <v/>
          </cell>
          <cell r="K112">
            <v>0</v>
          </cell>
          <cell r="L112" t="str">
            <v>旧品加工</v>
          </cell>
          <cell r="M112">
            <v>14</v>
          </cell>
          <cell r="O112">
            <v>0</v>
          </cell>
          <cell r="P112">
            <v>2</v>
          </cell>
          <cell r="T112" t="str">
            <v>000000000006734</v>
          </cell>
        </row>
        <row r="113">
          <cell r="C113">
            <v>8</v>
          </cell>
          <cell r="G113" t="str">
            <v/>
          </cell>
          <cell r="K113">
            <v>0</v>
          </cell>
          <cell r="L113" t="str">
            <v>持出端材</v>
          </cell>
          <cell r="O113" t="str">
            <v>-</v>
          </cell>
          <cell r="T113" t="str">
            <v>000000000006734</v>
          </cell>
        </row>
        <row r="114">
          <cell r="G114" t="str">
            <v/>
          </cell>
          <cell r="K114">
            <v>0</v>
          </cell>
          <cell r="L114" t="str">
            <v>α端材</v>
          </cell>
          <cell r="M114">
            <v>0</v>
          </cell>
          <cell r="O114" t="str">
            <v>C/M/T</v>
          </cell>
          <cell r="P114">
            <v>71</v>
          </cell>
          <cell r="T114" t="str">
            <v>000000000006734</v>
          </cell>
        </row>
        <row r="115">
          <cell r="C115" t="str">
            <v>8FL281304 4910　L=592</v>
          </cell>
          <cell r="D115">
            <v>45898</v>
          </cell>
          <cell r="E115" t="str">
            <v>25H26-02</v>
          </cell>
          <cell r="I115" t="str">
            <v>25H26-02</v>
          </cell>
          <cell r="J115">
            <v>3</v>
          </cell>
          <cell r="K115">
            <v>1</v>
          </cell>
          <cell r="L115">
            <v>45909</v>
          </cell>
          <cell r="M115">
            <v>3</v>
          </cell>
          <cell r="O115">
            <v>45909</v>
          </cell>
          <cell r="P115">
            <v>1</v>
          </cell>
          <cell r="T115" t="str">
            <v>000000000006654</v>
          </cell>
        </row>
        <row r="116">
          <cell r="D116">
            <v>45909</v>
          </cell>
          <cell r="E116" t="str">
            <v>25I05-02</v>
          </cell>
          <cell r="F116">
            <v>30</v>
          </cell>
          <cell r="G116">
            <v>591.88</v>
          </cell>
          <cell r="H116">
            <v>591.72</v>
          </cell>
          <cell r="I116" t="str">
            <v>25I05-02</v>
          </cell>
          <cell r="J116">
            <v>296</v>
          </cell>
          <cell r="K116">
            <v>99</v>
          </cell>
          <cell r="O116">
            <v>300</v>
          </cell>
          <cell r="T116" t="str">
            <v>000000000006654</v>
          </cell>
        </row>
        <row r="117">
          <cell r="C117">
            <v>300</v>
          </cell>
          <cell r="D117">
            <v>45909</v>
          </cell>
          <cell r="E117" t="str">
            <v>25I05-02</v>
          </cell>
          <cell r="F117">
            <v>30</v>
          </cell>
          <cell r="G117">
            <v>591.88</v>
          </cell>
          <cell r="H117">
            <v>591.82000000000005</v>
          </cell>
          <cell r="K117">
            <v>0</v>
          </cell>
          <cell r="O117">
            <v>100</v>
          </cell>
          <cell r="T117" t="str">
            <v>000000000006654</v>
          </cell>
        </row>
        <row r="118">
          <cell r="G118" t="str">
            <v/>
          </cell>
          <cell r="K118">
            <v>0</v>
          </cell>
          <cell r="O118">
            <v>1</v>
          </cell>
          <cell r="T118" t="str">
            <v>000000000006654</v>
          </cell>
        </row>
        <row r="119">
          <cell r="C119">
            <v>3</v>
          </cell>
          <cell r="G119" t="str">
            <v/>
          </cell>
          <cell r="K119">
            <v>0</v>
          </cell>
          <cell r="O119">
            <v>1</v>
          </cell>
          <cell r="T119" t="str">
            <v>000000000006654</v>
          </cell>
        </row>
        <row r="120">
          <cell r="C120" t="str">
            <v>LED-A592</v>
          </cell>
          <cell r="G120" t="str">
            <v/>
          </cell>
          <cell r="K120">
            <v>0</v>
          </cell>
          <cell r="L120" t="str">
            <v>旧品加工</v>
          </cell>
          <cell r="M120">
            <v>4</v>
          </cell>
          <cell r="O120">
            <v>1</v>
          </cell>
          <cell r="T120" t="str">
            <v>000000000006654</v>
          </cell>
        </row>
        <row r="121">
          <cell r="C121">
            <v>3</v>
          </cell>
          <cell r="G121" t="str">
            <v/>
          </cell>
          <cell r="K121">
            <v>0</v>
          </cell>
          <cell r="L121" t="str">
            <v>持出端材</v>
          </cell>
          <cell r="O121" t="str">
            <v>C</v>
          </cell>
          <cell r="T121" t="str">
            <v>000000000006654</v>
          </cell>
        </row>
        <row r="122">
          <cell r="G122" t="str">
            <v/>
          </cell>
          <cell r="K122">
            <v>0</v>
          </cell>
          <cell r="L122" t="str">
            <v>α端材</v>
          </cell>
          <cell r="M122">
            <v>1</v>
          </cell>
          <cell r="O122" t="str">
            <v>T</v>
          </cell>
          <cell r="P122">
            <v>1</v>
          </cell>
          <cell r="T122" t="str">
            <v>000000000006654</v>
          </cell>
        </row>
        <row r="123">
          <cell r="C123" t="str">
            <v>8FL281304 8110　L=444</v>
          </cell>
          <cell r="E123" t="str">
            <v>25G24-06</v>
          </cell>
          <cell r="I123" t="str">
            <v>25G24-06</v>
          </cell>
          <cell r="J123">
            <v>12</v>
          </cell>
          <cell r="K123">
            <v>3</v>
          </cell>
          <cell r="L123">
            <v>45909</v>
          </cell>
          <cell r="M123">
            <v>1</v>
          </cell>
          <cell r="O123">
            <v>45909</v>
          </cell>
          <cell r="T123" t="str">
            <v>000000000006669</v>
          </cell>
        </row>
        <row r="124">
          <cell r="D124">
            <v>45909</v>
          </cell>
          <cell r="E124" t="str">
            <v>25I05-02</v>
          </cell>
          <cell r="F124">
            <v>30</v>
          </cell>
          <cell r="G124">
            <v>443.79</v>
          </cell>
          <cell r="H124">
            <v>443.53</v>
          </cell>
          <cell r="I124" t="str">
            <v>25I05-02</v>
          </cell>
          <cell r="J124">
            <v>86</v>
          </cell>
          <cell r="K124">
            <v>22</v>
          </cell>
          <cell r="O124">
            <v>100</v>
          </cell>
          <cell r="T124" t="str">
            <v>000000000006669</v>
          </cell>
        </row>
        <row r="125">
          <cell r="C125">
            <v>100</v>
          </cell>
          <cell r="D125">
            <v>45909</v>
          </cell>
          <cell r="E125" t="str">
            <v>25I05-02</v>
          </cell>
          <cell r="F125">
            <v>30</v>
          </cell>
          <cell r="G125">
            <v>443.79</v>
          </cell>
          <cell r="H125">
            <v>443.52</v>
          </cell>
          <cell r="K125">
            <v>0</v>
          </cell>
          <cell r="O125">
            <v>25</v>
          </cell>
          <cell r="T125" t="str">
            <v>000000000006669</v>
          </cell>
        </row>
        <row r="126">
          <cell r="G126" t="str">
            <v/>
          </cell>
          <cell r="K126">
            <v>0</v>
          </cell>
          <cell r="O126">
            <v>0</v>
          </cell>
          <cell r="T126" t="str">
            <v>000000000006669</v>
          </cell>
        </row>
        <row r="127">
          <cell r="C127">
            <v>4</v>
          </cell>
          <cell r="G127" t="str">
            <v/>
          </cell>
          <cell r="K127">
            <v>0</v>
          </cell>
          <cell r="O127">
            <v>0</v>
          </cell>
          <cell r="T127" t="str">
            <v>000000000006669</v>
          </cell>
        </row>
        <row r="128">
          <cell r="C128" t="str">
            <v>LED-A444</v>
          </cell>
          <cell r="G128" t="str">
            <v/>
          </cell>
          <cell r="K128">
            <v>0</v>
          </cell>
          <cell r="L128" t="str">
            <v>旧品加工</v>
          </cell>
          <cell r="M128">
            <v>13</v>
          </cell>
          <cell r="O128">
            <v>1</v>
          </cell>
          <cell r="T128" t="str">
            <v>000000000006669</v>
          </cell>
        </row>
        <row r="129">
          <cell r="C129">
            <v>1</v>
          </cell>
          <cell r="G129" t="str">
            <v/>
          </cell>
          <cell r="K129">
            <v>0</v>
          </cell>
          <cell r="L129" t="str">
            <v>持出端材</v>
          </cell>
          <cell r="O129" t="str">
            <v>C</v>
          </cell>
          <cell r="T129" t="str">
            <v>000000000006669</v>
          </cell>
        </row>
        <row r="130">
          <cell r="G130" t="str">
            <v/>
          </cell>
          <cell r="K130">
            <v>0</v>
          </cell>
          <cell r="L130" t="str">
            <v>α端材</v>
          </cell>
          <cell r="M130">
            <v>1</v>
          </cell>
          <cell r="O130" t="str">
            <v>T</v>
          </cell>
          <cell r="P130">
            <v>0</v>
          </cell>
          <cell r="T130" t="str">
            <v>000000000006669</v>
          </cell>
        </row>
        <row r="131">
          <cell r="C131" t="str">
            <v>8FL281304 4810　L=297</v>
          </cell>
          <cell r="D131">
            <v>45904</v>
          </cell>
          <cell r="E131" t="str">
            <v>25H26-02</v>
          </cell>
          <cell r="I131" t="str">
            <v>25H26-02</v>
          </cell>
          <cell r="J131">
            <v>12</v>
          </cell>
          <cell r="K131">
            <v>2</v>
          </cell>
          <cell r="L131">
            <v>45909</v>
          </cell>
          <cell r="M131">
            <v>3</v>
          </cell>
          <cell r="O131">
            <v>45909</v>
          </cell>
          <cell r="T131" t="str">
            <v>000000000006652</v>
          </cell>
        </row>
        <row r="132">
          <cell r="D132">
            <v>45909</v>
          </cell>
          <cell r="E132" t="str">
            <v>25I05-02</v>
          </cell>
          <cell r="F132">
            <v>30</v>
          </cell>
          <cell r="G132">
            <v>297.19</v>
          </cell>
          <cell r="H132">
            <v>297.11</v>
          </cell>
          <cell r="I132" t="str">
            <v>25I05-02</v>
          </cell>
          <cell r="J132">
            <v>280</v>
          </cell>
          <cell r="K132">
            <v>47</v>
          </cell>
          <cell r="O132">
            <v>300</v>
          </cell>
          <cell r="T132" t="str">
            <v>000000000006652</v>
          </cell>
        </row>
        <row r="133">
          <cell r="C133">
            <v>300</v>
          </cell>
          <cell r="D133">
            <v>45909</v>
          </cell>
          <cell r="E133" t="str">
            <v>25I05-02</v>
          </cell>
          <cell r="F133">
            <v>30</v>
          </cell>
          <cell r="G133">
            <v>297.19</v>
          </cell>
          <cell r="H133">
            <v>297.19</v>
          </cell>
          <cell r="K133">
            <v>0</v>
          </cell>
          <cell r="O133">
            <v>49</v>
          </cell>
          <cell r="T133" t="str">
            <v>000000000006652</v>
          </cell>
        </row>
        <row r="134">
          <cell r="G134" t="str">
            <v/>
          </cell>
          <cell r="K134">
            <v>0</v>
          </cell>
          <cell r="O134">
            <v>0</v>
          </cell>
          <cell r="T134" t="str">
            <v>000000000006652</v>
          </cell>
        </row>
        <row r="135">
          <cell r="C135">
            <v>6</v>
          </cell>
          <cell r="G135" t="str">
            <v/>
          </cell>
          <cell r="K135">
            <v>0</v>
          </cell>
          <cell r="O135">
            <v>0</v>
          </cell>
          <cell r="T135" t="str">
            <v>000000000006652</v>
          </cell>
        </row>
        <row r="136">
          <cell r="C136" t="str">
            <v>LED-A300</v>
          </cell>
          <cell r="G136" t="str">
            <v/>
          </cell>
          <cell r="K136">
            <v>0</v>
          </cell>
          <cell r="L136" t="str">
            <v>旧品加工</v>
          </cell>
          <cell r="M136">
            <v>12</v>
          </cell>
          <cell r="O136">
            <v>8</v>
          </cell>
          <cell r="T136" t="str">
            <v>000000000006652</v>
          </cell>
        </row>
        <row r="137">
          <cell r="C137">
            <v>3</v>
          </cell>
          <cell r="G137" t="str">
            <v/>
          </cell>
          <cell r="K137">
            <v>0</v>
          </cell>
          <cell r="L137" t="str">
            <v>持出端材</v>
          </cell>
          <cell r="M137">
            <v>8</v>
          </cell>
          <cell r="O137" t="str">
            <v>C/M</v>
          </cell>
          <cell r="T137" t="str">
            <v>000000000006652</v>
          </cell>
        </row>
        <row r="138">
          <cell r="G138" t="str">
            <v/>
          </cell>
          <cell r="K138">
            <v>0</v>
          </cell>
          <cell r="L138" t="str">
            <v>α端材</v>
          </cell>
          <cell r="M138">
            <v>0</v>
          </cell>
          <cell r="O138" t="str">
            <v>T/U</v>
          </cell>
          <cell r="P138">
            <v>0</v>
          </cell>
          <cell r="T138" t="str">
            <v>000000000006652</v>
          </cell>
        </row>
        <row r="139">
          <cell r="C139" t="str">
            <v>8FL281304 5010　L=888</v>
          </cell>
          <cell r="I139">
            <v>0</v>
          </cell>
          <cell r="J139">
            <v>0</v>
          </cell>
          <cell r="K139">
            <v>0</v>
          </cell>
          <cell r="O139">
            <v>0</v>
          </cell>
          <cell r="T139" t="str">
            <v>000000000006663-2</v>
          </cell>
        </row>
        <row r="140">
          <cell r="G140" t="str">
            <v/>
          </cell>
          <cell r="I140" t="str">
            <v/>
          </cell>
          <cell r="K140">
            <v>0</v>
          </cell>
          <cell r="O140">
            <v>0</v>
          </cell>
          <cell r="T140" t="str">
            <v>000000000006663-2</v>
          </cell>
        </row>
        <row r="141">
          <cell r="C141">
            <v>2000</v>
          </cell>
          <cell r="G141" t="str">
            <v/>
          </cell>
          <cell r="K141">
            <v>0</v>
          </cell>
          <cell r="O141">
            <v>0</v>
          </cell>
          <cell r="T141" t="str">
            <v>000000000006663-2</v>
          </cell>
        </row>
        <row r="142">
          <cell r="G142" t="str">
            <v/>
          </cell>
          <cell r="K142">
            <v>0</v>
          </cell>
          <cell r="O142">
            <v>0</v>
          </cell>
          <cell r="T142" t="str">
            <v>000000000006663-2</v>
          </cell>
        </row>
        <row r="143">
          <cell r="C143">
            <v>2</v>
          </cell>
          <cell r="G143" t="str">
            <v/>
          </cell>
          <cell r="K143">
            <v>0</v>
          </cell>
          <cell r="O143">
            <v>0</v>
          </cell>
          <cell r="T143" t="str">
            <v>000000000006663-2</v>
          </cell>
        </row>
        <row r="144">
          <cell r="C144" t="str">
            <v>LED-A888</v>
          </cell>
          <cell r="G144" t="str">
            <v/>
          </cell>
          <cell r="K144">
            <v>0</v>
          </cell>
          <cell r="L144" t="str">
            <v>旧品加工</v>
          </cell>
          <cell r="O144">
            <v>0</v>
          </cell>
          <cell r="T144" t="str">
            <v>000000000006663-2</v>
          </cell>
        </row>
        <row r="145">
          <cell r="C145">
            <v>0</v>
          </cell>
          <cell r="G145" t="str">
            <v/>
          </cell>
          <cell r="K145">
            <v>0</v>
          </cell>
          <cell r="L145" t="str">
            <v>持出端材</v>
          </cell>
          <cell r="T145" t="str">
            <v>000000000006663-2</v>
          </cell>
        </row>
        <row r="146">
          <cell r="G146" t="str">
            <v/>
          </cell>
          <cell r="K146">
            <v>0</v>
          </cell>
          <cell r="L146" t="str">
            <v>α端材</v>
          </cell>
          <cell r="M146">
            <v>0</v>
          </cell>
          <cell r="P146">
            <v>0</v>
          </cell>
          <cell r="T146" t="str">
            <v>000000000006663-2</v>
          </cell>
        </row>
        <row r="147">
          <cell r="C147" t="str">
            <v>8FL281304 6110　L=1478</v>
          </cell>
          <cell r="I147">
            <v>0</v>
          </cell>
          <cell r="J147">
            <v>0</v>
          </cell>
          <cell r="K147">
            <v>0</v>
          </cell>
          <cell r="O147">
            <v>0</v>
          </cell>
          <cell r="T147" t="str">
            <v>000000000006668</v>
          </cell>
        </row>
        <row r="148">
          <cell r="G148" t="str">
            <v/>
          </cell>
          <cell r="I148" t="str">
            <v/>
          </cell>
          <cell r="K148">
            <v>0</v>
          </cell>
          <cell r="O148">
            <v>0</v>
          </cell>
          <cell r="T148" t="str">
            <v>000000000006668</v>
          </cell>
        </row>
        <row r="149">
          <cell r="C149">
            <v>500</v>
          </cell>
          <cell r="G149" t="str">
            <v/>
          </cell>
          <cell r="K149">
            <v>0</v>
          </cell>
          <cell r="O149">
            <v>0</v>
          </cell>
          <cell r="T149" t="str">
            <v>000000000006668</v>
          </cell>
        </row>
        <row r="150">
          <cell r="G150" t="str">
            <v/>
          </cell>
          <cell r="K150">
            <v>0</v>
          </cell>
          <cell r="O150">
            <v>0</v>
          </cell>
          <cell r="T150" t="str">
            <v>000000000006668</v>
          </cell>
        </row>
        <row r="151">
          <cell r="C151">
            <v>1</v>
          </cell>
          <cell r="G151" t="str">
            <v/>
          </cell>
          <cell r="K151">
            <v>0</v>
          </cell>
          <cell r="O151">
            <v>0</v>
          </cell>
          <cell r="T151" t="str">
            <v>000000000006668</v>
          </cell>
        </row>
        <row r="152">
          <cell r="C152" t="str">
            <v>LED-A1478</v>
          </cell>
          <cell r="G152" t="str">
            <v/>
          </cell>
          <cell r="K152">
            <v>0</v>
          </cell>
          <cell r="L152" t="str">
            <v>旧品加工</v>
          </cell>
          <cell r="O152">
            <v>0</v>
          </cell>
          <cell r="T152" t="str">
            <v>000000000006668</v>
          </cell>
        </row>
        <row r="153">
          <cell r="C153">
            <v>2</v>
          </cell>
          <cell r="G153" t="str">
            <v/>
          </cell>
          <cell r="K153">
            <v>0</v>
          </cell>
          <cell r="L153" t="str">
            <v>持出端材</v>
          </cell>
          <cell r="T153" t="str">
            <v>000000000006668</v>
          </cell>
        </row>
        <row r="154">
          <cell r="G154" t="str">
            <v/>
          </cell>
          <cell r="K154">
            <v>0</v>
          </cell>
          <cell r="L154" t="str">
            <v>α端材</v>
          </cell>
          <cell r="M154">
            <v>0</v>
          </cell>
          <cell r="P154">
            <v>0</v>
          </cell>
          <cell r="T154" t="str">
            <v>000000000006668</v>
          </cell>
        </row>
        <row r="155">
          <cell r="C155" t="str">
            <v>8FL281304 8310　L=748</v>
          </cell>
          <cell r="I155">
            <v>0</v>
          </cell>
          <cell r="J155">
            <v>0</v>
          </cell>
          <cell r="K155">
            <v>0</v>
          </cell>
          <cell r="O155">
            <v>0</v>
          </cell>
          <cell r="T155" t="str">
            <v>000000000006670</v>
          </cell>
        </row>
        <row r="156">
          <cell r="G156" t="str">
            <v/>
          </cell>
          <cell r="I156" t="str">
            <v/>
          </cell>
          <cell r="K156">
            <v>0</v>
          </cell>
          <cell r="O156">
            <v>0</v>
          </cell>
          <cell r="T156" t="str">
            <v>000000000006670</v>
          </cell>
        </row>
        <row r="157">
          <cell r="C157">
            <v>200</v>
          </cell>
          <cell r="G157" t="str">
            <v/>
          </cell>
          <cell r="K157">
            <v>0</v>
          </cell>
          <cell r="O157">
            <v>0</v>
          </cell>
          <cell r="T157" t="str">
            <v>000000000006670</v>
          </cell>
        </row>
        <row r="158">
          <cell r="G158" t="str">
            <v/>
          </cell>
          <cell r="K158">
            <v>0</v>
          </cell>
          <cell r="O158">
            <v>0</v>
          </cell>
          <cell r="T158" t="str">
            <v>000000000006670</v>
          </cell>
        </row>
        <row r="159">
          <cell r="C159">
            <v>2</v>
          </cell>
          <cell r="G159" t="str">
            <v/>
          </cell>
          <cell r="K159">
            <v>0</v>
          </cell>
          <cell r="O159">
            <v>0</v>
          </cell>
          <cell r="T159" t="str">
            <v>000000000006670</v>
          </cell>
        </row>
        <row r="160">
          <cell r="C160" t="str">
            <v>LED-A888</v>
          </cell>
          <cell r="G160" t="str">
            <v/>
          </cell>
          <cell r="K160">
            <v>0</v>
          </cell>
          <cell r="L160" t="str">
            <v>旧品加工</v>
          </cell>
          <cell r="O160">
            <v>0</v>
          </cell>
          <cell r="T160" t="str">
            <v>000000000006670</v>
          </cell>
        </row>
        <row r="161">
          <cell r="C161">
            <v>0</v>
          </cell>
          <cell r="G161" t="str">
            <v/>
          </cell>
          <cell r="K161">
            <v>0</v>
          </cell>
          <cell r="L161" t="str">
            <v>持出端材</v>
          </cell>
          <cell r="T161" t="str">
            <v>000000000006670</v>
          </cell>
        </row>
        <row r="162">
          <cell r="G162" t="str">
            <v/>
          </cell>
          <cell r="K162">
            <v>0</v>
          </cell>
          <cell r="L162" t="str">
            <v>α端材</v>
          </cell>
          <cell r="M162">
            <v>0</v>
          </cell>
          <cell r="P162">
            <v>0</v>
          </cell>
          <cell r="T162" t="str">
            <v>000000000006670</v>
          </cell>
        </row>
        <row r="163">
          <cell r="C163" t="str">
            <v>8FL281304 5010　L=888</v>
          </cell>
          <cell r="I163">
            <v>0</v>
          </cell>
          <cell r="J163">
            <v>0</v>
          </cell>
          <cell r="K163">
            <v>0</v>
          </cell>
          <cell r="O163">
            <v>0</v>
          </cell>
          <cell r="T163" t="str">
            <v>000000000006665</v>
          </cell>
        </row>
        <row r="164">
          <cell r="G164" t="str">
            <v/>
          </cell>
          <cell r="I164" t="str">
            <v/>
          </cell>
          <cell r="K164">
            <v>0</v>
          </cell>
          <cell r="O164">
            <v>0</v>
          </cell>
          <cell r="T164" t="str">
            <v>000000000006665</v>
          </cell>
        </row>
        <row r="165">
          <cell r="C165">
            <v>700</v>
          </cell>
          <cell r="G165" t="str">
            <v/>
          </cell>
          <cell r="K165">
            <v>0</v>
          </cell>
          <cell r="O165">
            <v>0</v>
          </cell>
          <cell r="T165" t="str">
            <v>000000000006665</v>
          </cell>
        </row>
        <row r="166">
          <cell r="G166" t="str">
            <v/>
          </cell>
          <cell r="K166">
            <v>0</v>
          </cell>
          <cell r="O166">
            <v>0</v>
          </cell>
          <cell r="T166" t="str">
            <v>000000000006665</v>
          </cell>
        </row>
        <row r="167">
          <cell r="C167">
            <v>2</v>
          </cell>
          <cell r="G167" t="str">
            <v/>
          </cell>
          <cell r="K167">
            <v>0</v>
          </cell>
          <cell r="O167">
            <v>0</v>
          </cell>
          <cell r="T167" t="str">
            <v>000000000006665</v>
          </cell>
        </row>
        <row r="168">
          <cell r="C168" t="str">
            <v>LED-A888</v>
          </cell>
          <cell r="G168" t="str">
            <v/>
          </cell>
          <cell r="K168">
            <v>0</v>
          </cell>
          <cell r="L168" t="str">
            <v>旧品加工</v>
          </cell>
          <cell r="O168">
            <v>0</v>
          </cell>
          <cell r="T168" t="str">
            <v>000000000006665</v>
          </cell>
        </row>
        <row r="169">
          <cell r="C169">
            <v>0</v>
          </cell>
          <cell r="G169" t="str">
            <v/>
          </cell>
          <cell r="K169">
            <v>0</v>
          </cell>
          <cell r="L169" t="str">
            <v>持出端材</v>
          </cell>
          <cell r="T169" t="str">
            <v>000000000006665</v>
          </cell>
        </row>
        <row r="170">
          <cell r="G170" t="str">
            <v/>
          </cell>
          <cell r="K170">
            <v>0</v>
          </cell>
          <cell r="L170" t="str">
            <v>α端材</v>
          </cell>
          <cell r="M170">
            <v>0</v>
          </cell>
          <cell r="P170">
            <v>0</v>
          </cell>
          <cell r="T170" t="str">
            <v>000000000006665</v>
          </cell>
        </row>
        <row r="171">
          <cell r="C171" t="str">
            <v>8FL281304 5010　L=888</v>
          </cell>
          <cell r="I171">
            <v>0</v>
          </cell>
          <cell r="J171">
            <v>0</v>
          </cell>
          <cell r="K171">
            <v>0</v>
          </cell>
          <cell r="O171">
            <v>0</v>
          </cell>
          <cell r="T171" t="str">
            <v>000000000006666</v>
          </cell>
        </row>
        <row r="172">
          <cell r="G172" t="str">
            <v/>
          </cell>
          <cell r="I172" t="str">
            <v/>
          </cell>
          <cell r="K172">
            <v>0</v>
          </cell>
          <cell r="O172">
            <v>0</v>
          </cell>
          <cell r="T172" t="str">
            <v>000000000006666</v>
          </cell>
        </row>
        <row r="173">
          <cell r="C173">
            <v>2000</v>
          </cell>
          <cell r="G173" t="str">
            <v/>
          </cell>
          <cell r="K173">
            <v>0</v>
          </cell>
          <cell r="O173">
            <v>0</v>
          </cell>
          <cell r="T173" t="str">
            <v>000000000006666</v>
          </cell>
        </row>
        <row r="174">
          <cell r="G174" t="str">
            <v/>
          </cell>
          <cell r="K174">
            <v>0</v>
          </cell>
          <cell r="O174">
            <v>0</v>
          </cell>
          <cell r="T174" t="str">
            <v>000000000006666</v>
          </cell>
        </row>
        <row r="175">
          <cell r="C175">
            <v>2</v>
          </cell>
          <cell r="G175" t="str">
            <v/>
          </cell>
          <cell r="K175">
            <v>0</v>
          </cell>
          <cell r="O175">
            <v>0</v>
          </cell>
          <cell r="T175" t="str">
            <v>000000000006666</v>
          </cell>
        </row>
        <row r="176">
          <cell r="C176" t="str">
            <v>LED-A888</v>
          </cell>
          <cell r="G176" t="str">
            <v/>
          </cell>
          <cell r="K176">
            <v>0</v>
          </cell>
          <cell r="L176" t="str">
            <v>旧品加工</v>
          </cell>
          <cell r="O176">
            <v>0</v>
          </cell>
          <cell r="T176" t="str">
            <v>000000000006666</v>
          </cell>
        </row>
        <row r="177">
          <cell r="C177">
            <v>0</v>
          </cell>
          <cell r="G177" t="str">
            <v/>
          </cell>
          <cell r="K177">
            <v>0</v>
          </cell>
          <cell r="L177" t="str">
            <v>持出端材</v>
          </cell>
          <cell r="T177" t="str">
            <v>000000000006666</v>
          </cell>
        </row>
        <row r="178">
          <cell r="G178" t="str">
            <v/>
          </cell>
          <cell r="K178">
            <v>0</v>
          </cell>
          <cell r="L178" t="str">
            <v>α端材</v>
          </cell>
          <cell r="M178">
            <v>0</v>
          </cell>
          <cell r="P178">
            <v>0</v>
          </cell>
          <cell r="T178" t="str">
            <v>000000000006666</v>
          </cell>
        </row>
        <row r="179">
          <cell r="C179" t="str">
            <v>灯具カバーPC IN 2100　L=1923</v>
          </cell>
          <cell r="I179">
            <v>0</v>
          </cell>
          <cell r="J179">
            <v>0</v>
          </cell>
          <cell r="K179">
            <v>0</v>
          </cell>
          <cell r="O179">
            <v>0</v>
          </cell>
          <cell r="T179" t="str">
            <v>000000000006737-1</v>
          </cell>
        </row>
        <row r="180">
          <cell r="G180" t="str">
            <v/>
          </cell>
          <cell r="I180" t="str">
            <v/>
          </cell>
          <cell r="K180">
            <v>0</v>
          </cell>
          <cell r="O180">
            <v>0</v>
          </cell>
          <cell r="T180" t="str">
            <v>000000000006737-1</v>
          </cell>
        </row>
        <row r="181">
          <cell r="C181">
            <v>80</v>
          </cell>
          <cell r="G181" t="str">
            <v/>
          </cell>
          <cell r="K181">
            <v>0</v>
          </cell>
          <cell r="O181">
            <v>0</v>
          </cell>
          <cell r="T181" t="str">
            <v>000000000006737-1</v>
          </cell>
        </row>
        <row r="182">
          <cell r="G182" t="str">
            <v/>
          </cell>
          <cell r="K182">
            <v>0</v>
          </cell>
          <cell r="O182">
            <v>0</v>
          </cell>
          <cell r="T182" t="str">
            <v>000000000006737-1</v>
          </cell>
        </row>
        <row r="183">
          <cell r="C183">
            <v>1</v>
          </cell>
          <cell r="G183" t="str">
            <v/>
          </cell>
          <cell r="K183">
            <v>0</v>
          </cell>
          <cell r="O183">
            <v>0</v>
          </cell>
          <cell r="T183" t="str">
            <v>000000000006737-1</v>
          </cell>
        </row>
        <row r="184">
          <cell r="C184" t="str">
            <v>灯具-2　L＝1996</v>
          </cell>
          <cell r="G184" t="str">
            <v/>
          </cell>
          <cell r="K184">
            <v>0</v>
          </cell>
          <cell r="L184" t="str">
            <v>旧品加工</v>
          </cell>
          <cell r="O184">
            <v>0</v>
          </cell>
          <cell r="T184" t="str">
            <v>000000000006737-1</v>
          </cell>
        </row>
        <row r="185">
          <cell r="C185">
            <v>0</v>
          </cell>
          <cell r="G185" t="str">
            <v/>
          </cell>
          <cell r="K185">
            <v>0</v>
          </cell>
          <cell r="L185" t="str">
            <v>持出端材</v>
          </cell>
          <cell r="T185" t="str">
            <v>000000000006737-1</v>
          </cell>
        </row>
        <row r="186">
          <cell r="G186" t="str">
            <v/>
          </cell>
          <cell r="K186">
            <v>0</v>
          </cell>
          <cell r="L186" t="str">
            <v>α端材</v>
          </cell>
          <cell r="M186">
            <v>0</v>
          </cell>
          <cell r="P186">
            <v>0</v>
          </cell>
          <cell r="T186" t="str">
            <v>000000000006737-1</v>
          </cell>
        </row>
        <row r="187">
          <cell r="C187" t="str">
            <v>灯具カバーPC IN 2110　L=1815</v>
          </cell>
          <cell r="I187">
            <v>0</v>
          </cell>
          <cell r="J187">
            <v>0</v>
          </cell>
          <cell r="K187">
            <v>0</v>
          </cell>
          <cell r="O187">
            <v>0</v>
          </cell>
          <cell r="T187" t="str">
            <v>000000000006742-1</v>
          </cell>
        </row>
        <row r="188">
          <cell r="G188" t="str">
            <v/>
          </cell>
          <cell r="I188" t="str">
            <v/>
          </cell>
          <cell r="K188">
            <v>0</v>
          </cell>
          <cell r="O188">
            <v>0</v>
          </cell>
          <cell r="T188" t="str">
            <v>000000000006742-1</v>
          </cell>
        </row>
        <row r="189">
          <cell r="C189">
            <v>80</v>
          </cell>
          <cell r="G189" t="str">
            <v/>
          </cell>
          <cell r="K189">
            <v>0</v>
          </cell>
          <cell r="O189">
            <v>0</v>
          </cell>
          <cell r="T189" t="str">
            <v>000000000006742-1</v>
          </cell>
        </row>
        <row r="190">
          <cell r="G190" t="str">
            <v/>
          </cell>
          <cell r="K190">
            <v>0</v>
          </cell>
          <cell r="O190">
            <v>0</v>
          </cell>
          <cell r="T190" t="str">
            <v>000000000006742-1</v>
          </cell>
        </row>
        <row r="191">
          <cell r="C191">
            <v>1</v>
          </cell>
          <cell r="G191" t="str">
            <v/>
          </cell>
          <cell r="K191">
            <v>0</v>
          </cell>
          <cell r="O191">
            <v>0</v>
          </cell>
          <cell r="T191" t="str">
            <v>000000000006742-1</v>
          </cell>
        </row>
        <row r="192">
          <cell r="C192" t="str">
            <v>灯具-2　L＝1996</v>
          </cell>
          <cell r="G192" t="str">
            <v/>
          </cell>
          <cell r="K192">
            <v>0</v>
          </cell>
          <cell r="L192" t="str">
            <v>旧品加工</v>
          </cell>
          <cell r="O192">
            <v>0</v>
          </cell>
          <cell r="T192" t="str">
            <v>000000000006742-1</v>
          </cell>
        </row>
        <row r="193">
          <cell r="C193">
            <v>0</v>
          </cell>
          <cell r="G193" t="str">
            <v/>
          </cell>
          <cell r="K193">
            <v>0</v>
          </cell>
          <cell r="L193" t="str">
            <v>持出端材</v>
          </cell>
          <cell r="T193" t="str">
            <v>000000000006742-1</v>
          </cell>
        </row>
        <row r="194">
          <cell r="G194" t="str">
            <v/>
          </cell>
          <cell r="K194">
            <v>0</v>
          </cell>
          <cell r="L194" t="str">
            <v>α端材</v>
          </cell>
          <cell r="M194">
            <v>0</v>
          </cell>
          <cell r="P194">
            <v>0</v>
          </cell>
          <cell r="T194" t="str">
            <v>000000000006742-1</v>
          </cell>
        </row>
        <row r="195">
          <cell r="C195" t="str">
            <v>灯具カバーPC IN 2130　L=908</v>
          </cell>
          <cell r="I195">
            <v>0</v>
          </cell>
          <cell r="J195">
            <v>0</v>
          </cell>
          <cell r="K195">
            <v>0</v>
          </cell>
          <cell r="O195">
            <v>0</v>
          </cell>
          <cell r="T195" t="str">
            <v>000000000006738</v>
          </cell>
        </row>
        <row r="196">
          <cell r="G196" t="str">
            <v/>
          </cell>
          <cell r="I196" t="str">
            <v/>
          </cell>
          <cell r="K196">
            <v>0</v>
          </cell>
          <cell r="O196">
            <v>0</v>
          </cell>
          <cell r="T196" t="str">
            <v>000000000006738</v>
          </cell>
        </row>
        <row r="197">
          <cell r="C197">
            <v>192</v>
          </cell>
          <cell r="G197" t="str">
            <v/>
          </cell>
          <cell r="K197">
            <v>0</v>
          </cell>
          <cell r="O197">
            <v>0</v>
          </cell>
          <cell r="T197" t="str">
            <v>000000000006738</v>
          </cell>
        </row>
        <row r="198">
          <cell r="G198" t="str">
            <v/>
          </cell>
          <cell r="K198">
            <v>0</v>
          </cell>
          <cell r="O198">
            <v>0</v>
          </cell>
          <cell r="T198" t="str">
            <v>000000000006738</v>
          </cell>
        </row>
        <row r="199">
          <cell r="C199">
            <v>1</v>
          </cell>
          <cell r="G199" t="str">
            <v/>
          </cell>
          <cell r="K199">
            <v>0</v>
          </cell>
          <cell r="O199">
            <v>0</v>
          </cell>
          <cell r="T199" t="str">
            <v>000000000006738</v>
          </cell>
        </row>
        <row r="200">
          <cell r="C200" t="str">
            <v>灯具-1　L=1370</v>
          </cell>
          <cell r="G200" t="str">
            <v/>
          </cell>
          <cell r="K200">
            <v>0</v>
          </cell>
          <cell r="L200" t="str">
            <v>旧品加工</v>
          </cell>
          <cell r="O200">
            <v>0</v>
          </cell>
          <cell r="T200" t="str">
            <v>000000000006738</v>
          </cell>
        </row>
        <row r="201">
          <cell r="C201">
            <v>0</v>
          </cell>
          <cell r="G201" t="str">
            <v/>
          </cell>
          <cell r="K201">
            <v>0</v>
          </cell>
          <cell r="L201" t="str">
            <v>持出端材</v>
          </cell>
          <cell r="T201" t="str">
            <v>000000000006738</v>
          </cell>
        </row>
        <row r="202">
          <cell r="G202" t="str">
            <v/>
          </cell>
          <cell r="K202">
            <v>0</v>
          </cell>
          <cell r="L202" t="str">
            <v>α端材</v>
          </cell>
          <cell r="M202">
            <v>0</v>
          </cell>
          <cell r="P202">
            <v>0</v>
          </cell>
          <cell r="T202" t="str">
            <v>000000000006738</v>
          </cell>
        </row>
        <row r="203">
          <cell r="C203" t="str">
            <v>灯具カバーPC IN 2460　L=1291</v>
          </cell>
          <cell r="I203">
            <v>0</v>
          </cell>
          <cell r="J203">
            <v>0</v>
          </cell>
          <cell r="K203">
            <v>0</v>
          </cell>
          <cell r="O203">
            <v>0</v>
          </cell>
          <cell r="T203" t="str">
            <v>000000000006739</v>
          </cell>
        </row>
        <row r="204">
          <cell r="G204" t="str">
            <v/>
          </cell>
          <cell r="I204" t="str">
            <v/>
          </cell>
          <cell r="K204">
            <v>0</v>
          </cell>
          <cell r="O204">
            <v>0</v>
          </cell>
          <cell r="T204" t="str">
            <v>000000000006739</v>
          </cell>
        </row>
        <row r="205">
          <cell r="C205">
            <v>96</v>
          </cell>
          <cell r="G205" t="str">
            <v/>
          </cell>
          <cell r="K205">
            <v>0</v>
          </cell>
          <cell r="O205">
            <v>0</v>
          </cell>
          <cell r="T205" t="str">
            <v>000000000006739</v>
          </cell>
        </row>
        <row r="206">
          <cell r="G206" t="str">
            <v/>
          </cell>
          <cell r="K206">
            <v>0</v>
          </cell>
          <cell r="O206">
            <v>0</v>
          </cell>
          <cell r="T206" t="str">
            <v>000000000006739</v>
          </cell>
        </row>
        <row r="207">
          <cell r="C207">
            <v>1</v>
          </cell>
          <cell r="G207" t="str">
            <v/>
          </cell>
          <cell r="K207">
            <v>0</v>
          </cell>
          <cell r="O207">
            <v>0</v>
          </cell>
          <cell r="T207" t="str">
            <v>000000000006739</v>
          </cell>
        </row>
        <row r="208">
          <cell r="C208" t="str">
            <v>灯具-1　L=1370</v>
          </cell>
          <cell r="G208" t="str">
            <v/>
          </cell>
          <cell r="K208">
            <v>0</v>
          </cell>
          <cell r="L208" t="str">
            <v>旧品加工</v>
          </cell>
          <cell r="O208">
            <v>0</v>
          </cell>
          <cell r="T208" t="str">
            <v>000000000006739</v>
          </cell>
        </row>
        <row r="209">
          <cell r="C209">
            <v>0</v>
          </cell>
          <cell r="G209" t="str">
            <v/>
          </cell>
          <cell r="K209">
            <v>0</v>
          </cell>
          <cell r="L209" t="str">
            <v>持出端材</v>
          </cell>
          <cell r="T209" t="str">
            <v>000000000006739</v>
          </cell>
        </row>
        <row r="210">
          <cell r="G210" t="str">
            <v/>
          </cell>
          <cell r="K210">
            <v>0</v>
          </cell>
          <cell r="L210" t="str">
            <v>α端材</v>
          </cell>
          <cell r="M210">
            <v>0</v>
          </cell>
          <cell r="P210">
            <v>0</v>
          </cell>
          <cell r="T210" t="str">
            <v>000000000006739</v>
          </cell>
        </row>
        <row r="211">
          <cell r="C211" t="str">
            <v>時間調整</v>
          </cell>
          <cell r="I211">
            <v>0</v>
          </cell>
          <cell r="J211" t="e">
            <v>#DIV/0!</v>
          </cell>
          <cell r="K211" t="e">
            <v>#DIV/0!</v>
          </cell>
          <cell r="O211">
            <v>0</v>
          </cell>
          <cell r="T211" t="str">
            <v/>
          </cell>
        </row>
        <row r="212">
          <cell r="G212" t="str">
            <v/>
          </cell>
          <cell r="I212" t="str">
            <v/>
          </cell>
          <cell r="K212" t="e">
            <v>#DIV/0!</v>
          </cell>
          <cell r="O212" t="e">
            <v>#DIV/0!</v>
          </cell>
          <cell r="T212" t="str">
            <v/>
          </cell>
        </row>
        <row r="213">
          <cell r="G213" t="str">
            <v/>
          </cell>
          <cell r="K213" t="e">
            <v>#DIV/0!</v>
          </cell>
          <cell r="O213" t="str">
            <v/>
          </cell>
          <cell r="T213" t="str">
            <v/>
          </cell>
        </row>
        <row r="214">
          <cell r="G214" t="str">
            <v/>
          </cell>
          <cell r="K214" t="e">
            <v>#DIV/0!</v>
          </cell>
          <cell r="O214" t="str">
            <v/>
          </cell>
          <cell r="T214" t="str">
            <v/>
          </cell>
        </row>
        <row r="215">
          <cell r="G215" t="str">
            <v/>
          </cell>
          <cell r="K215" t="e">
            <v>#DIV/0!</v>
          </cell>
          <cell r="O215">
            <v>0</v>
          </cell>
          <cell r="T215" t="str">
            <v/>
          </cell>
        </row>
        <row r="216">
          <cell r="G216" t="str">
            <v/>
          </cell>
          <cell r="K216" t="e">
            <v>#DIV/0!</v>
          </cell>
          <cell r="L216" t="str">
            <v>旧品加工</v>
          </cell>
          <cell r="O216" t="e">
            <v>#DIV/0!</v>
          </cell>
          <cell r="T216" t="str">
            <v/>
          </cell>
        </row>
        <row r="217">
          <cell r="C217" t="e">
            <v>#N/A</v>
          </cell>
          <cell r="G217" t="str">
            <v/>
          </cell>
          <cell r="K217" t="e">
            <v>#DIV/0!</v>
          </cell>
          <cell r="L217" t="str">
            <v>持出端材</v>
          </cell>
          <cell r="T217" t="str">
            <v/>
          </cell>
        </row>
        <row r="218">
          <cell r="G218" t="str">
            <v/>
          </cell>
          <cell r="K218" t="e">
            <v>#DIV/0!</v>
          </cell>
          <cell r="L218" t="str">
            <v>α端材</v>
          </cell>
          <cell r="M218" t="e">
            <v>#DIV/0!</v>
          </cell>
          <cell r="P218">
            <v>0</v>
          </cell>
          <cell r="T218" t="str">
            <v/>
          </cell>
        </row>
        <row r="219">
          <cell r="C219" t="str">
            <v>PK-59827 L=500</v>
          </cell>
          <cell r="I219">
            <v>0</v>
          </cell>
          <cell r="J219">
            <v>0</v>
          </cell>
          <cell r="K219">
            <v>0</v>
          </cell>
          <cell r="O219">
            <v>0</v>
          </cell>
          <cell r="T219" t="str">
            <v>000000000006874</v>
          </cell>
        </row>
        <row r="220">
          <cell r="G220" t="str">
            <v/>
          </cell>
          <cell r="I220" t="str">
            <v/>
          </cell>
          <cell r="K220">
            <v>0</v>
          </cell>
          <cell r="O220">
            <v>0</v>
          </cell>
          <cell r="T220" t="str">
            <v>000000000006874</v>
          </cell>
        </row>
        <row r="221">
          <cell r="C221">
            <v>750</v>
          </cell>
          <cell r="G221" t="str">
            <v/>
          </cell>
          <cell r="K221">
            <v>0</v>
          </cell>
          <cell r="O221">
            <v>0</v>
          </cell>
          <cell r="T221" t="str">
            <v>000000000006874</v>
          </cell>
        </row>
        <row r="222">
          <cell r="G222" t="str">
            <v/>
          </cell>
          <cell r="K222">
            <v>0</v>
          </cell>
          <cell r="O222">
            <v>0</v>
          </cell>
          <cell r="T222" t="str">
            <v>000000000006874</v>
          </cell>
        </row>
        <row r="223">
          <cell r="C223">
            <v>3</v>
          </cell>
          <cell r="G223" t="str">
            <v/>
          </cell>
          <cell r="K223">
            <v>0</v>
          </cell>
          <cell r="O223">
            <v>0</v>
          </cell>
          <cell r="T223" t="str">
            <v>000000000006874</v>
          </cell>
        </row>
        <row r="224">
          <cell r="C224" t="str">
            <v>PK-59827 L=500用</v>
          </cell>
          <cell r="G224" t="str">
            <v/>
          </cell>
          <cell r="K224">
            <v>0</v>
          </cell>
          <cell r="L224" t="str">
            <v>旧品加工</v>
          </cell>
          <cell r="O224">
            <v>0</v>
          </cell>
          <cell r="T224" t="str">
            <v>000000000006874</v>
          </cell>
        </row>
        <row r="225">
          <cell r="C225">
            <v>0</v>
          </cell>
          <cell r="G225" t="str">
            <v/>
          </cell>
          <cell r="K225">
            <v>0</v>
          </cell>
          <cell r="L225" t="str">
            <v>持出端材</v>
          </cell>
          <cell r="T225" t="str">
            <v>000000000006874</v>
          </cell>
        </row>
        <row r="226">
          <cell r="G226" t="str">
            <v/>
          </cell>
          <cell r="K226">
            <v>0</v>
          </cell>
          <cell r="L226" t="str">
            <v>α端材</v>
          </cell>
          <cell r="M226">
            <v>0</v>
          </cell>
          <cell r="P226">
            <v>0</v>
          </cell>
          <cell r="T226" t="str">
            <v>000000000006874</v>
          </cell>
        </row>
        <row r="227">
          <cell r="I227">
            <v>0</v>
          </cell>
          <cell r="J227" t="e">
            <v>#DIV/0!</v>
          </cell>
          <cell r="K227" t="e">
            <v>#DIV/0!</v>
          </cell>
          <cell r="O227">
            <v>0</v>
          </cell>
          <cell r="T227" t="str">
            <v/>
          </cell>
        </row>
        <row r="228">
          <cell r="G228" t="str">
            <v/>
          </cell>
          <cell r="I228" t="str">
            <v/>
          </cell>
          <cell r="K228" t="e">
            <v>#DIV/0!</v>
          </cell>
          <cell r="O228" t="e">
            <v>#DIV/0!</v>
          </cell>
          <cell r="T228" t="str">
            <v/>
          </cell>
        </row>
        <row r="229">
          <cell r="G229" t="str">
            <v/>
          </cell>
          <cell r="K229" t="e">
            <v>#DIV/0!</v>
          </cell>
          <cell r="O229" t="str">
            <v/>
          </cell>
          <cell r="T229" t="str">
            <v/>
          </cell>
        </row>
        <row r="230">
          <cell r="G230" t="str">
            <v/>
          </cell>
          <cell r="K230" t="e">
            <v>#DIV/0!</v>
          </cell>
          <cell r="O230" t="str">
            <v/>
          </cell>
          <cell r="T230" t="str">
            <v/>
          </cell>
        </row>
        <row r="231">
          <cell r="G231" t="str">
            <v/>
          </cell>
          <cell r="K231" t="e">
            <v>#DIV/0!</v>
          </cell>
          <cell r="O231">
            <v>0</v>
          </cell>
          <cell r="T231" t="str">
            <v/>
          </cell>
        </row>
        <row r="232">
          <cell r="G232" t="str">
            <v/>
          </cell>
          <cell r="K232" t="e">
            <v>#DIV/0!</v>
          </cell>
          <cell r="L232" t="str">
            <v>旧品加工</v>
          </cell>
          <cell r="O232" t="e">
            <v>#DIV/0!</v>
          </cell>
          <cell r="T232" t="str">
            <v/>
          </cell>
        </row>
        <row r="233">
          <cell r="C233" t="e">
            <v>#DIV/0!</v>
          </cell>
          <cell r="G233" t="str">
            <v/>
          </cell>
          <cell r="K233" t="e">
            <v>#DIV/0!</v>
          </cell>
          <cell r="L233" t="str">
            <v>持出端材</v>
          </cell>
          <cell r="T233" t="str">
            <v/>
          </cell>
        </row>
        <row r="234">
          <cell r="G234" t="str">
            <v/>
          </cell>
          <cell r="K234" t="e">
            <v>#DIV/0!</v>
          </cell>
          <cell r="L234" t="str">
            <v>α端材</v>
          </cell>
          <cell r="M234" t="e">
            <v>#DIV/0!</v>
          </cell>
          <cell r="P234">
            <v>0</v>
          </cell>
          <cell r="T234" t="str">
            <v/>
          </cell>
        </row>
        <row r="235">
          <cell r="C235" t="str">
            <v>灯具カバーPC IN 2480　L=954</v>
          </cell>
          <cell r="I235">
            <v>0</v>
          </cell>
          <cell r="J235">
            <v>0</v>
          </cell>
          <cell r="K235">
            <v>0</v>
          </cell>
          <cell r="O235">
            <v>0</v>
          </cell>
          <cell r="T235" t="str">
            <v>000000000006740</v>
          </cell>
        </row>
        <row r="236">
          <cell r="G236" t="str">
            <v/>
          </cell>
          <cell r="I236" t="str">
            <v/>
          </cell>
          <cell r="K236">
            <v>0</v>
          </cell>
          <cell r="O236">
            <v>0</v>
          </cell>
          <cell r="T236" t="str">
            <v>000000000006740</v>
          </cell>
        </row>
        <row r="237">
          <cell r="C237">
            <v>96</v>
          </cell>
          <cell r="G237" t="str">
            <v/>
          </cell>
          <cell r="K237">
            <v>0</v>
          </cell>
          <cell r="O237">
            <v>0</v>
          </cell>
          <cell r="T237" t="str">
            <v>000000000006740</v>
          </cell>
        </row>
        <row r="238">
          <cell r="G238" t="str">
            <v/>
          </cell>
          <cell r="K238">
            <v>0</v>
          </cell>
          <cell r="O238">
            <v>0</v>
          </cell>
          <cell r="T238" t="str">
            <v>000000000006740</v>
          </cell>
        </row>
        <row r="239">
          <cell r="C239">
            <v>1</v>
          </cell>
          <cell r="G239" t="str">
            <v/>
          </cell>
          <cell r="K239">
            <v>0</v>
          </cell>
          <cell r="O239">
            <v>0</v>
          </cell>
          <cell r="T239" t="str">
            <v>000000000006740</v>
          </cell>
        </row>
        <row r="240">
          <cell r="C240" t="str">
            <v>灯具-1　L=1370</v>
          </cell>
          <cell r="G240" t="str">
            <v/>
          </cell>
          <cell r="K240">
            <v>0</v>
          </cell>
          <cell r="L240" t="str">
            <v>旧品加工</v>
          </cell>
          <cell r="O240">
            <v>0</v>
          </cell>
          <cell r="T240" t="str">
            <v>000000000006740</v>
          </cell>
        </row>
        <row r="241">
          <cell r="C241">
            <v>0</v>
          </cell>
          <cell r="G241" t="str">
            <v/>
          </cell>
          <cell r="K241">
            <v>0</v>
          </cell>
          <cell r="L241" t="str">
            <v>持出端材</v>
          </cell>
          <cell r="T241" t="str">
            <v>000000000006740</v>
          </cell>
        </row>
        <row r="242">
          <cell r="G242" t="str">
            <v/>
          </cell>
          <cell r="K242">
            <v>0</v>
          </cell>
          <cell r="L242" t="str">
            <v>α端材</v>
          </cell>
          <cell r="M242">
            <v>0</v>
          </cell>
          <cell r="P242">
            <v>0</v>
          </cell>
          <cell r="T242" t="str">
            <v>000000000006740</v>
          </cell>
        </row>
        <row r="243">
          <cell r="C243" t="str">
            <v>灯具カバーPC IN 2050　L=1183.5</v>
          </cell>
          <cell r="I243">
            <v>0</v>
          </cell>
          <cell r="J243">
            <v>0</v>
          </cell>
          <cell r="K243">
            <v>0</v>
          </cell>
          <cell r="O243">
            <v>0</v>
          </cell>
          <cell r="T243" t="str">
            <v>000000000006733</v>
          </cell>
        </row>
        <row r="244">
          <cell r="G244" t="str">
            <v/>
          </cell>
          <cell r="I244" t="str">
            <v/>
          </cell>
          <cell r="K244">
            <v>0</v>
          </cell>
          <cell r="O244">
            <v>0</v>
          </cell>
          <cell r="T244" t="str">
            <v>000000000006733</v>
          </cell>
        </row>
        <row r="245">
          <cell r="C245">
            <v>196</v>
          </cell>
          <cell r="G245" t="str">
            <v/>
          </cell>
          <cell r="K245">
            <v>0</v>
          </cell>
          <cell r="O245">
            <v>0</v>
          </cell>
          <cell r="T245" t="str">
            <v>000000000006733</v>
          </cell>
        </row>
        <row r="246">
          <cell r="G246" t="str">
            <v/>
          </cell>
          <cell r="K246">
            <v>0</v>
          </cell>
          <cell r="O246">
            <v>0</v>
          </cell>
          <cell r="T246" t="str">
            <v>000000000006733</v>
          </cell>
        </row>
        <row r="247">
          <cell r="C247">
            <v>1</v>
          </cell>
          <cell r="G247" t="str">
            <v/>
          </cell>
          <cell r="K247">
            <v>0</v>
          </cell>
          <cell r="O247">
            <v>0</v>
          </cell>
          <cell r="T247" t="str">
            <v>000000000006733</v>
          </cell>
        </row>
        <row r="248">
          <cell r="C248" t="str">
            <v>灯具-1　L=1370</v>
          </cell>
          <cell r="G248" t="str">
            <v/>
          </cell>
          <cell r="K248">
            <v>0</v>
          </cell>
          <cell r="L248" t="str">
            <v>旧品加工</v>
          </cell>
          <cell r="O248">
            <v>0</v>
          </cell>
          <cell r="T248" t="str">
            <v>000000000006733</v>
          </cell>
        </row>
        <row r="249">
          <cell r="C249">
            <v>0</v>
          </cell>
          <cell r="G249" t="str">
            <v/>
          </cell>
          <cell r="K249">
            <v>0</v>
          </cell>
          <cell r="L249" t="str">
            <v>持出端材</v>
          </cell>
          <cell r="T249" t="str">
            <v>000000000006733</v>
          </cell>
        </row>
        <row r="250">
          <cell r="G250" t="str">
            <v/>
          </cell>
          <cell r="K250">
            <v>0</v>
          </cell>
          <cell r="L250" t="str">
            <v>α端材</v>
          </cell>
          <cell r="M250">
            <v>0</v>
          </cell>
          <cell r="P250">
            <v>0</v>
          </cell>
          <cell r="T250" t="str">
            <v>000000000006733</v>
          </cell>
        </row>
        <row r="251">
          <cell r="C251" t="str">
            <v>灯具カバーPC IN 2490　L=1264</v>
          </cell>
          <cell r="I251">
            <v>0</v>
          </cell>
          <cell r="J251">
            <v>0</v>
          </cell>
          <cell r="K251">
            <v>0</v>
          </cell>
          <cell r="O251">
            <v>0</v>
          </cell>
          <cell r="T251" t="str">
            <v>000000000006741</v>
          </cell>
        </row>
        <row r="252">
          <cell r="G252" t="str">
            <v/>
          </cell>
          <cell r="I252" t="str">
            <v/>
          </cell>
          <cell r="K252">
            <v>0</v>
          </cell>
          <cell r="O252">
            <v>0</v>
          </cell>
          <cell r="T252" t="str">
            <v>000000000006741</v>
          </cell>
        </row>
        <row r="253">
          <cell r="C253">
            <v>96</v>
          </cell>
          <cell r="G253" t="str">
            <v/>
          </cell>
          <cell r="K253">
            <v>0</v>
          </cell>
          <cell r="O253">
            <v>0</v>
          </cell>
          <cell r="T253" t="str">
            <v>000000000006741</v>
          </cell>
        </row>
        <row r="254">
          <cell r="G254" t="str">
            <v/>
          </cell>
          <cell r="K254">
            <v>0</v>
          </cell>
          <cell r="O254">
            <v>0</v>
          </cell>
          <cell r="T254" t="str">
            <v>000000000006741</v>
          </cell>
        </row>
        <row r="255">
          <cell r="C255">
            <v>1</v>
          </cell>
          <cell r="G255" t="str">
            <v/>
          </cell>
          <cell r="K255">
            <v>0</v>
          </cell>
          <cell r="O255">
            <v>0</v>
          </cell>
          <cell r="T255" t="str">
            <v>000000000006741</v>
          </cell>
        </row>
        <row r="256">
          <cell r="C256" t="str">
            <v>灯具-1　L=1370</v>
          </cell>
          <cell r="G256" t="str">
            <v/>
          </cell>
          <cell r="K256">
            <v>0</v>
          </cell>
          <cell r="L256" t="str">
            <v>旧品加工</v>
          </cell>
          <cell r="O256">
            <v>0</v>
          </cell>
          <cell r="T256" t="str">
            <v>000000000006741</v>
          </cell>
        </row>
        <row r="257">
          <cell r="C257">
            <v>0</v>
          </cell>
          <cell r="G257" t="str">
            <v/>
          </cell>
          <cell r="K257">
            <v>0</v>
          </cell>
          <cell r="L257" t="str">
            <v>持出端材</v>
          </cell>
          <cell r="T257" t="str">
            <v>000000000006741</v>
          </cell>
        </row>
        <row r="258">
          <cell r="G258" t="str">
            <v/>
          </cell>
          <cell r="K258">
            <v>0</v>
          </cell>
          <cell r="L258" t="str">
            <v>α端材</v>
          </cell>
          <cell r="M258">
            <v>0</v>
          </cell>
          <cell r="P258">
            <v>0</v>
          </cell>
          <cell r="T258" t="str">
            <v>000000000006741</v>
          </cell>
        </row>
        <row r="259">
          <cell r="C259" t="str">
            <v>灯具カバーPC IN 2110　L=1815</v>
          </cell>
          <cell r="I259">
            <v>0</v>
          </cell>
          <cell r="J259">
            <v>0</v>
          </cell>
          <cell r="K259">
            <v>0</v>
          </cell>
          <cell r="O259">
            <v>0</v>
          </cell>
          <cell r="T259" t="str">
            <v>000000000006742-2</v>
          </cell>
        </row>
        <row r="260">
          <cell r="G260" t="str">
            <v/>
          </cell>
          <cell r="I260" t="str">
            <v/>
          </cell>
          <cell r="K260">
            <v>0</v>
          </cell>
          <cell r="O260">
            <v>0</v>
          </cell>
          <cell r="T260" t="str">
            <v>000000000006742-2</v>
          </cell>
        </row>
        <row r="261">
          <cell r="C261">
            <v>320</v>
          </cell>
          <cell r="G261" t="str">
            <v/>
          </cell>
          <cell r="K261">
            <v>0</v>
          </cell>
          <cell r="O261">
            <v>0</v>
          </cell>
          <cell r="T261" t="str">
            <v>000000000006742-2</v>
          </cell>
        </row>
        <row r="262">
          <cell r="G262" t="str">
            <v/>
          </cell>
          <cell r="K262">
            <v>0</v>
          </cell>
          <cell r="O262">
            <v>0</v>
          </cell>
          <cell r="T262" t="str">
            <v>000000000006742-2</v>
          </cell>
        </row>
        <row r="263">
          <cell r="C263">
            <v>1</v>
          </cell>
          <cell r="G263" t="str">
            <v/>
          </cell>
          <cell r="K263">
            <v>0</v>
          </cell>
          <cell r="O263">
            <v>0</v>
          </cell>
          <cell r="T263" t="str">
            <v>000000000006742-2</v>
          </cell>
        </row>
        <row r="264">
          <cell r="C264" t="str">
            <v>灯具-2　L＝1996</v>
          </cell>
          <cell r="G264" t="str">
            <v/>
          </cell>
          <cell r="K264">
            <v>0</v>
          </cell>
          <cell r="L264" t="str">
            <v>旧品加工</v>
          </cell>
          <cell r="O264">
            <v>0</v>
          </cell>
          <cell r="T264" t="str">
            <v>000000000006742-2</v>
          </cell>
        </row>
        <row r="265">
          <cell r="C265">
            <v>0</v>
          </cell>
          <cell r="G265" t="str">
            <v/>
          </cell>
          <cell r="K265">
            <v>0</v>
          </cell>
          <cell r="L265" t="str">
            <v>持出端材</v>
          </cell>
          <cell r="T265" t="str">
            <v>000000000006742-2</v>
          </cell>
        </row>
        <row r="266">
          <cell r="G266" t="str">
            <v/>
          </cell>
          <cell r="K266">
            <v>0</v>
          </cell>
          <cell r="L266" t="str">
            <v>α端材</v>
          </cell>
          <cell r="M266">
            <v>0</v>
          </cell>
          <cell r="P266">
            <v>0</v>
          </cell>
          <cell r="T266" t="str">
            <v>000000000006742-2</v>
          </cell>
        </row>
        <row r="267">
          <cell r="I267">
            <v>0</v>
          </cell>
          <cell r="J267" t="e">
            <v>#DIV/0!</v>
          </cell>
          <cell r="K267" t="e">
            <v>#DIV/0!</v>
          </cell>
          <cell r="O267">
            <v>0</v>
          </cell>
          <cell r="T267" t="str">
            <v/>
          </cell>
        </row>
        <row r="268">
          <cell r="G268" t="str">
            <v/>
          </cell>
          <cell r="I268" t="str">
            <v/>
          </cell>
          <cell r="K268" t="e">
            <v>#DIV/0!</v>
          </cell>
          <cell r="O268" t="e">
            <v>#DIV/0!</v>
          </cell>
          <cell r="T268" t="str">
            <v/>
          </cell>
        </row>
        <row r="269">
          <cell r="G269" t="str">
            <v/>
          </cell>
          <cell r="K269" t="e">
            <v>#DIV/0!</v>
          </cell>
          <cell r="O269" t="str">
            <v/>
          </cell>
          <cell r="T269" t="str">
            <v/>
          </cell>
        </row>
        <row r="270">
          <cell r="G270" t="str">
            <v/>
          </cell>
          <cell r="K270" t="e">
            <v>#DIV/0!</v>
          </cell>
          <cell r="O270" t="str">
            <v/>
          </cell>
          <cell r="T270" t="str">
            <v/>
          </cell>
        </row>
        <row r="271">
          <cell r="G271" t="str">
            <v/>
          </cell>
          <cell r="K271" t="e">
            <v>#DIV/0!</v>
          </cell>
          <cell r="O271">
            <v>0</v>
          </cell>
          <cell r="T271" t="str">
            <v/>
          </cell>
        </row>
        <row r="272">
          <cell r="G272" t="str">
            <v/>
          </cell>
          <cell r="K272" t="e">
            <v>#DIV/0!</v>
          </cell>
          <cell r="L272" t="str">
            <v>旧品加工</v>
          </cell>
          <cell r="O272" t="e">
            <v>#DIV/0!</v>
          </cell>
          <cell r="T272" t="str">
            <v/>
          </cell>
        </row>
        <row r="273">
          <cell r="C273" t="e">
            <v>#DIV/0!</v>
          </cell>
          <cell r="G273" t="str">
            <v/>
          </cell>
          <cell r="K273" t="e">
            <v>#DIV/0!</v>
          </cell>
          <cell r="L273" t="str">
            <v>持出端材</v>
          </cell>
          <cell r="T273" t="str">
            <v/>
          </cell>
        </row>
        <row r="274">
          <cell r="G274" t="str">
            <v/>
          </cell>
          <cell r="K274" t="e">
            <v>#DIV/0!</v>
          </cell>
          <cell r="L274" t="str">
            <v>α端材</v>
          </cell>
          <cell r="M274" t="e">
            <v>#DIV/0!</v>
          </cell>
          <cell r="P274">
            <v>0</v>
          </cell>
          <cell r="T274" t="str">
            <v/>
          </cell>
        </row>
        <row r="275">
          <cell r="C275" t="str">
            <v>PK-59827 L=700</v>
          </cell>
          <cell r="I275">
            <v>0</v>
          </cell>
          <cell r="J275">
            <v>0</v>
          </cell>
          <cell r="K275">
            <v>0</v>
          </cell>
          <cell r="O275">
            <v>0</v>
          </cell>
          <cell r="T275" t="str">
            <v>000000000006875</v>
          </cell>
        </row>
        <row r="276">
          <cell r="G276" t="str">
            <v/>
          </cell>
          <cell r="I276" t="str">
            <v/>
          </cell>
          <cell r="K276">
            <v>0</v>
          </cell>
          <cell r="O276">
            <v>0</v>
          </cell>
          <cell r="T276" t="str">
            <v>000000000006875</v>
          </cell>
        </row>
        <row r="277">
          <cell r="C277">
            <v>1100</v>
          </cell>
          <cell r="G277" t="str">
            <v/>
          </cell>
          <cell r="K277">
            <v>0</v>
          </cell>
          <cell r="O277">
            <v>0</v>
          </cell>
          <cell r="T277" t="str">
            <v>000000000006875</v>
          </cell>
        </row>
        <row r="278">
          <cell r="G278" t="str">
            <v/>
          </cell>
          <cell r="K278">
            <v>0</v>
          </cell>
          <cell r="O278">
            <v>0</v>
          </cell>
          <cell r="T278" t="str">
            <v>000000000006875</v>
          </cell>
        </row>
        <row r="279">
          <cell r="C279">
            <v>2</v>
          </cell>
          <cell r="G279" t="str">
            <v/>
          </cell>
          <cell r="K279">
            <v>0</v>
          </cell>
          <cell r="O279">
            <v>0</v>
          </cell>
          <cell r="T279" t="str">
            <v>000000000006875</v>
          </cell>
        </row>
        <row r="280">
          <cell r="C280" t="str">
            <v>PK-59827 L=700用</v>
          </cell>
          <cell r="G280" t="str">
            <v/>
          </cell>
          <cell r="K280">
            <v>0</v>
          </cell>
          <cell r="L280" t="str">
            <v>旧品加工</v>
          </cell>
          <cell r="O280">
            <v>0</v>
          </cell>
          <cell r="T280" t="str">
            <v>000000000006875</v>
          </cell>
        </row>
        <row r="281">
          <cell r="C281">
            <v>0</v>
          </cell>
          <cell r="G281" t="str">
            <v/>
          </cell>
          <cell r="K281">
            <v>0</v>
          </cell>
          <cell r="L281" t="str">
            <v>持出端材</v>
          </cell>
          <cell r="T281" t="str">
            <v>000000000006875</v>
          </cell>
        </row>
        <row r="282">
          <cell r="G282" t="str">
            <v/>
          </cell>
          <cell r="K282">
            <v>0</v>
          </cell>
          <cell r="L282" t="str">
            <v>α端材</v>
          </cell>
          <cell r="M282">
            <v>0</v>
          </cell>
          <cell r="P282">
            <v>0</v>
          </cell>
          <cell r="T282" t="str">
            <v>000000000006875</v>
          </cell>
        </row>
        <row r="283">
          <cell r="I283">
            <v>0</v>
          </cell>
          <cell r="J283" t="e">
            <v>#DIV/0!</v>
          </cell>
          <cell r="K283" t="e">
            <v>#DIV/0!</v>
          </cell>
          <cell r="O283">
            <v>0</v>
          </cell>
          <cell r="T283" t="str">
            <v/>
          </cell>
        </row>
        <row r="284">
          <cell r="G284" t="str">
            <v/>
          </cell>
          <cell r="I284" t="str">
            <v/>
          </cell>
          <cell r="K284" t="e">
            <v>#DIV/0!</v>
          </cell>
          <cell r="O284" t="e">
            <v>#DIV/0!</v>
          </cell>
          <cell r="T284" t="str">
            <v/>
          </cell>
        </row>
        <row r="285">
          <cell r="G285" t="str">
            <v/>
          </cell>
          <cell r="K285" t="e">
            <v>#DIV/0!</v>
          </cell>
          <cell r="O285" t="str">
            <v/>
          </cell>
          <cell r="T285" t="str">
            <v/>
          </cell>
        </row>
        <row r="286">
          <cell r="G286" t="str">
            <v/>
          </cell>
          <cell r="K286" t="e">
            <v>#DIV/0!</v>
          </cell>
          <cell r="O286" t="str">
            <v/>
          </cell>
          <cell r="T286" t="str">
            <v/>
          </cell>
        </row>
        <row r="287">
          <cell r="G287" t="str">
            <v/>
          </cell>
          <cell r="K287" t="e">
            <v>#DIV/0!</v>
          </cell>
          <cell r="O287">
            <v>0</v>
          </cell>
          <cell r="T287" t="str">
            <v/>
          </cell>
        </row>
        <row r="288">
          <cell r="G288" t="str">
            <v/>
          </cell>
          <cell r="K288" t="e">
            <v>#DIV/0!</v>
          </cell>
          <cell r="L288" t="str">
            <v>旧品加工</v>
          </cell>
          <cell r="O288" t="e">
            <v>#DIV/0!</v>
          </cell>
          <cell r="T288" t="str">
            <v/>
          </cell>
        </row>
        <row r="289">
          <cell r="C289" t="e">
            <v>#DIV/0!</v>
          </cell>
          <cell r="G289" t="str">
            <v/>
          </cell>
          <cell r="K289" t="e">
            <v>#DIV/0!</v>
          </cell>
          <cell r="L289" t="str">
            <v>持出端材</v>
          </cell>
          <cell r="T289" t="str">
            <v/>
          </cell>
        </row>
        <row r="290">
          <cell r="G290" t="str">
            <v/>
          </cell>
          <cell r="K290" t="e">
            <v>#DIV/0!</v>
          </cell>
          <cell r="L290" t="str">
            <v>α端材</v>
          </cell>
          <cell r="M290" t="e">
            <v>#DIV/0!</v>
          </cell>
          <cell r="P290">
            <v>0</v>
          </cell>
          <cell r="T290" t="str">
            <v/>
          </cell>
        </row>
        <row r="291">
          <cell r="C291" t="str">
            <v>灯具カバーPC IN 2100　L=1923</v>
          </cell>
          <cell r="I291">
            <v>0</v>
          </cell>
          <cell r="J291">
            <v>0</v>
          </cell>
          <cell r="K291">
            <v>0</v>
          </cell>
          <cell r="O291">
            <v>0</v>
          </cell>
          <cell r="T291" t="str">
            <v>000000000006737-2</v>
          </cell>
        </row>
        <row r="292">
          <cell r="G292" t="str">
            <v/>
          </cell>
          <cell r="I292" t="str">
            <v/>
          </cell>
          <cell r="K292">
            <v>0</v>
          </cell>
          <cell r="O292">
            <v>0</v>
          </cell>
          <cell r="T292" t="str">
            <v>000000000006737-2</v>
          </cell>
        </row>
        <row r="293">
          <cell r="C293">
            <v>320</v>
          </cell>
          <cell r="G293" t="str">
            <v/>
          </cell>
          <cell r="K293">
            <v>0</v>
          </cell>
          <cell r="O293">
            <v>0</v>
          </cell>
          <cell r="T293" t="str">
            <v>000000000006737-2</v>
          </cell>
        </row>
        <row r="294">
          <cell r="G294" t="str">
            <v/>
          </cell>
          <cell r="K294">
            <v>0</v>
          </cell>
          <cell r="O294">
            <v>0</v>
          </cell>
          <cell r="T294" t="str">
            <v>000000000006737-2</v>
          </cell>
        </row>
        <row r="295">
          <cell r="C295">
            <v>1</v>
          </cell>
          <cell r="G295" t="str">
            <v/>
          </cell>
          <cell r="K295">
            <v>0</v>
          </cell>
          <cell r="O295">
            <v>0</v>
          </cell>
          <cell r="T295" t="str">
            <v>000000000006737-2</v>
          </cell>
        </row>
        <row r="296">
          <cell r="C296" t="str">
            <v>灯具-2　L＝1996</v>
          </cell>
          <cell r="G296" t="str">
            <v/>
          </cell>
          <cell r="K296">
            <v>0</v>
          </cell>
          <cell r="L296" t="str">
            <v>旧品加工</v>
          </cell>
          <cell r="O296">
            <v>0</v>
          </cell>
          <cell r="T296" t="str">
            <v>000000000006737-2</v>
          </cell>
        </row>
        <row r="297">
          <cell r="C297">
            <v>0</v>
          </cell>
          <cell r="G297" t="str">
            <v/>
          </cell>
          <cell r="K297">
            <v>0</v>
          </cell>
          <cell r="L297" t="str">
            <v>持出端材</v>
          </cell>
          <cell r="T297" t="str">
            <v>000000000006737-2</v>
          </cell>
        </row>
        <row r="298">
          <cell r="G298" t="str">
            <v/>
          </cell>
          <cell r="K298">
            <v>0</v>
          </cell>
          <cell r="L298" t="str">
            <v>α端材</v>
          </cell>
          <cell r="M298">
            <v>0</v>
          </cell>
          <cell r="P298">
            <v>0</v>
          </cell>
          <cell r="T298" t="str">
            <v>000000000006737-2</v>
          </cell>
        </row>
        <row r="299">
          <cell r="C299" t="str">
            <v>8FL281304 4810　L=297</v>
          </cell>
          <cell r="I299">
            <v>0</v>
          </cell>
          <cell r="J299">
            <v>0</v>
          </cell>
          <cell r="K299">
            <v>0</v>
          </cell>
          <cell r="O299">
            <v>0</v>
          </cell>
          <cell r="T299" t="str">
            <v>000000000007052</v>
          </cell>
        </row>
        <row r="300">
          <cell r="G300" t="str">
            <v/>
          </cell>
          <cell r="I300" t="str">
            <v/>
          </cell>
          <cell r="K300">
            <v>0</v>
          </cell>
          <cell r="O300">
            <v>0</v>
          </cell>
          <cell r="T300" t="str">
            <v>000000000007052</v>
          </cell>
        </row>
        <row r="301">
          <cell r="C301">
            <v>300</v>
          </cell>
          <cell r="G301" t="str">
            <v/>
          </cell>
          <cell r="K301">
            <v>0</v>
          </cell>
          <cell r="O301">
            <v>0</v>
          </cell>
          <cell r="T301" t="str">
            <v>000000000007052</v>
          </cell>
        </row>
        <row r="302">
          <cell r="G302" t="str">
            <v/>
          </cell>
          <cell r="K302">
            <v>0</v>
          </cell>
          <cell r="O302">
            <v>0</v>
          </cell>
          <cell r="T302" t="str">
            <v>000000000007052</v>
          </cell>
        </row>
        <row r="303">
          <cell r="C303">
            <v>6</v>
          </cell>
          <cell r="G303" t="str">
            <v/>
          </cell>
          <cell r="K303">
            <v>0</v>
          </cell>
          <cell r="O303">
            <v>0</v>
          </cell>
          <cell r="T303" t="str">
            <v>000000000007052</v>
          </cell>
        </row>
        <row r="304">
          <cell r="C304" t="str">
            <v>LED-A300</v>
          </cell>
          <cell r="G304" t="str">
            <v/>
          </cell>
          <cell r="K304">
            <v>0</v>
          </cell>
          <cell r="L304" t="str">
            <v>旧品加工</v>
          </cell>
          <cell r="O304">
            <v>0</v>
          </cell>
          <cell r="T304" t="str">
            <v>000000000007052</v>
          </cell>
        </row>
        <row r="305">
          <cell r="C305">
            <v>0</v>
          </cell>
          <cell r="G305" t="str">
            <v/>
          </cell>
          <cell r="K305">
            <v>0</v>
          </cell>
          <cell r="L305" t="str">
            <v>持出端材</v>
          </cell>
          <cell r="T305" t="str">
            <v>000000000007052</v>
          </cell>
        </row>
        <row r="306">
          <cell r="G306" t="str">
            <v/>
          </cell>
          <cell r="K306">
            <v>0</v>
          </cell>
          <cell r="L306" t="str">
            <v>α端材</v>
          </cell>
          <cell r="M306">
            <v>0</v>
          </cell>
          <cell r="P306">
            <v>0</v>
          </cell>
          <cell r="T306" t="str">
            <v>000000000007052</v>
          </cell>
        </row>
        <row r="307">
          <cell r="C307" t="str">
            <v>8FL281304 4910　L=592</v>
          </cell>
          <cell r="I307">
            <v>0</v>
          </cell>
          <cell r="J307">
            <v>0</v>
          </cell>
          <cell r="K307">
            <v>0</v>
          </cell>
          <cell r="O307">
            <v>0</v>
          </cell>
          <cell r="T307" t="str">
            <v>000000000007054</v>
          </cell>
        </row>
        <row r="308">
          <cell r="G308" t="str">
            <v/>
          </cell>
          <cell r="I308" t="str">
            <v/>
          </cell>
          <cell r="K308">
            <v>0</v>
          </cell>
          <cell r="O308">
            <v>0</v>
          </cell>
          <cell r="T308" t="str">
            <v>000000000007054</v>
          </cell>
        </row>
        <row r="309">
          <cell r="C309">
            <v>300</v>
          </cell>
          <cell r="G309" t="str">
            <v/>
          </cell>
          <cell r="K309">
            <v>0</v>
          </cell>
          <cell r="O309">
            <v>0</v>
          </cell>
          <cell r="T309" t="str">
            <v>000000000007054</v>
          </cell>
        </row>
        <row r="310">
          <cell r="G310" t="str">
            <v/>
          </cell>
          <cell r="K310">
            <v>0</v>
          </cell>
          <cell r="O310">
            <v>0</v>
          </cell>
          <cell r="T310" t="str">
            <v>000000000007054</v>
          </cell>
        </row>
        <row r="311">
          <cell r="C311">
            <v>3</v>
          </cell>
          <cell r="G311" t="str">
            <v/>
          </cell>
          <cell r="K311">
            <v>0</v>
          </cell>
          <cell r="O311">
            <v>0</v>
          </cell>
          <cell r="T311" t="str">
            <v>000000000007054</v>
          </cell>
        </row>
        <row r="312">
          <cell r="C312" t="str">
            <v>LED-A592</v>
          </cell>
          <cell r="G312" t="str">
            <v/>
          </cell>
          <cell r="K312">
            <v>0</v>
          </cell>
          <cell r="L312" t="str">
            <v>旧品加工</v>
          </cell>
          <cell r="O312">
            <v>0</v>
          </cell>
          <cell r="T312" t="str">
            <v>000000000007054</v>
          </cell>
        </row>
        <row r="313">
          <cell r="C313">
            <v>0</v>
          </cell>
          <cell r="G313" t="str">
            <v/>
          </cell>
          <cell r="K313">
            <v>0</v>
          </cell>
          <cell r="L313" t="str">
            <v>持出端材</v>
          </cell>
          <cell r="T313" t="str">
            <v>000000000007054</v>
          </cell>
        </row>
        <row r="314">
          <cell r="G314" t="str">
            <v/>
          </cell>
          <cell r="K314">
            <v>0</v>
          </cell>
          <cell r="L314" t="str">
            <v>α端材</v>
          </cell>
          <cell r="M314">
            <v>0</v>
          </cell>
          <cell r="P314">
            <v>0</v>
          </cell>
          <cell r="T314" t="str">
            <v>000000000007054</v>
          </cell>
        </row>
        <row r="315">
          <cell r="C315" t="str">
            <v>8FL281304 5010　L=888</v>
          </cell>
          <cell r="I315">
            <v>0</v>
          </cell>
          <cell r="J315">
            <v>0</v>
          </cell>
          <cell r="K315">
            <v>0</v>
          </cell>
          <cell r="O315">
            <v>0</v>
          </cell>
          <cell r="T315" t="str">
            <v>000000000007060</v>
          </cell>
        </row>
        <row r="316">
          <cell r="G316" t="str">
            <v/>
          </cell>
          <cell r="I316" t="str">
            <v/>
          </cell>
          <cell r="K316">
            <v>0</v>
          </cell>
          <cell r="O316">
            <v>0</v>
          </cell>
          <cell r="T316" t="str">
            <v>000000000007060</v>
          </cell>
        </row>
        <row r="317">
          <cell r="C317">
            <v>3000</v>
          </cell>
          <cell r="G317" t="str">
            <v/>
          </cell>
          <cell r="K317">
            <v>0</v>
          </cell>
          <cell r="O317">
            <v>0</v>
          </cell>
          <cell r="T317" t="str">
            <v>000000000007060</v>
          </cell>
        </row>
        <row r="318">
          <cell r="G318" t="str">
            <v/>
          </cell>
          <cell r="K318">
            <v>0</v>
          </cell>
          <cell r="O318">
            <v>0</v>
          </cell>
          <cell r="T318" t="str">
            <v>000000000007060</v>
          </cell>
        </row>
        <row r="319">
          <cell r="C319">
            <v>2</v>
          </cell>
          <cell r="G319" t="str">
            <v/>
          </cell>
          <cell r="K319">
            <v>0</v>
          </cell>
          <cell r="O319">
            <v>0</v>
          </cell>
          <cell r="T319" t="str">
            <v>000000000007060</v>
          </cell>
        </row>
        <row r="320">
          <cell r="C320" t="str">
            <v>LED-A888</v>
          </cell>
          <cell r="G320" t="str">
            <v/>
          </cell>
          <cell r="K320">
            <v>0</v>
          </cell>
          <cell r="L320" t="str">
            <v>旧品加工</v>
          </cell>
          <cell r="O320">
            <v>0</v>
          </cell>
          <cell r="T320" t="str">
            <v>000000000007060</v>
          </cell>
        </row>
        <row r="321">
          <cell r="C321">
            <v>0</v>
          </cell>
          <cell r="G321" t="str">
            <v/>
          </cell>
          <cell r="K321">
            <v>0</v>
          </cell>
          <cell r="L321" t="str">
            <v>持出端材</v>
          </cell>
          <cell r="T321" t="str">
            <v>000000000007060</v>
          </cell>
        </row>
        <row r="322">
          <cell r="G322" t="str">
            <v/>
          </cell>
          <cell r="K322">
            <v>0</v>
          </cell>
          <cell r="L322" t="str">
            <v>α端材</v>
          </cell>
          <cell r="M322">
            <v>0</v>
          </cell>
          <cell r="P322">
            <v>0</v>
          </cell>
          <cell r="T322" t="str">
            <v>000000000007060</v>
          </cell>
        </row>
        <row r="323">
          <cell r="C323" t="str">
            <v>8FL281304 8310　L=748</v>
          </cell>
          <cell r="I323">
            <v>0</v>
          </cell>
          <cell r="J323">
            <v>0</v>
          </cell>
          <cell r="K323">
            <v>0</v>
          </cell>
          <cell r="O323">
            <v>0</v>
          </cell>
          <cell r="T323" t="str">
            <v>000000000007056</v>
          </cell>
        </row>
        <row r="324">
          <cell r="G324" t="str">
            <v/>
          </cell>
          <cell r="I324" t="str">
            <v/>
          </cell>
          <cell r="K324">
            <v>0</v>
          </cell>
          <cell r="O324">
            <v>0</v>
          </cell>
          <cell r="T324" t="str">
            <v>000000000007056</v>
          </cell>
        </row>
        <row r="325">
          <cell r="C325">
            <v>200</v>
          </cell>
          <cell r="G325" t="str">
            <v/>
          </cell>
          <cell r="K325">
            <v>0</v>
          </cell>
          <cell r="O325">
            <v>0</v>
          </cell>
          <cell r="T325" t="str">
            <v>000000000007056</v>
          </cell>
        </row>
        <row r="326">
          <cell r="G326" t="str">
            <v/>
          </cell>
          <cell r="K326">
            <v>0</v>
          </cell>
          <cell r="O326">
            <v>0</v>
          </cell>
          <cell r="T326" t="str">
            <v>000000000007056</v>
          </cell>
        </row>
        <row r="327">
          <cell r="C327">
            <v>2</v>
          </cell>
          <cell r="G327" t="str">
            <v/>
          </cell>
          <cell r="K327">
            <v>0</v>
          </cell>
          <cell r="O327">
            <v>0</v>
          </cell>
          <cell r="T327" t="str">
            <v>000000000007056</v>
          </cell>
        </row>
        <row r="328">
          <cell r="C328" t="str">
            <v>LED-A888</v>
          </cell>
          <cell r="G328" t="str">
            <v/>
          </cell>
          <cell r="K328">
            <v>0</v>
          </cell>
          <cell r="L328" t="str">
            <v>旧品加工</v>
          </cell>
          <cell r="O328">
            <v>0</v>
          </cell>
          <cell r="T328" t="str">
            <v>000000000007056</v>
          </cell>
        </row>
        <row r="329">
          <cell r="C329">
            <v>0</v>
          </cell>
          <cell r="G329" t="str">
            <v/>
          </cell>
          <cell r="K329">
            <v>0</v>
          </cell>
          <cell r="L329" t="str">
            <v>持出端材</v>
          </cell>
          <cell r="T329" t="str">
            <v>000000000007056</v>
          </cell>
        </row>
        <row r="330">
          <cell r="G330" t="str">
            <v/>
          </cell>
          <cell r="K330">
            <v>0</v>
          </cell>
          <cell r="L330" t="str">
            <v>α端材</v>
          </cell>
          <cell r="M330">
            <v>0</v>
          </cell>
          <cell r="P330">
            <v>0</v>
          </cell>
          <cell r="T330" t="str">
            <v>000000000007056</v>
          </cell>
        </row>
        <row r="331">
          <cell r="C331" t="str">
            <v>8FL281304 4810　L=297</v>
          </cell>
          <cell r="I331">
            <v>0</v>
          </cell>
          <cell r="J331">
            <v>0</v>
          </cell>
          <cell r="K331">
            <v>0</v>
          </cell>
          <cell r="O331">
            <v>0</v>
          </cell>
          <cell r="T331" t="str">
            <v>000000000007053</v>
          </cell>
        </row>
        <row r="332">
          <cell r="G332" t="str">
            <v/>
          </cell>
          <cell r="I332" t="str">
            <v/>
          </cell>
          <cell r="K332">
            <v>0</v>
          </cell>
          <cell r="O332">
            <v>0</v>
          </cell>
          <cell r="T332" t="str">
            <v>000000000007053</v>
          </cell>
        </row>
        <row r="333">
          <cell r="C333">
            <v>300</v>
          </cell>
          <cell r="G333" t="str">
            <v/>
          </cell>
          <cell r="K333">
            <v>0</v>
          </cell>
          <cell r="O333">
            <v>0</v>
          </cell>
          <cell r="T333" t="str">
            <v>000000000007053</v>
          </cell>
        </row>
        <row r="334">
          <cell r="G334" t="str">
            <v/>
          </cell>
          <cell r="K334">
            <v>0</v>
          </cell>
          <cell r="O334">
            <v>0</v>
          </cell>
          <cell r="T334" t="str">
            <v>000000000007053</v>
          </cell>
        </row>
        <row r="335">
          <cell r="C335">
            <v>6</v>
          </cell>
          <cell r="G335" t="str">
            <v/>
          </cell>
          <cell r="K335">
            <v>0</v>
          </cell>
          <cell r="O335">
            <v>0</v>
          </cell>
          <cell r="T335" t="str">
            <v>000000000007053</v>
          </cell>
        </row>
        <row r="336">
          <cell r="C336" t="str">
            <v>LED-A300</v>
          </cell>
          <cell r="G336" t="str">
            <v/>
          </cell>
          <cell r="K336">
            <v>0</v>
          </cell>
          <cell r="L336" t="str">
            <v>旧品加工</v>
          </cell>
          <cell r="O336">
            <v>0</v>
          </cell>
          <cell r="T336" t="str">
            <v>000000000007053</v>
          </cell>
        </row>
        <row r="337">
          <cell r="C337">
            <v>0</v>
          </cell>
          <cell r="G337" t="str">
            <v/>
          </cell>
          <cell r="K337">
            <v>0</v>
          </cell>
          <cell r="L337" t="str">
            <v>持出端材</v>
          </cell>
          <cell r="T337" t="str">
            <v>000000000007053</v>
          </cell>
        </row>
        <row r="338">
          <cell r="G338" t="str">
            <v/>
          </cell>
          <cell r="K338">
            <v>0</v>
          </cell>
          <cell r="L338" t="str">
            <v>α端材</v>
          </cell>
          <cell r="M338">
            <v>0</v>
          </cell>
          <cell r="P338">
            <v>0</v>
          </cell>
          <cell r="T338" t="str">
            <v>000000000007053</v>
          </cell>
        </row>
        <row r="339">
          <cell r="C339" t="str">
            <v>8FL281304 4910　L=592</v>
          </cell>
          <cell r="I339">
            <v>0</v>
          </cell>
          <cell r="J339">
            <v>0</v>
          </cell>
          <cell r="K339">
            <v>0</v>
          </cell>
          <cell r="O339">
            <v>0</v>
          </cell>
          <cell r="T339" t="str">
            <v>000000000007055</v>
          </cell>
        </row>
        <row r="340">
          <cell r="G340" t="str">
            <v/>
          </cell>
          <cell r="I340" t="str">
            <v/>
          </cell>
          <cell r="K340">
            <v>0</v>
          </cell>
          <cell r="O340">
            <v>0</v>
          </cell>
          <cell r="T340" t="str">
            <v>000000000007055</v>
          </cell>
        </row>
        <row r="341">
          <cell r="C341">
            <v>300</v>
          </cell>
          <cell r="G341" t="str">
            <v/>
          </cell>
          <cell r="K341">
            <v>0</v>
          </cell>
          <cell r="O341">
            <v>0</v>
          </cell>
          <cell r="T341" t="str">
            <v>000000000007055</v>
          </cell>
        </row>
        <row r="342">
          <cell r="G342" t="str">
            <v/>
          </cell>
          <cell r="K342">
            <v>0</v>
          </cell>
          <cell r="O342">
            <v>0</v>
          </cell>
          <cell r="T342" t="str">
            <v>000000000007055</v>
          </cell>
        </row>
        <row r="343">
          <cell r="C343">
            <v>3</v>
          </cell>
          <cell r="G343" t="str">
            <v/>
          </cell>
          <cell r="K343">
            <v>0</v>
          </cell>
          <cell r="O343">
            <v>0</v>
          </cell>
          <cell r="T343" t="str">
            <v>000000000007055</v>
          </cell>
        </row>
        <row r="344">
          <cell r="C344" t="str">
            <v>LED-A592</v>
          </cell>
          <cell r="G344" t="str">
            <v/>
          </cell>
          <cell r="K344">
            <v>0</v>
          </cell>
          <cell r="L344" t="str">
            <v>旧品加工</v>
          </cell>
          <cell r="O344">
            <v>0</v>
          </cell>
          <cell r="T344" t="str">
            <v>000000000007055</v>
          </cell>
        </row>
        <row r="345">
          <cell r="C345">
            <v>0</v>
          </cell>
          <cell r="G345" t="str">
            <v/>
          </cell>
          <cell r="K345">
            <v>0</v>
          </cell>
          <cell r="L345" t="str">
            <v>持出端材</v>
          </cell>
          <cell r="T345" t="str">
            <v>000000000007055</v>
          </cell>
        </row>
        <row r="346">
          <cell r="G346" t="str">
            <v/>
          </cell>
          <cell r="K346">
            <v>0</v>
          </cell>
          <cell r="L346" t="str">
            <v>α端材</v>
          </cell>
          <cell r="M346">
            <v>0</v>
          </cell>
          <cell r="P346">
            <v>0</v>
          </cell>
          <cell r="T346" t="str">
            <v>000000000007055</v>
          </cell>
        </row>
        <row r="347">
          <cell r="C347" t="str">
            <v>8FL281304 5010　L=888</v>
          </cell>
          <cell r="I347">
            <v>0</v>
          </cell>
          <cell r="J347">
            <v>0</v>
          </cell>
          <cell r="K347">
            <v>0</v>
          </cell>
          <cell r="O347">
            <v>0</v>
          </cell>
          <cell r="T347" t="str">
            <v>000000000007061</v>
          </cell>
        </row>
        <row r="348">
          <cell r="G348" t="str">
            <v/>
          </cell>
          <cell r="I348" t="str">
            <v/>
          </cell>
          <cell r="K348">
            <v>0</v>
          </cell>
          <cell r="O348">
            <v>0</v>
          </cell>
          <cell r="T348" t="str">
            <v>000000000007061</v>
          </cell>
        </row>
        <row r="349">
          <cell r="C349">
            <v>3000</v>
          </cell>
          <cell r="G349" t="str">
            <v/>
          </cell>
          <cell r="K349">
            <v>0</v>
          </cell>
          <cell r="O349">
            <v>0</v>
          </cell>
          <cell r="T349" t="str">
            <v>000000000007061</v>
          </cell>
        </row>
        <row r="350">
          <cell r="G350" t="str">
            <v/>
          </cell>
          <cell r="K350">
            <v>0</v>
          </cell>
          <cell r="O350">
            <v>0</v>
          </cell>
          <cell r="T350" t="str">
            <v>000000000007061</v>
          </cell>
        </row>
        <row r="351">
          <cell r="C351">
            <v>2</v>
          </cell>
          <cell r="G351" t="str">
            <v/>
          </cell>
          <cell r="K351">
            <v>0</v>
          </cell>
          <cell r="O351">
            <v>0</v>
          </cell>
          <cell r="T351" t="str">
            <v>000000000007061</v>
          </cell>
        </row>
        <row r="352">
          <cell r="C352" t="str">
            <v>LED-A888</v>
          </cell>
          <cell r="G352" t="str">
            <v/>
          </cell>
          <cell r="K352">
            <v>0</v>
          </cell>
          <cell r="L352" t="str">
            <v>旧品加工</v>
          </cell>
          <cell r="O352">
            <v>0</v>
          </cell>
          <cell r="T352" t="str">
            <v>000000000007061</v>
          </cell>
        </row>
        <row r="353">
          <cell r="C353">
            <v>0</v>
          </cell>
          <cell r="G353" t="str">
            <v/>
          </cell>
          <cell r="K353">
            <v>0</v>
          </cell>
          <cell r="L353" t="str">
            <v>持出端材</v>
          </cell>
          <cell r="T353" t="str">
            <v>000000000007061</v>
          </cell>
        </row>
        <row r="354">
          <cell r="G354" t="str">
            <v/>
          </cell>
          <cell r="K354">
            <v>0</v>
          </cell>
          <cell r="L354" t="str">
            <v>α端材</v>
          </cell>
          <cell r="M354">
            <v>0</v>
          </cell>
          <cell r="P354">
            <v>0</v>
          </cell>
          <cell r="T354" t="str">
            <v>000000000007061</v>
          </cell>
        </row>
        <row r="355">
          <cell r="C355" t="str">
            <v>8FL281304 8310　L=748</v>
          </cell>
          <cell r="I355">
            <v>0</v>
          </cell>
          <cell r="J355">
            <v>0</v>
          </cell>
          <cell r="K355">
            <v>0</v>
          </cell>
          <cell r="O355">
            <v>0</v>
          </cell>
          <cell r="T355" t="str">
            <v>000000000007057</v>
          </cell>
        </row>
        <row r="356">
          <cell r="G356" t="str">
            <v/>
          </cell>
          <cell r="I356" t="str">
            <v/>
          </cell>
          <cell r="K356">
            <v>0</v>
          </cell>
          <cell r="O356">
            <v>0</v>
          </cell>
          <cell r="T356" t="str">
            <v>000000000007057</v>
          </cell>
        </row>
        <row r="357">
          <cell r="C357">
            <v>200</v>
          </cell>
          <cell r="G357" t="str">
            <v/>
          </cell>
          <cell r="K357">
            <v>0</v>
          </cell>
          <cell r="O357">
            <v>0</v>
          </cell>
          <cell r="T357" t="str">
            <v>000000000007057</v>
          </cell>
        </row>
        <row r="358">
          <cell r="G358" t="str">
            <v/>
          </cell>
          <cell r="K358">
            <v>0</v>
          </cell>
          <cell r="O358">
            <v>0</v>
          </cell>
          <cell r="T358" t="str">
            <v>000000000007057</v>
          </cell>
        </row>
        <row r="359">
          <cell r="C359">
            <v>2</v>
          </cell>
          <cell r="G359" t="str">
            <v/>
          </cell>
          <cell r="K359">
            <v>0</v>
          </cell>
          <cell r="O359">
            <v>0</v>
          </cell>
          <cell r="T359" t="str">
            <v>000000000007057</v>
          </cell>
        </row>
        <row r="360">
          <cell r="C360" t="str">
            <v>LED-A888</v>
          </cell>
          <cell r="G360" t="str">
            <v/>
          </cell>
          <cell r="K360">
            <v>0</v>
          </cell>
          <cell r="L360" t="str">
            <v>旧品加工</v>
          </cell>
          <cell r="O360">
            <v>0</v>
          </cell>
          <cell r="T360" t="str">
            <v>000000000007057</v>
          </cell>
        </row>
        <row r="361">
          <cell r="C361">
            <v>0</v>
          </cell>
          <cell r="G361" t="str">
            <v/>
          </cell>
          <cell r="K361">
            <v>0</v>
          </cell>
          <cell r="L361" t="str">
            <v>持出端材</v>
          </cell>
          <cell r="T361" t="str">
            <v>000000000007057</v>
          </cell>
        </row>
        <row r="362">
          <cell r="G362" t="str">
            <v/>
          </cell>
          <cell r="K362">
            <v>0</v>
          </cell>
          <cell r="L362" t="str">
            <v>α端材</v>
          </cell>
          <cell r="M362">
            <v>0</v>
          </cell>
          <cell r="P362">
            <v>0</v>
          </cell>
          <cell r="T362" t="str">
            <v>000000000007057</v>
          </cell>
        </row>
        <row r="363">
          <cell r="C363" t="str">
            <v>8FL281304 5010　L=888</v>
          </cell>
          <cell r="I363">
            <v>0</v>
          </cell>
          <cell r="J363">
            <v>0</v>
          </cell>
          <cell r="K363">
            <v>0</v>
          </cell>
          <cell r="O363">
            <v>0</v>
          </cell>
          <cell r="T363" t="str">
            <v>000000000007058</v>
          </cell>
        </row>
        <row r="364">
          <cell r="G364" t="str">
            <v/>
          </cell>
          <cell r="I364" t="str">
            <v/>
          </cell>
          <cell r="K364">
            <v>0</v>
          </cell>
          <cell r="O364">
            <v>0</v>
          </cell>
          <cell r="T364" t="str">
            <v>000000000007058</v>
          </cell>
        </row>
        <row r="365">
          <cell r="C365">
            <v>900</v>
          </cell>
          <cell r="G365" t="str">
            <v/>
          </cell>
          <cell r="K365">
            <v>0</v>
          </cell>
          <cell r="O365">
            <v>0</v>
          </cell>
          <cell r="T365" t="str">
            <v>000000000007058</v>
          </cell>
        </row>
        <row r="366">
          <cell r="G366" t="str">
            <v/>
          </cell>
          <cell r="K366">
            <v>0</v>
          </cell>
          <cell r="O366">
            <v>0</v>
          </cell>
          <cell r="T366" t="str">
            <v>000000000007058</v>
          </cell>
        </row>
        <row r="367">
          <cell r="C367">
            <v>2</v>
          </cell>
          <cell r="G367" t="str">
            <v/>
          </cell>
          <cell r="K367">
            <v>0</v>
          </cell>
          <cell r="O367">
            <v>0</v>
          </cell>
          <cell r="T367" t="str">
            <v>000000000007058</v>
          </cell>
        </row>
        <row r="368">
          <cell r="C368" t="str">
            <v>LED-A888</v>
          </cell>
          <cell r="G368" t="str">
            <v/>
          </cell>
          <cell r="K368">
            <v>0</v>
          </cell>
          <cell r="L368" t="str">
            <v>旧品加工</v>
          </cell>
          <cell r="O368">
            <v>0</v>
          </cell>
          <cell r="T368" t="str">
            <v>000000000007058</v>
          </cell>
        </row>
        <row r="369">
          <cell r="C369">
            <v>0</v>
          </cell>
          <cell r="G369" t="str">
            <v/>
          </cell>
          <cell r="K369">
            <v>0</v>
          </cell>
          <cell r="L369" t="str">
            <v>持出端材</v>
          </cell>
          <cell r="T369" t="str">
            <v>000000000007058</v>
          </cell>
        </row>
        <row r="370">
          <cell r="G370" t="str">
            <v/>
          </cell>
          <cell r="K370">
            <v>0</v>
          </cell>
          <cell r="L370" t="str">
            <v>α端材</v>
          </cell>
          <cell r="M370">
            <v>0</v>
          </cell>
          <cell r="P370">
            <v>0</v>
          </cell>
          <cell r="T370" t="str">
            <v>000000000007058</v>
          </cell>
        </row>
        <row r="371">
          <cell r="C371" t="str">
            <v>8FL281304 6110　L=1478</v>
          </cell>
          <cell r="I371">
            <v>0</v>
          </cell>
          <cell r="J371">
            <v>0</v>
          </cell>
          <cell r="K371">
            <v>0</v>
          </cell>
          <cell r="O371">
            <v>0</v>
          </cell>
          <cell r="T371" t="str">
            <v>000000000007059</v>
          </cell>
        </row>
        <row r="372">
          <cell r="G372" t="str">
            <v/>
          </cell>
          <cell r="I372" t="str">
            <v/>
          </cell>
          <cell r="K372">
            <v>0</v>
          </cell>
          <cell r="O372">
            <v>0</v>
          </cell>
          <cell r="T372" t="str">
            <v>000000000007059</v>
          </cell>
        </row>
        <row r="373">
          <cell r="C373">
            <v>600</v>
          </cell>
          <cell r="G373" t="str">
            <v/>
          </cell>
          <cell r="K373">
            <v>0</v>
          </cell>
          <cell r="O373">
            <v>0</v>
          </cell>
          <cell r="T373" t="str">
            <v>000000000007059</v>
          </cell>
        </row>
        <row r="374">
          <cell r="G374" t="str">
            <v/>
          </cell>
          <cell r="K374">
            <v>0</v>
          </cell>
          <cell r="O374">
            <v>0</v>
          </cell>
          <cell r="T374" t="str">
            <v>000000000007059</v>
          </cell>
        </row>
        <row r="375">
          <cell r="C375">
            <v>1</v>
          </cell>
          <cell r="G375" t="str">
            <v/>
          </cell>
          <cell r="K375">
            <v>0</v>
          </cell>
          <cell r="O375">
            <v>0</v>
          </cell>
          <cell r="T375" t="str">
            <v>000000000007059</v>
          </cell>
        </row>
        <row r="376">
          <cell r="C376" t="str">
            <v>LED-A1478</v>
          </cell>
          <cell r="G376" t="str">
            <v/>
          </cell>
          <cell r="K376">
            <v>0</v>
          </cell>
          <cell r="L376" t="str">
            <v>旧品加工</v>
          </cell>
          <cell r="O376">
            <v>0</v>
          </cell>
          <cell r="T376" t="str">
            <v>000000000007059</v>
          </cell>
        </row>
        <row r="377">
          <cell r="C377">
            <v>0</v>
          </cell>
          <cell r="G377" t="str">
            <v/>
          </cell>
          <cell r="K377">
            <v>0</v>
          </cell>
          <cell r="L377" t="str">
            <v>持出端材</v>
          </cell>
          <cell r="T377" t="str">
            <v>000000000007059</v>
          </cell>
        </row>
        <row r="378">
          <cell r="G378" t="str">
            <v/>
          </cell>
          <cell r="K378">
            <v>0</v>
          </cell>
          <cell r="L378" t="str">
            <v>α端材</v>
          </cell>
          <cell r="M378">
            <v>0</v>
          </cell>
          <cell r="P378">
            <v>0</v>
          </cell>
          <cell r="T378" t="str">
            <v>000000000007059</v>
          </cell>
        </row>
      </sheetData>
      <sheetData sheetId="3"/>
      <sheetData sheetId="4"/>
      <sheetData sheetId="5"/>
      <sheetData sheetId="6"/>
      <sheetData sheetId="7"/>
      <sheetData sheetId="8">
        <row r="1">
          <cell r="A1" t="str">
            <v>品目コード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AC1" t="str">
            <v>切断寸法</v>
          </cell>
        </row>
        <row r="2">
          <cell r="A2" t="str">
            <v>J1JAZZB05412100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AC4" t="str">
            <v>換算表確認</v>
          </cell>
        </row>
        <row r="5">
          <cell r="A5" t="str">
            <v>J1JAZZB10804440</v>
          </cell>
          <cell r="J5" t="str">
            <v>〇</v>
          </cell>
          <cell r="K5" t="str">
            <v>－0.5</v>
          </cell>
          <cell r="L5" t="str">
            <v>+0.5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AC5" t="str">
            <v>換算表確認</v>
          </cell>
        </row>
        <row r="6">
          <cell r="A6" t="str">
            <v>J1JAZZB10805920</v>
          </cell>
          <cell r="J6" t="str">
            <v>〇</v>
          </cell>
          <cell r="K6" t="str">
            <v>－0.5</v>
          </cell>
          <cell r="L6" t="str">
            <v>+0.5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AC6" t="str">
            <v>換算表確認</v>
          </cell>
        </row>
        <row r="7">
          <cell r="A7" t="str">
            <v>J1JAZZB10807480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AC7" t="str">
            <v>換算表確認</v>
          </cell>
        </row>
        <row r="8">
          <cell r="A8" t="str">
            <v>J1JAZZB10808880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AC8" t="str">
            <v>換算表確認</v>
          </cell>
        </row>
        <row r="9">
          <cell r="A9" t="str">
            <v>J1JAZZB10811830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AC9" t="str">
            <v>換算表確認</v>
          </cell>
        </row>
        <row r="10">
          <cell r="A10" t="str">
            <v>J1JAZZB10813290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AC10" t="str">
            <v>換算表確認</v>
          </cell>
        </row>
        <row r="11">
          <cell r="A11" t="str">
            <v>J1JAZZB10814780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AC11" t="str">
            <v>換算表確認</v>
          </cell>
        </row>
        <row r="12">
          <cell r="A12" t="str">
            <v>J1JAZZB11805920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AC12" t="str">
            <v>換算表確認</v>
          </cell>
        </row>
        <row r="13">
          <cell r="A13" t="str">
            <v>J1JAZZB11808880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AC13" t="str">
            <v>換算表確認</v>
          </cell>
        </row>
        <row r="14">
          <cell r="A14" t="str">
            <v>J1JAZZB11811830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AC14" t="str">
            <v>換算表確認</v>
          </cell>
        </row>
        <row r="15">
          <cell r="A15" t="str">
            <v>J1JAZZB11814780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AC15" t="str">
            <v>換算表確認</v>
          </cell>
        </row>
        <row r="16">
          <cell r="A16" t="str">
            <v>J1JAZZB05605540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V16" t="str">
            <v>KISCOラベル小口右上に貼付</v>
          </cell>
          <cell r="AC16" t="str">
            <v>換算表確認</v>
          </cell>
        </row>
        <row r="17">
          <cell r="A17" t="str">
            <v>J1JAZZB11411920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梱包箱:1996</v>
          </cell>
          <cell r="W23" t="str">
            <v>クラフト紙：1996型</v>
          </cell>
          <cell r="AC23" t="str">
            <v>換算表確認</v>
          </cell>
        </row>
        <row r="24">
          <cell r="A24" t="str">
            <v>J1ZAFJB00219230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梱包:箱1996</v>
          </cell>
          <cell r="W24" t="str">
            <v>クラフト紙：1996型</v>
          </cell>
          <cell r="AC24" t="str">
            <v>換算表確認</v>
          </cell>
        </row>
        <row r="25">
          <cell r="A25" t="str">
            <v>J1ZAFJB00218150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梱包:箱1996　隙間埋め</v>
          </cell>
          <cell r="W25" t="str">
            <v>クラフト紙：1996型</v>
          </cell>
          <cell r="AC25" t="str">
            <v>換算表確認</v>
          </cell>
        </row>
        <row r="26">
          <cell r="A26" t="str">
            <v>J1ZAFJB00215400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梱包箱:1996(切詰)</v>
          </cell>
          <cell r="W26" t="str">
            <v>クラフト紙：切詰</v>
          </cell>
          <cell r="AC26" t="str">
            <v>換算表確認</v>
          </cell>
        </row>
        <row r="27">
          <cell r="A27" t="str">
            <v>J1ZAFJB00212585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梱包箱:1370　隙間埋め</v>
          </cell>
          <cell r="W27" t="str">
            <v>クラフト紙：1370型</v>
          </cell>
          <cell r="AC27" t="str">
            <v>換算表確認</v>
          </cell>
        </row>
        <row r="28">
          <cell r="A28" t="str">
            <v>J1ZAFJB00211835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梱包箱:1370　隙間埋め</v>
          </cell>
          <cell r="W28" t="str">
            <v>クラフト紙：1370型</v>
          </cell>
          <cell r="AC28" t="str">
            <v>換算表確認</v>
          </cell>
        </row>
        <row r="29">
          <cell r="A29" t="str">
            <v>J1ZAFJB00209080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梱包:1370(切詰)</v>
          </cell>
          <cell r="W29" t="str">
            <v>クラフト紙：1996型　1/2</v>
          </cell>
          <cell r="AC29" t="str">
            <v>換算表確認</v>
          </cell>
        </row>
        <row r="30">
          <cell r="A30" t="str">
            <v>J1ZAFJB00208400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梱包:1996(840×2)</v>
          </cell>
          <cell r="W30" t="str">
            <v>クラフト紙：1996型　1/2</v>
          </cell>
          <cell r="AC30" t="str">
            <v>換算表確認</v>
          </cell>
        </row>
        <row r="31">
          <cell r="A31" t="str">
            <v>J1ZAFJB00205470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梱包箱:1370(592×2)</v>
          </cell>
          <cell r="W31" t="str">
            <v>クラフト紙：1370型　1/2</v>
          </cell>
          <cell r="AC31" t="str">
            <v>換算表確認</v>
          </cell>
        </row>
        <row r="32">
          <cell r="A32" t="str">
            <v>J1ZAFJB00212640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梱包箱:1370　隙間埋め</v>
          </cell>
          <cell r="W32" t="str">
            <v>クラフト紙：1370型</v>
          </cell>
          <cell r="AC32" t="str">
            <v>換算表確認</v>
          </cell>
        </row>
        <row r="33">
          <cell r="A33" t="str">
            <v>J1ZAFJB00212380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梱包箱:1370　隙間埋め</v>
          </cell>
          <cell r="W33" t="str">
            <v>クラフト紙：1370型</v>
          </cell>
          <cell r="AC33" t="str">
            <v>換算表確認</v>
          </cell>
        </row>
        <row r="34">
          <cell r="A34" t="str">
            <v>J1ZAFJB00212910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梱包箱:1370　隙間埋め</v>
          </cell>
          <cell r="W34" t="str">
            <v>クラフト紙：1370型</v>
          </cell>
          <cell r="AC34" t="str">
            <v>換算表確認</v>
          </cell>
        </row>
        <row r="35">
          <cell r="A35" t="str">
            <v>J1ZAFJB00216480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梱包箱:1996(切詰)</v>
          </cell>
          <cell r="W35" t="str">
            <v>クラフト紙：切詰</v>
          </cell>
          <cell r="AC35" t="str">
            <v>換算表確認</v>
          </cell>
        </row>
        <row r="36">
          <cell r="A36" t="str">
            <v>J1ZAFJB00209540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梱包:1370(切詰)　</v>
          </cell>
          <cell r="W36" t="str">
            <v>クラフト紙：1996型　1/2</v>
          </cell>
          <cell r="AC36" t="str">
            <v>換算表確認</v>
          </cell>
        </row>
        <row r="37">
          <cell r="A37" t="str">
            <v>J1ZAFJB00113340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AC37" t="str">
            <v>換算表確認</v>
          </cell>
        </row>
        <row r="38">
          <cell r="A38" t="str">
            <v>J1ZAFJB00113095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AC38" t="str">
            <v>換算表確認</v>
          </cell>
        </row>
        <row r="39">
          <cell r="A39" t="str">
            <v>J1ZAFJB00112790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AC39" t="str">
            <v>換算表確認</v>
          </cell>
        </row>
        <row r="40">
          <cell r="A40" t="str">
            <v>J1ZAFJB00112400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AC40" t="str">
            <v>換算表確認</v>
          </cell>
        </row>
        <row r="41">
          <cell r="A41" t="str">
            <v>J1ZAFJB00106133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AC41" t="str">
            <v>換算表確認</v>
          </cell>
        </row>
        <row r="42">
          <cell r="A42" t="str">
            <v>J1ZAFJB00105650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AC42" t="str">
            <v>換算表確認</v>
          </cell>
        </row>
        <row r="43">
          <cell r="A43" t="str">
            <v>J1ZAFJB00102218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AC43" t="str">
            <v>換算表確認</v>
          </cell>
        </row>
        <row r="44">
          <cell r="A44" t="str">
            <v>zz002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AC44" t="str">
            <v>換算表確認</v>
          </cell>
        </row>
        <row r="45">
          <cell r="A45" t="str">
            <v>zz001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AC45" t="str">
            <v>換算表確認</v>
          </cell>
        </row>
        <row r="46">
          <cell r="A46" t="str">
            <v>J1JAPAB00319960</v>
          </cell>
          <cell r="J46" t="str">
            <v>〇</v>
          </cell>
          <cell r="K46">
            <v>0</v>
          </cell>
          <cell r="L46" t="str">
            <v>+2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AC46" t="str">
            <v>換算表確認</v>
          </cell>
        </row>
        <row r="47">
          <cell r="A47" t="str">
            <v>J1JAPAB00419960</v>
          </cell>
          <cell r="J47" t="str">
            <v>〇</v>
          </cell>
          <cell r="K47">
            <v>0</v>
          </cell>
          <cell r="L47" t="str">
            <v>+2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AC47" t="str">
            <v>換算表確認</v>
          </cell>
        </row>
        <row r="48">
          <cell r="A48" t="str">
            <v>J1AKZYB00205000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AC48" t="str">
            <v>換算表確認</v>
          </cell>
        </row>
        <row r="49">
          <cell r="A49" t="str">
            <v>J1AKZYB00207000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AC49" t="str">
            <v>換算表確認</v>
          </cell>
        </row>
        <row r="50">
          <cell r="A50" t="str">
            <v>J1EAZZB03102750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AC50">
            <v>276</v>
          </cell>
        </row>
        <row r="51">
          <cell r="A51" t="str">
            <v>J1AAEDB00825740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AC53" t="str">
            <v>換算表確認</v>
          </cell>
        </row>
        <row r="54">
          <cell r="A54" t="str">
            <v>J1AAEDB00816620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AC54" t="str">
            <v>換算表確認</v>
          </cell>
        </row>
        <row r="55">
          <cell r="A55" t="str">
            <v>J1AAEDB02816080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AC55" t="str">
            <v>換算表確認</v>
          </cell>
        </row>
        <row r="56">
          <cell r="A56" t="str">
            <v>J1AAEDB02816620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AC56" t="str">
            <v>換算表確認</v>
          </cell>
        </row>
        <row r="57">
          <cell r="A57" t="str">
            <v>J1AAEDB01716040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AC57" t="str">
            <v>換算表確認</v>
          </cell>
        </row>
        <row r="58">
          <cell r="A58" t="str">
            <v>J1AAEDB01716580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AC58" t="str">
            <v>換算表確認</v>
          </cell>
        </row>
        <row r="59">
          <cell r="A59" t="str">
            <v>J1AAEDB02516040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AC59" t="str">
            <v>換算表確認</v>
          </cell>
        </row>
        <row r="60">
          <cell r="A60" t="str">
            <v>J1AAEDB02516580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AC60" t="str">
            <v>換算表確認</v>
          </cell>
        </row>
        <row r="61">
          <cell r="A61" t="str">
            <v>J1AAEZB00705860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AC71">
            <v>2571</v>
          </cell>
        </row>
        <row r="72">
          <cell r="A72" t="str">
            <v>J1AAEDB02525700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AC72">
            <v>2571</v>
          </cell>
        </row>
        <row r="73">
          <cell r="A73" t="str">
            <v>J1DAFZB00105500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AC73" t="str">
            <v>換算表確認</v>
          </cell>
        </row>
        <row r="74">
          <cell r="A74" t="str">
            <v>J1DAFZB00105604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AC74" t="str">
            <v>換算表確認</v>
          </cell>
        </row>
        <row r="75">
          <cell r="A75" t="str">
            <v>J1DAFZB00108200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AC75" t="str">
            <v>換算表確認</v>
          </cell>
        </row>
        <row r="76">
          <cell r="A76" t="str">
            <v>J1DAFZB00108304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AC76" t="str">
            <v>換算表確認</v>
          </cell>
        </row>
        <row r="77">
          <cell r="A77" t="str">
            <v>J1ECZZB00110180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AC77">
            <v>1017</v>
          </cell>
        </row>
        <row r="78">
          <cell r="A78" t="str">
            <v>J1ECZZB00105300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AC78">
            <v>529</v>
          </cell>
        </row>
        <row r="79">
          <cell r="A79" t="str">
            <v>J1ECZZB00106000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AC79">
            <v>599</v>
          </cell>
        </row>
        <row r="80">
          <cell r="A80" t="str">
            <v>J1ECZZB00105200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AC80">
            <v>519</v>
          </cell>
        </row>
        <row r="81">
          <cell r="A81" t="str">
            <v>J1ECZZB00106900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AC81">
            <v>689</v>
          </cell>
        </row>
        <row r="82">
          <cell r="A82" t="str">
            <v>J1ECZZB00104200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AC82">
            <v>418.5</v>
          </cell>
        </row>
        <row r="83">
          <cell r="A83" t="str">
            <v>J1ECZZB00105900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AC83">
            <v>589</v>
          </cell>
        </row>
        <row r="84">
          <cell r="A84" t="str">
            <v>J1ECZZB00107600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AC84">
            <v>759</v>
          </cell>
        </row>
        <row r="85">
          <cell r="A85" t="str">
            <v>J1AAFAB01107305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AC85">
            <v>730</v>
          </cell>
        </row>
        <row r="86">
          <cell r="A86" t="str">
            <v>J1AAFAB01107455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AC86">
            <v>745</v>
          </cell>
        </row>
        <row r="87">
          <cell r="A87" t="str">
            <v>J1AAFAB01207305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AC87">
            <v>730</v>
          </cell>
        </row>
        <row r="88">
          <cell r="A88" t="str">
            <v>J1AAFAB01207455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AC88">
            <v>745</v>
          </cell>
        </row>
        <row r="89">
          <cell r="A89" t="str">
            <v>J1AAFAB02204090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AC101">
            <v>198</v>
          </cell>
        </row>
        <row r="102">
          <cell r="A102" t="str">
            <v>J1AKACB02002640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AC102">
            <v>264</v>
          </cell>
        </row>
        <row r="103">
          <cell r="A103" t="str">
            <v>J1AKACB02002680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AC103">
            <v>268</v>
          </cell>
        </row>
        <row r="104">
          <cell r="A104" t="str">
            <v>J1AKACB02004140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AC104">
            <v>414</v>
          </cell>
        </row>
        <row r="105">
          <cell r="A105" t="str">
            <v>J1AKACB02004180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AC105">
            <v>418</v>
          </cell>
        </row>
        <row r="106">
          <cell r="A106" t="str">
            <v>J1AKACB02005650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AC106">
            <v>565</v>
          </cell>
        </row>
        <row r="107">
          <cell r="A107" t="str">
            <v>J1AKACB02005680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AC107">
            <v>568</v>
          </cell>
        </row>
        <row r="108">
          <cell r="A108" t="str">
            <v>J1AKACB02007150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AC108">
            <v>715</v>
          </cell>
        </row>
        <row r="109">
          <cell r="A109" t="str">
            <v>J1AKACB02007180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AC109">
            <v>718</v>
          </cell>
        </row>
        <row r="110">
          <cell r="A110" t="str">
            <v>J1AKACB02008650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AC110">
            <v>865</v>
          </cell>
        </row>
        <row r="111">
          <cell r="A111" t="str">
            <v>J1AKACB02008680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AC111">
            <v>868</v>
          </cell>
        </row>
        <row r="112">
          <cell r="A112" t="str">
            <v>J1AKACB02010150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AC112">
            <v>1015</v>
          </cell>
        </row>
        <row r="113">
          <cell r="A113" t="str">
            <v>J1AKACB02010180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AC113">
            <v>1018</v>
          </cell>
        </row>
        <row r="114">
          <cell r="A114" t="str">
            <v>J1AKACB03502640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AC114">
            <v>264</v>
          </cell>
        </row>
        <row r="115">
          <cell r="A115" t="str">
            <v>J1AKACB03504140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AC115">
            <v>414</v>
          </cell>
        </row>
        <row r="116">
          <cell r="A116" t="str">
            <v>J1AKACB03505640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AC116">
            <v>564</v>
          </cell>
        </row>
        <row r="117">
          <cell r="A117" t="str">
            <v>J1AKACB03506640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AC117">
            <v>640</v>
          </cell>
        </row>
        <row r="118">
          <cell r="A118" t="str">
            <v>J1AKACB03507140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AC118">
            <v>714.5</v>
          </cell>
        </row>
        <row r="119">
          <cell r="A119" t="str">
            <v>J1AKACB03508640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AC119">
            <v>864.5</v>
          </cell>
        </row>
        <row r="120">
          <cell r="A120" t="str">
            <v>J1EKACB10604140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AC124" t="str">
            <v>換算表確認</v>
          </cell>
        </row>
        <row r="125">
          <cell r="A125" t="str">
            <v>J1EKACB20804190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AC125" t="str">
            <v>換算表確認</v>
          </cell>
        </row>
        <row r="126">
          <cell r="A126" t="str">
            <v>J1EKACB20805670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AC126" t="str">
            <v>換算表確認</v>
          </cell>
        </row>
        <row r="127">
          <cell r="A127" t="str">
            <v>J1EKACB20805690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AC127" t="str">
            <v>換算表確認</v>
          </cell>
        </row>
        <row r="128">
          <cell r="A128" t="str">
            <v>J1EKACB20807150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AC128" t="str">
            <v>換算表確認</v>
          </cell>
        </row>
        <row r="129">
          <cell r="A129" t="str">
            <v>J1EKACB20807190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AC129" t="str">
            <v>換算表確認</v>
          </cell>
        </row>
        <row r="130">
          <cell r="A130" t="str">
            <v>J1EKACB20808680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AC130" t="str">
            <v>換算表確認</v>
          </cell>
        </row>
        <row r="131">
          <cell r="A131" t="str">
            <v>J1EKACB20810140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AC131" t="str">
            <v>換算表確認</v>
          </cell>
        </row>
        <row r="132">
          <cell r="A132" t="str">
            <v>J1EKACB20810180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AC132" t="str">
            <v>換算表確認</v>
          </cell>
        </row>
        <row r="133">
          <cell r="A133" t="str">
            <v>J1EKACB20811640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AC133" t="str">
            <v>換算表確認</v>
          </cell>
        </row>
        <row r="134">
          <cell r="A134" t="str">
            <v>J1EKACB22204150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AC134">
            <v>414.5</v>
          </cell>
        </row>
        <row r="135">
          <cell r="A135" t="str">
            <v>J1EKACB22205080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AC135">
            <v>507.5</v>
          </cell>
        </row>
        <row r="136">
          <cell r="A136" t="str">
            <v>J1EKACB22205650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AC136">
            <v>564.5</v>
          </cell>
        </row>
        <row r="137">
          <cell r="A137" t="str">
            <v>J1EKACB22206330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AC137">
            <v>632.5</v>
          </cell>
        </row>
        <row r="138">
          <cell r="A138" t="str">
            <v>J1EKACB22206520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AC138">
            <v>651.5</v>
          </cell>
        </row>
        <row r="139">
          <cell r="A139" t="str">
            <v>J1EKACB22206650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AC139">
            <v>664.5</v>
          </cell>
        </row>
        <row r="140">
          <cell r="A140" t="str">
            <v>J1EKACB22207150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AC140">
            <v>714.5</v>
          </cell>
        </row>
        <row r="141">
          <cell r="A141" t="str">
            <v>J1AAFAB01299999</v>
          </cell>
          <cell r="J141" t="str">
            <v>-</v>
          </cell>
          <cell r="K141">
            <v>-1</v>
          </cell>
          <cell r="L141">
            <v>0</v>
          </cell>
          <cell r="P141" t="str">
            <v xml:space="preserve"> 図面確認</v>
          </cell>
          <cell r="V141" t="str">
            <v>-</v>
          </cell>
          <cell r="W141" t="str">
            <v>-</v>
          </cell>
          <cell r="AC141" t="str">
            <v>図面確認</v>
          </cell>
        </row>
        <row r="142">
          <cell r="A142" t="str">
            <v>J1AAFAB01199999</v>
          </cell>
          <cell r="J142" t="str">
            <v>-</v>
          </cell>
          <cell r="K142">
            <v>-1</v>
          </cell>
          <cell r="L142">
            <v>0</v>
          </cell>
          <cell r="P142" t="str">
            <v xml:space="preserve"> 図面確認</v>
          </cell>
          <cell r="V142" t="str">
            <v>-</v>
          </cell>
          <cell r="W142" t="str">
            <v>-</v>
          </cell>
          <cell r="AC142" t="str">
            <v>図面確認</v>
          </cell>
        </row>
        <row r="143">
          <cell r="A143" t="str">
            <v>J1AAZDB00301000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AC145" t="str">
            <v>換算表確認</v>
          </cell>
        </row>
        <row r="146">
          <cell r="A146" t="str">
            <v>J1AZLDB00123150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</sheetData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8"/>
  <sheetViews>
    <sheetView tabSelected="1" workbookViewId="0">
      <selection activeCell="A38" sqref="A38:XFD56"/>
    </sheetView>
  </sheetViews>
  <sheetFormatPr defaultColWidth="1.625" defaultRowHeight="13.5"/>
  <cols>
    <col min="1" max="1" width="9.75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1"/>
      <c r="B1" s="88" t="s">
        <v>0</v>
      </c>
      <c r="C1" s="89"/>
      <c r="D1" s="89"/>
      <c r="E1" s="11"/>
      <c r="F1" s="11"/>
      <c r="G1" s="11"/>
      <c r="H1" s="11"/>
      <c r="I1" s="11"/>
      <c r="J1" s="11"/>
    </row>
    <row r="2" spans="1:10" ht="14.25" customHeight="1" thickTop="1">
      <c r="A2" s="12"/>
      <c r="B2" s="89"/>
      <c r="C2" s="89"/>
      <c r="D2" s="89"/>
      <c r="E2" s="12"/>
      <c r="F2" s="12"/>
      <c r="G2" s="12"/>
      <c r="H2" s="12"/>
      <c r="I2" s="12"/>
      <c r="J2" s="12"/>
    </row>
    <row r="3" spans="1:10" ht="14.25" customHeight="1">
      <c r="A3" s="103" t="s">
        <v>1</v>
      </c>
      <c r="B3" s="103" t="s">
        <v>2</v>
      </c>
      <c r="C3" s="103" t="s">
        <v>3</v>
      </c>
      <c r="D3" s="112">
        <v>444</v>
      </c>
      <c r="E3" s="103" t="s">
        <v>4</v>
      </c>
      <c r="F3" s="124" t="s">
        <v>5</v>
      </c>
      <c r="G3" s="89"/>
      <c r="H3" s="119"/>
      <c r="I3" s="13" t="s">
        <v>6</v>
      </c>
      <c r="J3" s="13" t="s">
        <v>7</v>
      </c>
    </row>
    <row r="4" spans="1:10" ht="14.25" customHeight="1">
      <c r="A4" s="89"/>
      <c r="B4" s="89"/>
      <c r="C4" s="89"/>
      <c r="D4" s="89"/>
      <c r="E4" s="89"/>
      <c r="F4" s="89"/>
      <c r="G4" s="89"/>
      <c r="H4" s="119"/>
      <c r="I4" s="115"/>
      <c r="J4" s="115"/>
    </row>
    <row r="5" spans="1:10" ht="17.45" customHeight="1">
      <c r="A5" s="100" t="s">
        <v>8</v>
      </c>
      <c r="B5" s="100" t="s">
        <v>9</v>
      </c>
      <c r="E5" s="100" t="s">
        <v>10</v>
      </c>
      <c r="F5" s="120" t="s">
        <v>11</v>
      </c>
      <c r="G5" s="89"/>
      <c r="H5" s="119"/>
      <c r="I5" s="116"/>
      <c r="J5" s="116"/>
    </row>
    <row r="6" spans="1:10" ht="17.45" customHeight="1">
      <c r="A6" s="89"/>
      <c r="B6" s="89"/>
      <c r="E6" s="89"/>
      <c r="F6" s="89"/>
      <c r="G6" s="89"/>
      <c r="H6" s="119"/>
      <c r="I6" s="14"/>
      <c r="J6" s="14"/>
    </row>
    <row r="7" spans="1:10" ht="17.45" customHeight="1">
      <c r="A7" s="100" t="s">
        <v>12</v>
      </c>
      <c r="B7" s="100" t="s">
        <v>13</v>
      </c>
      <c r="E7" s="2" t="s">
        <v>14</v>
      </c>
      <c r="F7" s="125" t="s">
        <v>15</v>
      </c>
      <c r="G7" s="89"/>
      <c r="H7" s="21"/>
    </row>
    <row r="8" spans="1:10" ht="17.45" customHeight="1">
      <c r="A8" s="89"/>
      <c r="B8" s="89"/>
      <c r="E8" s="2" t="s">
        <v>16</v>
      </c>
      <c r="F8" s="21" t="s">
        <v>17</v>
      </c>
      <c r="G8" s="21"/>
      <c r="H8" s="21"/>
    </row>
    <row r="9" spans="1:10" ht="17.45" customHeight="1">
      <c r="A9" s="2" t="s">
        <v>18</v>
      </c>
      <c r="B9" s="4">
        <v>45908</v>
      </c>
      <c r="E9" s="2" t="s">
        <v>19</v>
      </c>
      <c r="F9" s="111">
        <v>100</v>
      </c>
      <c r="G9" s="89"/>
      <c r="H9" s="21"/>
    </row>
    <row r="10" spans="1:10" ht="17.45" customHeight="1">
      <c r="A10" s="2" t="s">
        <v>20</v>
      </c>
      <c r="B10" s="4">
        <v>45908</v>
      </c>
      <c r="E10" s="2" t="s">
        <v>21</v>
      </c>
      <c r="F10" s="21">
        <v>1</v>
      </c>
      <c r="G10" s="109" t="s">
        <v>22</v>
      </c>
      <c r="H10" s="104">
        <v>100</v>
      </c>
      <c r="I10" s="105"/>
      <c r="J10" s="106"/>
    </row>
    <row r="11" spans="1:10" ht="17.45" customHeight="1">
      <c r="A11" s="19"/>
      <c r="B11" s="20"/>
      <c r="C11" s="20"/>
      <c r="D11" s="20"/>
      <c r="E11" s="2" t="s">
        <v>23</v>
      </c>
      <c r="F11" s="21" t="s">
        <v>24</v>
      </c>
      <c r="G11" s="107"/>
      <c r="H11" s="107"/>
      <c r="I11" s="102"/>
      <c r="J11" s="108"/>
    </row>
    <row r="12" spans="1:10" ht="13.5" customHeight="1">
      <c r="A12" s="117" t="s">
        <v>25</v>
      </c>
      <c r="B12" s="89"/>
      <c r="C12" s="89"/>
      <c r="D12" s="20"/>
      <c r="F12" s="3"/>
      <c r="G12" s="92" t="s">
        <v>26</v>
      </c>
      <c r="H12" s="110" t="s">
        <v>27</v>
      </c>
      <c r="I12" s="118" t="s">
        <v>28</v>
      </c>
      <c r="J12" s="119"/>
    </row>
    <row r="13" spans="1:10" ht="13.5" customHeight="1">
      <c r="A13" s="89"/>
      <c r="B13" s="89"/>
      <c r="C13" s="89"/>
      <c r="D13" s="20"/>
      <c r="F13" s="3"/>
      <c r="G13" s="93"/>
      <c r="H13" s="93"/>
      <c r="I13" s="102"/>
      <c r="J13" s="108"/>
    </row>
    <row r="14" spans="1:10" ht="13.5" customHeight="1">
      <c r="A14" s="1" t="s">
        <v>29</v>
      </c>
    </row>
    <row r="15" spans="1:10" ht="63" customHeight="1" thickBot="1">
      <c r="A15" s="113"/>
      <c r="B15" s="114"/>
      <c r="C15" s="114"/>
      <c r="D15" s="114"/>
      <c r="E15" s="114"/>
      <c r="F15" s="114"/>
      <c r="G15" s="114"/>
      <c r="H15" s="114"/>
      <c r="I15" s="114"/>
      <c r="J15" s="114"/>
    </row>
    <row r="16" spans="1:10" ht="18.75">
      <c r="A16" s="23" t="s">
        <v>30</v>
      </c>
      <c r="B16" s="16" t="s">
        <v>31</v>
      </c>
      <c r="C16" s="121" t="s">
        <v>32</v>
      </c>
      <c r="D16" s="122"/>
      <c r="E16" s="16" t="s">
        <v>33</v>
      </c>
      <c r="F16" s="121" t="s">
        <v>34</v>
      </c>
      <c r="G16" s="122"/>
      <c r="H16" s="122"/>
      <c r="I16" s="123" t="s">
        <v>35</v>
      </c>
      <c r="J16" s="122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2">
        <v>1</v>
      </c>
      <c r="B18" s="24" t="s">
        <v>36</v>
      </c>
      <c r="C18" s="94" t="s">
        <v>37</v>
      </c>
      <c r="D18" s="91"/>
      <c r="E18" s="24" t="s">
        <v>38</v>
      </c>
      <c r="F18" s="94" t="s">
        <v>39</v>
      </c>
      <c r="G18" s="91"/>
      <c r="H18" s="91"/>
      <c r="I18" s="90"/>
      <c r="J18" s="91"/>
    </row>
    <row r="19" spans="1:10" s="7" customFormat="1" ht="16.5" customHeight="1">
      <c r="A19" s="22">
        <v>1</v>
      </c>
      <c r="B19" s="25" t="s">
        <v>36</v>
      </c>
      <c r="C19" s="94" t="s">
        <v>37</v>
      </c>
      <c r="D19" s="91"/>
      <c r="E19" s="24" t="s">
        <v>40</v>
      </c>
      <c r="F19" s="94" t="s">
        <v>41</v>
      </c>
      <c r="G19" s="91"/>
      <c r="H19" s="91"/>
      <c r="I19" s="90"/>
      <c r="J19" s="91"/>
    </row>
    <row r="20" spans="1:10" s="7" customFormat="1" ht="16.5" customHeight="1">
      <c r="A20" s="22"/>
      <c r="B20" s="25"/>
      <c r="C20" s="94"/>
      <c r="D20" s="91"/>
      <c r="E20" s="24"/>
      <c r="F20" s="94"/>
      <c r="G20" s="91"/>
      <c r="H20" s="91"/>
      <c r="I20" s="90"/>
      <c r="J20" s="91"/>
    </row>
    <row r="21" spans="1:10" s="7" customFormat="1" ht="16.5" customHeight="1">
      <c r="A21" s="22"/>
      <c r="B21" s="25"/>
      <c r="C21" s="94"/>
      <c r="D21" s="91"/>
      <c r="E21" s="24"/>
      <c r="F21" s="94"/>
      <c r="G21" s="91"/>
      <c r="H21" s="91"/>
      <c r="I21" s="90"/>
      <c r="J21" s="91"/>
    </row>
    <row r="22" spans="1:10" s="7" customFormat="1" ht="16.5" customHeight="1">
      <c r="A22" s="22"/>
      <c r="B22" s="25"/>
      <c r="C22" s="94"/>
      <c r="D22" s="91"/>
      <c r="E22" s="24"/>
      <c r="F22" s="94"/>
      <c r="G22" s="91"/>
      <c r="H22" s="91"/>
      <c r="I22" s="90"/>
      <c r="J22" s="91"/>
    </row>
    <row r="23" spans="1:10" s="7" customFormat="1" ht="16.5" customHeight="1">
      <c r="A23" s="22"/>
      <c r="B23" s="25"/>
      <c r="C23" s="94"/>
      <c r="D23" s="91"/>
      <c r="E23" s="24"/>
      <c r="F23" s="94"/>
      <c r="G23" s="91"/>
      <c r="H23" s="91"/>
      <c r="I23" s="90"/>
      <c r="J23" s="91"/>
    </row>
    <row r="24" spans="1:10" ht="16.5" customHeight="1" thickBo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8.75">
      <c r="A25" s="96" t="s">
        <v>42</v>
      </c>
      <c r="B25" s="97"/>
      <c r="C25" s="96" t="s">
        <v>43</v>
      </c>
      <c r="D25" s="97"/>
      <c r="E25" s="97"/>
      <c r="F25" s="17" t="s">
        <v>44</v>
      </c>
      <c r="G25" s="96" t="s">
        <v>45</v>
      </c>
      <c r="H25" s="97"/>
      <c r="I25" s="96" t="s">
        <v>46</v>
      </c>
      <c r="J25" s="97"/>
    </row>
    <row r="26" spans="1:10" ht="14.25" customHeight="1">
      <c r="A26" s="8"/>
      <c r="B26" s="18"/>
      <c r="C26" s="101" t="s">
        <v>47</v>
      </c>
      <c r="D26" s="102"/>
      <c r="E26" s="18"/>
      <c r="F26" s="101" t="s">
        <v>29</v>
      </c>
      <c r="G26" s="102"/>
      <c r="H26" s="102"/>
      <c r="I26" s="102"/>
      <c r="J26" s="102"/>
    </row>
    <row r="27" spans="1:10">
      <c r="A27" s="9"/>
      <c r="C27" s="7"/>
      <c r="D27" s="7"/>
      <c r="E27" s="7"/>
    </row>
    <row r="28" spans="1:10" s="5" customFormat="1" ht="14.25" customHeight="1">
      <c r="A28" s="94" t="s">
        <v>48</v>
      </c>
      <c r="B28" s="95"/>
      <c r="C28" s="94" t="s">
        <v>49</v>
      </c>
      <c r="D28" s="95"/>
      <c r="E28" s="95"/>
      <c r="F28" s="26" t="s">
        <v>50</v>
      </c>
      <c r="G28" s="98">
        <v>25</v>
      </c>
      <c r="H28" s="95"/>
      <c r="I28" s="98">
        <v>0.25</v>
      </c>
      <c r="J28" s="95"/>
    </row>
    <row r="29" spans="1:10" s="7" customFormat="1" ht="24.95" customHeight="1">
      <c r="A29" s="99" t="s">
        <v>51</v>
      </c>
      <c r="B29" s="91"/>
      <c r="C29" s="94"/>
      <c r="D29" s="91"/>
      <c r="E29" s="91"/>
      <c r="F29" s="94"/>
      <c r="G29" s="91"/>
      <c r="H29" s="91"/>
      <c r="I29" s="91"/>
      <c r="J29" s="91"/>
    </row>
    <row r="30" spans="1:10" s="5" customFormat="1" ht="14.25" customHeight="1">
      <c r="A30" s="94" t="s">
        <v>52</v>
      </c>
      <c r="B30" s="95"/>
      <c r="C30" s="94" t="s">
        <v>53</v>
      </c>
      <c r="D30" s="95"/>
      <c r="E30" s="95"/>
      <c r="F30" s="26" t="s">
        <v>54</v>
      </c>
      <c r="G30" s="98">
        <v>1</v>
      </c>
      <c r="H30" s="95"/>
      <c r="I30" s="98">
        <v>0.01</v>
      </c>
      <c r="J30" s="95"/>
    </row>
    <row r="31" spans="1:10" s="7" customFormat="1" ht="24.95" customHeight="1">
      <c r="A31" s="99" t="s">
        <v>55</v>
      </c>
      <c r="B31" s="91"/>
      <c r="C31" s="94" t="s">
        <v>56</v>
      </c>
      <c r="D31" s="91"/>
      <c r="E31" s="91"/>
      <c r="F31" s="94"/>
      <c r="G31" s="91"/>
      <c r="H31" s="91"/>
      <c r="I31" s="91"/>
      <c r="J31" s="91"/>
    </row>
    <row r="32" spans="1:10" s="5" customFormat="1" ht="14.25" customHeight="1">
      <c r="A32" s="94" t="s">
        <v>57</v>
      </c>
      <c r="B32" s="95"/>
      <c r="C32" s="94" t="s">
        <v>58</v>
      </c>
      <c r="D32" s="95"/>
      <c r="E32" s="95"/>
      <c r="F32" s="26"/>
      <c r="G32" s="98">
        <v>0.1</v>
      </c>
      <c r="H32" s="95"/>
      <c r="I32" s="98">
        <v>1E-3</v>
      </c>
      <c r="J32" s="95"/>
    </row>
    <row r="33" spans="1:14" s="7" customFormat="1" ht="24.95" customHeight="1">
      <c r="A33" s="99" t="s">
        <v>59</v>
      </c>
      <c r="B33" s="91"/>
      <c r="C33" s="94" t="s">
        <v>60</v>
      </c>
      <c r="D33" s="91"/>
      <c r="E33" s="91"/>
      <c r="F33" s="94"/>
      <c r="G33" s="91"/>
      <c r="H33" s="91"/>
      <c r="I33" s="91"/>
      <c r="J33" s="91"/>
    </row>
    <row r="34" spans="1:14" s="5" customFormat="1" ht="14.25" customHeight="1">
      <c r="A34" s="94" t="s">
        <v>61</v>
      </c>
      <c r="B34" s="95"/>
      <c r="C34" s="94" t="s">
        <v>62</v>
      </c>
      <c r="D34" s="95"/>
      <c r="E34" s="95"/>
      <c r="F34" s="26"/>
      <c r="G34" s="98">
        <v>0.1</v>
      </c>
      <c r="H34" s="95"/>
      <c r="I34" s="98">
        <v>1E-3</v>
      </c>
      <c r="J34" s="95"/>
    </row>
    <row r="35" spans="1:14" s="7" customFormat="1" ht="24.95" customHeight="1">
      <c r="A35" s="99" t="s">
        <v>63</v>
      </c>
      <c r="B35" s="91"/>
      <c r="C35" s="94" t="s">
        <v>64</v>
      </c>
      <c r="D35" s="91"/>
      <c r="E35" s="91"/>
      <c r="F35" s="94"/>
      <c r="G35" s="91"/>
      <c r="H35" s="91"/>
      <c r="I35" s="91"/>
      <c r="J35" s="91"/>
    </row>
    <row r="36" spans="1:14" s="5" customFormat="1" ht="14.25" customHeight="1">
      <c r="A36" s="94"/>
      <c r="B36" s="95"/>
      <c r="C36" s="94"/>
      <c r="D36" s="95"/>
      <c r="E36" s="95"/>
      <c r="F36" s="26"/>
      <c r="G36" s="98"/>
      <c r="H36" s="95"/>
      <c r="I36" s="98"/>
      <c r="J36" s="95"/>
    </row>
    <row r="37" spans="1:14" s="7" customFormat="1" ht="24.95" customHeight="1" thickBot="1">
      <c r="A37" s="99"/>
      <c r="B37" s="91"/>
      <c r="C37" s="94"/>
      <c r="D37" s="91"/>
      <c r="E37" s="91"/>
      <c r="F37" s="94"/>
      <c r="G37" s="91"/>
      <c r="H37" s="91"/>
      <c r="I37" s="91"/>
      <c r="J37" s="91"/>
    </row>
    <row r="38" spans="1:14" s="5" customFormat="1" ht="18" customHeight="1">
      <c r="A38" s="149" t="s">
        <v>65</v>
      </c>
      <c r="B38" s="150"/>
      <c r="C38" s="150"/>
      <c r="D38" s="150"/>
      <c r="E38" s="151" t="s">
        <v>66</v>
      </c>
      <c r="F38" s="152"/>
      <c r="G38" s="27" t="s">
        <v>67</v>
      </c>
      <c r="H38" s="153" t="s">
        <v>68</v>
      </c>
      <c r="I38" s="154"/>
      <c r="J38" s="28" t="s">
        <v>69</v>
      </c>
    </row>
    <row r="39" spans="1:14" s="7" customFormat="1" ht="18" customHeight="1">
      <c r="A39" s="155" t="str">
        <f>_xlfn.XLOOKUP(B3,[1]VFDB2!A:A,[1]VFDB2!A:A)</f>
        <v>J1JAZZB10804440</v>
      </c>
      <c r="B39" s="156"/>
      <c r="C39" s="156"/>
      <c r="D39" s="156"/>
      <c r="E39" s="134" t="str" cm="1">
        <f t="array" ref="E39">IFERROR(IF(ISBLANK(INDEX(_xlfn._xlws.FILTER([1]加工記録２!$C$3:$C$100000, [1]加工記録２!$T$3:$T$100000=B5), 6)), "", INDEX(_xlfn._xlws.FILTER([1]加工記録２!$C$3:$C$100000, [1]加工記録２!$T$3:$T$100000=B5), 6)),"")</f>
        <v>LED-A444</v>
      </c>
      <c r="F39" s="135"/>
      <c r="G39" s="159" cm="1">
        <f t="array" ref="G39">IFERROR(IF(ISBLANK(INDEX(_xlfn._xlws.FILTER([1]加工記録２!$C$3:$C$100000, [1]加工記録２!$T$3:$T$100000=B5), 7)), " ", INDEX(_xlfn._xlws.FILTER([1]加工記録２!$C$3:$C$100000, [1]加工記録２!$T$3:$T$100000=B5), 7))," ")</f>
        <v>1</v>
      </c>
      <c r="H39" s="29" t="s">
        <v>70</v>
      </c>
      <c r="I39" s="30" cm="1">
        <f t="array" ref="I39:J39">IFERROR(IF(ISBLANK(INDEX(_xlfn._xlws.FILTER([1]加工記録２!$O$3:$P$100000, [1]加工記録２!$T$3:$T$100000=B5), 1)), "", INDEX(_xlfn._xlws.FILTER([1]加工記録２!$O$3:$P$100000, [1]加工記録２!$T$3:$T$100000=B5), 1)),"")</f>
        <v>45909</v>
      </c>
      <c r="J39" s="31" t="str">
        <v/>
      </c>
    </row>
    <row r="40" spans="1:14" s="5" customFormat="1" ht="18" customHeight="1">
      <c r="A40" s="157"/>
      <c r="B40" s="158"/>
      <c r="C40" s="158"/>
      <c r="D40" s="158"/>
      <c r="E40" s="134"/>
      <c r="F40" s="135"/>
      <c r="G40" s="159"/>
      <c r="H40" s="29" t="s">
        <v>71</v>
      </c>
      <c r="I40" s="32" cm="1">
        <f t="array" ref="I40:J40">IFERROR(IF(ISBLANK(INDEX(_xlfn._xlws.FILTER([1]加工記録２!$O$3:$P$100000, [1]加工記録２!$T$3:$T$100000=B5), 2)), "", INDEX(_xlfn._xlws.FILTER([1]加工記録２!$O$3:$P$100000, [1]加工記録２!$T$3:$T$100000=B5), 2)),"")</f>
        <v>100</v>
      </c>
      <c r="J40" s="33" t="str">
        <v/>
      </c>
      <c r="K40" s="34"/>
    </row>
    <row r="41" spans="1:14" s="7" customFormat="1" ht="18" customHeight="1">
      <c r="A41" s="137" t="s">
        <v>72</v>
      </c>
      <c r="B41" s="147" t="str">
        <f>_xlfn.XLOOKUP(B3,[1]VFDB2!A:A,[1]VFDB2!J:J)</f>
        <v>〇</v>
      </c>
      <c r="C41" s="161" t="s">
        <v>73</v>
      </c>
      <c r="D41" s="163">
        <f>_xlfn.XLOOKUP(B3,[1]VFDB2!A:A,[1]VFDB2!P:P)</f>
        <v>4</v>
      </c>
      <c r="E41" s="134" t="str">
        <f>_xlfn.XLOOKUP(B3,[1]VFDB2!A:A,[1]VFDB2!V:V)</f>
        <v>1箱目の梱包数 目視確認　以降、重量測定</v>
      </c>
      <c r="F41" s="135"/>
      <c r="G41" s="136"/>
      <c r="H41" s="35" t="s">
        <v>74</v>
      </c>
      <c r="I41" s="32" cm="1">
        <f t="array" ref="I41:J41">IFERROR(IF(ISBLANK(INDEX(_xlfn._xlws.FILTER([1]加工記録２!$O$3:$P$100000, [1]加工記録２!$T$3:$T$100000=B5), 3)), "", INDEX(_xlfn._xlws.FILTER([1]加工記録２!$O$3:$P$100000, [1]加工記録２!$T$3:$T$100000=B5), 3)),"")</f>
        <v>25</v>
      </c>
      <c r="J41" s="36" t="str">
        <v/>
      </c>
      <c r="K41" s="37"/>
    </row>
    <row r="42" spans="1:14" s="5" customFormat="1" ht="18" customHeight="1">
      <c r="A42" s="160"/>
      <c r="B42" s="148"/>
      <c r="C42" s="162"/>
      <c r="D42" s="164"/>
      <c r="E42" s="134"/>
      <c r="F42" s="135"/>
      <c r="G42" s="136"/>
      <c r="H42" s="35" t="s">
        <v>75</v>
      </c>
      <c r="I42" s="32" cm="1">
        <f t="array" ref="I42:J42">IFERROR(IF(ISBLANK(INDEX(_xlfn._xlws.FILTER([1]加工記録２!$O$3:$P$100000, [1]加工記録２!$T$3:$T$100000=B5), 4)), "", INDEX(_xlfn._xlws.FILTER([1]加工記録２!$O$3:$P$100000, [1]加工記録２!$T$3:$T$100000=B5), 4)),"")</f>
        <v>0</v>
      </c>
      <c r="J42" s="38" t="str">
        <v/>
      </c>
      <c r="K42" s="34"/>
    </row>
    <row r="43" spans="1:14" s="7" customFormat="1" ht="18" customHeight="1">
      <c r="A43" s="126" t="s">
        <v>76</v>
      </c>
      <c r="B43" s="128">
        <f>D3</f>
        <v>444</v>
      </c>
      <c r="C43" s="130" t="s">
        <v>77</v>
      </c>
      <c r="D43" s="132" t="str">
        <f>_xlfn.XLOOKUP(B3,[1]VFDB2!A:A,[1]VFDB2!L:L)</f>
        <v>+0.5</v>
      </c>
      <c r="E43" s="134" t="str">
        <f>_xlfn.XLOOKUP(B3,[1]VFDB2!A:A,[1]VFDB2!W:W)</f>
        <v>L=888用　クラフト紙　1/2</v>
      </c>
      <c r="F43" s="135"/>
      <c r="G43" s="136"/>
      <c r="H43" s="35" t="s">
        <v>78</v>
      </c>
      <c r="I43" s="32" cm="1">
        <f t="array" ref="I43:J43">IFERROR(IF(ISBLANK(INDEX(_xlfn._xlws.FILTER([1]加工記録２!$O$3:$P$100000, [1]加工記録２!$T$3:$T$100000=B5), 5)), "", INDEX(_xlfn._xlws.FILTER([1]加工記録２!$O$3:$P$100000, [1]加工記録２!$T$3:$T$100000=B5), 5)),"")</f>
        <v>0</v>
      </c>
      <c r="J43" s="39" t="str">
        <v/>
      </c>
      <c r="K43" s="37"/>
    </row>
    <row r="44" spans="1:14" s="5" customFormat="1" ht="18" customHeight="1">
      <c r="A44" s="127"/>
      <c r="B44" s="129"/>
      <c r="C44" s="131"/>
      <c r="D44" s="133"/>
      <c r="E44" s="134"/>
      <c r="F44" s="135"/>
      <c r="G44" s="136"/>
      <c r="H44" s="35" t="s">
        <v>79</v>
      </c>
      <c r="I44" s="32" cm="1">
        <f t="array" ref="I44:J44">IFERROR(IF(ISBLANK(INDEX(_xlfn._xlws.FILTER([1]加工記録２!$O$3:$P$100000, [1]加工記録２!$T$3:$T$100000=B5), 6)), "", INDEX(_xlfn._xlws.FILTER([1]加工記録２!$O$3:$P$100000, [1]加工記録２!$T$3:$T$100000=B5), 6)),"")</f>
        <v>1</v>
      </c>
      <c r="J44" s="40" t="str">
        <v/>
      </c>
      <c r="K44" s="34"/>
    </row>
    <row r="45" spans="1:14" s="7" customFormat="1" ht="18" customHeight="1">
      <c r="A45" s="137" t="s">
        <v>80</v>
      </c>
      <c r="B45" s="139" t="str">
        <f>_xlfn.XLOOKUP(B3,[1]VFDB2!A:A,[1]VFDB2!AC:AC)</f>
        <v>換算表確認</v>
      </c>
      <c r="C45" s="141" t="s">
        <v>81</v>
      </c>
      <c r="D45" s="132" t="str">
        <f>_xlfn.XLOOKUP(B3,[1]VFDB2!A:A,[1]VFDB2!K:K)</f>
        <v>－0.5</v>
      </c>
      <c r="E45" s="134" t="str">
        <f>_xlfn.XLOOKUP(B3,[1]VFDB2!A:A,[1]VFDB2!R:R)</f>
        <v>ラベル１枚　長手無　鉢巻１回</v>
      </c>
      <c r="F45" s="135"/>
      <c r="G45" s="136"/>
      <c r="H45" s="35" t="s">
        <v>82</v>
      </c>
      <c r="I45" s="32" t="str" cm="1">
        <f t="array" ref="I45:J45">IFERROR(IF(ISBLANK(INDEX(_xlfn._xlws.FILTER([1]加工記録２!$O$3:$P$100000, [1]加工記録２!$T$3:$T$100000=B5), 7)), "", INDEX(_xlfn._xlws.FILTER([1]加工記録２!$O$3:$P$100000, [1]加工記録２!$T$3:$T$100000=B5), 7)),"")</f>
        <v>C</v>
      </c>
      <c r="J45" s="41" t="str">
        <v/>
      </c>
      <c r="K45" s="37"/>
    </row>
    <row r="46" spans="1:14" s="5" customFormat="1" ht="18" customHeight="1" thickBot="1">
      <c r="A46" s="138"/>
      <c r="B46" s="140"/>
      <c r="C46" s="142"/>
      <c r="D46" s="143"/>
      <c r="E46" s="144"/>
      <c r="F46" s="145"/>
      <c r="G46" s="146"/>
      <c r="H46" s="42" t="s">
        <v>83</v>
      </c>
      <c r="I46" s="43" t="str" cm="1">
        <f t="array" ref="I46:J46">IFERROR(IF(ISBLANK(INDEX(_xlfn._xlws.FILTER([1]加工記録２!$O$3:$P$100000, [1]加工記録２!$T$3:$T$100000=B5), 8)), "", INDEX(_xlfn._xlws.FILTER([1]加工記録２!$O$3:$P$100000, [1]加工記録２!$T$3:$T$100000=B5), 8)),"")</f>
        <v>T</v>
      </c>
      <c r="J46" s="44">
        <v>0</v>
      </c>
    </row>
    <row r="47" spans="1:14" s="55" customFormat="1" ht="18.95" customHeight="1">
      <c r="A47" s="45" t="s">
        <v>84</v>
      </c>
      <c r="B47" s="46" t="s">
        <v>85</v>
      </c>
      <c r="C47" s="47" t="s">
        <v>86</v>
      </c>
      <c r="D47" s="47" t="s">
        <v>87</v>
      </c>
      <c r="E47" s="48" t="s">
        <v>88</v>
      </c>
      <c r="F47" s="49" t="s">
        <v>89</v>
      </c>
      <c r="G47" s="50" t="s">
        <v>90</v>
      </c>
      <c r="H47" s="51" t="s">
        <v>91</v>
      </c>
      <c r="I47" s="52" t="s">
        <v>92</v>
      </c>
      <c r="J47" s="53" t="s">
        <v>93</v>
      </c>
      <c r="K47" s="54"/>
      <c r="L47" s="54"/>
      <c r="M47" s="54"/>
      <c r="N47" s="54"/>
    </row>
    <row r="48" spans="1:14" s="66" customFormat="1" ht="18.95" customHeight="1">
      <c r="A48" s="56" t="str" cm="1">
        <f t="array" ref="A48:J48">IFERROR(IF(ISBLANK(INDEX(_xlfn._xlws.FILTER([1]加工記録２!$D$3:$M$100000, [1]加工記録２!$T$3:$T$100000=B5), 1)), "", INDEX(_xlfn._xlws.FILTER([1]加工記録２!$D$3:$M$100000, [1]加工記録２!$T$3:$T$100000=B5), 1)),"")</f>
        <v/>
      </c>
      <c r="B48" s="57" t="str">
        <v>25G24-06</v>
      </c>
      <c r="C48" s="58" t="str">
        <v/>
      </c>
      <c r="D48" s="58" t="str">
        <v/>
      </c>
      <c r="E48" s="59" t="str">
        <v/>
      </c>
      <c r="F48" s="60" t="str">
        <v>25G24-06</v>
      </c>
      <c r="G48" s="61">
        <v>12</v>
      </c>
      <c r="H48" s="62">
        <v>3</v>
      </c>
      <c r="I48" s="63">
        <v>45909</v>
      </c>
      <c r="J48" s="64">
        <v>1</v>
      </c>
      <c r="K48" s="65"/>
      <c r="L48" s="65"/>
      <c r="M48" s="65"/>
      <c r="N48" s="65"/>
    </row>
    <row r="49" spans="1:14" s="66" customFormat="1" ht="18.95" customHeight="1">
      <c r="A49" s="67" cm="1">
        <f t="array" ref="A49:J49">IFERROR(IF(ISBLANK(INDEX(_xlfn._xlws.FILTER([1]加工記録２!$D$3:$M$100000, [1]加工記録２!$T$3:$T$100000=B5), 2)), "", INDEX(_xlfn._xlws.FILTER([1]加工記録２!$D$3:$M$100000, [1]加工記録２!$T$3:$T$100000=B5), 2)),"")</f>
        <v>45909</v>
      </c>
      <c r="B49" s="68" t="str">
        <v>25I05-02</v>
      </c>
      <c r="C49" s="68">
        <v>30</v>
      </c>
      <c r="D49" s="68">
        <v>443.79</v>
      </c>
      <c r="E49" s="69">
        <v>443.53</v>
      </c>
      <c r="F49" s="70" t="str">
        <v>25I05-02</v>
      </c>
      <c r="G49" s="71">
        <v>86</v>
      </c>
      <c r="H49" s="72">
        <v>22</v>
      </c>
      <c r="I49" s="63" t="str">
        <v/>
      </c>
      <c r="J49" s="64" t="str">
        <v/>
      </c>
      <c r="K49" s="65"/>
      <c r="L49" s="65"/>
      <c r="M49" s="65"/>
      <c r="N49" s="65"/>
    </row>
    <row r="50" spans="1:14" s="66" customFormat="1" ht="18.95" customHeight="1">
      <c r="A50" s="67" cm="1">
        <f t="array" ref="A50:J50">IFERROR(IF(ISBLANK(INDEX(_xlfn._xlws.FILTER([1]加工記録２!$D$3:$M$100000, [1]加工記録２!$T$3:$T$100000=B5), 3)), "", INDEX(_xlfn._xlws.FILTER([1]加工記録２!$D$3:$M$100000, [1]加工記録２!$T$3:$T$100000=B5), 3)),"")</f>
        <v>45909</v>
      </c>
      <c r="B50" s="68" t="str">
        <v>25I05-02</v>
      </c>
      <c r="C50" s="68">
        <v>30</v>
      </c>
      <c r="D50" s="68">
        <v>443.79</v>
      </c>
      <c r="E50" s="69">
        <v>443.52</v>
      </c>
      <c r="F50" s="70" t="str">
        <v/>
      </c>
      <c r="G50" s="71" t="str">
        <v/>
      </c>
      <c r="H50" s="72">
        <v>0</v>
      </c>
      <c r="I50" s="63" t="str">
        <v/>
      </c>
      <c r="J50" s="64" t="str">
        <v/>
      </c>
      <c r="K50" s="65"/>
      <c r="L50" s="65"/>
      <c r="M50" s="65"/>
      <c r="N50" s="65"/>
    </row>
    <row r="51" spans="1:14" s="66" customFormat="1" ht="18.95" customHeight="1">
      <c r="A51" s="67" t="str" cm="1">
        <f t="array" ref="A51:J51">IFERROR(IF(ISBLANK(INDEX(_xlfn._xlws.FILTER([1]加工記録２!$D$3:$M$100000, [1]加工記録２!$T$3:$T$100000=B5), 4)), "", INDEX(_xlfn._xlws.FILTER([1]加工記録２!$D$3:$M$100000, [1]加工記録２!$T$3:$T$100000=B5), 4)),"")</f>
        <v/>
      </c>
      <c r="B51" s="68" t="str">
        <v/>
      </c>
      <c r="C51" s="68" t="str">
        <v/>
      </c>
      <c r="D51" s="68" t="str">
        <v/>
      </c>
      <c r="E51" s="69" t="str">
        <v/>
      </c>
      <c r="F51" s="70" t="str">
        <v/>
      </c>
      <c r="G51" s="71" t="str">
        <v/>
      </c>
      <c r="H51" s="72">
        <v>0</v>
      </c>
      <c r="I51" s="63" t="str">
        <v/>
      </c>
      <c r="J51" s="64" t="str">
        <v/>
      </c>
      <c r="K51" s="65"/>
      <c r="L51" s="65"/>
      <c r="M51" s="65"/>
      <c r="N51" s="65"/>
    </row>
    <row r="52" spans="1:14" s="66" customFormat="1" ht="18.95" customHeight="1">
      <c r="A52" s="67" t="str" cm="1">
        <f t="array" ref="A52:J52">IFERROR(IF(ISBLANK(INDEX(_xlfn._xlws.FILTER([1]加工記録２!$D$3:$M$100000, [1]加工記録２!$T$3:$T$100000=B5), 5)), "", INDEX(_xlfn._xlws.FILTER([1]加工記録２!$D$3:$M$100000, [1]加工記録２!$T$3:$T$100000=B5), 5)),"")</f>
        <v/>
      </c>
      <c r="B52" s="68" t="str">
        <v/>
      </c>
      <c r="C52" s="68" t="str">
        <v/>
      </c>
      <c r="D52" s="68" t="str">
        <v/>
      </c>
      <c r="E52" s="69" t="str">
        <v/>
      </c>
      <c r="F52" s="70" t="str">
        <v/>
      </c>
      <c r="G52" s="71" t="str">
        <v/>
      </c>
      <c r="H52" s="72">
        <v>0</v>
      </c>
      <c r="I52" s="73" t="str">
        <v/>
      </c>
      <c r="J52" s="74" t="str">
        <v/>
      </c>
      <c r="K52" s="65"/>
      <c r="L52" s="65"/>
      <c r="M52" s="65"/>
      <c r="N52" s="65"/>
    </row>
    <row r="53" spans="1:14" s="66" customFormat="1" ht="18.95" customHeight="1">
      <c r="A53" s="67" t="str" cm="1">
        <f t="array" ref="A53:J53">IFERROR(IF(ISBLANK(INDEX(_xlfn._xlws.FILTER([1]加工記録２!$D$3:$M$100000, [1]加工記録２!$T$3:$T$100000=B5), 6)), "", INDEX(_xlfn._xlws.FILTER([1]加工記録２!$D$3:$M$100000, [1]加工記録２!$T$3:$T$100000=B5), 6)),"")</f>
        <v/>
      </c>
      <c r="B53" s="68" t="str">
        <v/>
      </c>
      <c r="C53" s="68" t="str">
        <v/>
      </c>
      <c r="D53" s="68" t="str">
        <v/>
      </c>
      <c r="E53" s="69" t="str">
        <v/>
      </c>
      <c r="F53" s="70" t="str">
        <v/>
      </c>
      <c r="G53" s="71" t="str">
        <v/>
      </c>
      <c r="H53" s="75">
        <v>0</v>
      </c>
      <c r="I53" s="76" t="str">
        <v>旧品加工</v>
      </c>
      <c r="J53" s="77">
        <v>13</v>
      </c>
      <c r="K53" s="65"/>
      <c r="L53" s="65"/>
      <c r="M53" s="65"/>
      <c r="N53" s="65"/>
    </row>
    <row r="54" spans="1:14" s="66" customFormat="1" ht="18.95" customHeight="1">
      <c r="A54" s="67" t="str" cm="1">
        <f t="array" ref="A54:J54">IFERROR(IF(ISBLANK(INDEX(_xlfn._xlws.FILTER([1]加工記録２!$D$3:$M$100000, [1]加工記録２!$T$3:$T$100000=B5), 7)), "", INDEX(_xlfn._xlws.FILTER([1]加工記録２!$D$3:$M$100000, [1]加工記録２!$T$3:$T$100000=B5), 7)),"")</f>
        <v/>
      </c>
      <c r="B54" s="68" t="str">
        <v/>
      </c>
      <c r="C54" s="68" t="str">
        <v/>
      </c>
      <c r="D54" s="68" t="str">
        <v/>
      </c>
      <c r="E54" s="69" t="str">
        <v/>
      </c>
      <c r="F54" s="70" t="str">
        <v/>
      </c>
      <c r="G54" s="71" t="str">
        <v/>
      </c>
      <c r="H54" s="75">
        <v>0</v>
      </c>
      <c r="I54" s="78" t="str">
        <v>持出端材</v>
      </c>
      <c r="J54" s="79" t="str">
        <v/>
      </c>
      <c r="K54" s="65"/>
      <c r="L54" s="65"/>
      <c r="M54" s="65"/>
      <c r="N54" s="65"/>
    </row>
    <row r="55" spans="1:14" s="66" customFormat="1" ht="18.95" customHeight="1" thickBot="1">
      <c r="A55" s="80" t="str" cm="1">
        <f t="array" ref="A55:J55">IFERROR(IF(ISBLANK(INDEX(_xlfn._xlws.FILTER([1]加工記録２!$D$3:$M$100000, [1]加工記録２!$T$3:$T$100000=B5), 8)), "", INDEX(_xlfn._xlws.FILTER([1]加工記録２!$D$3:$M$100000, [1]加工記録２!$T$3:$T$100000=B5), 8)),"")</f>
        <v/>
      </c>
      <c r="B55" s="81" t="str">
        <v/>
      </c>
      <c r="C55" s="81" t="str">
        <v/>
      </c>
      <c r="D55" s="81" t="str">
        <v/>
      </c>
      <c r="E55" s="82" t="str">
        <v/>
      </c>
      <c r="F55" s="83" t="str">
        <v/>
      </c>
      <c r="G55" s="84" t="str">
        <v/>
      </c>
      <c r="H55" s="85">
        <v>0</v>
      </c>
      <c r="I55" s="86" t="str">
        <v>α端材</v>
      </c>
      <c r="J55" s="87">
        <v>1</v>
      </c>
      <c r="K55" s="65"/>
      <c r="L55" s="65"/>
      <c r="M55" s="65"/>
      <c r="N55" s="65"/>
    </row>
    <row r="56" spans="1:14" ht="6" customHeight="1" thickBot="1"/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/>
    <row r="59" spans="1:14" ht="14.25" customHeight="1"/>
    <row r="60" spans="1:14" ht="13.5" customHeight="1"/>
    <row r="61" spans="1:14" ht="13.5" customHeight="1"/>
    <row r="67" ht="14.25" customHeight="1"/>
    <row r="68" ht="13.5" customHeight="1"/>
  </sheetData>
  <mergeCells count="107">
    <mergeCell ref="B41:B42"/>
    <mergeCell ref="A31:B31"/>
    <mergeCell ref="A38:D38"/>
    <mergeCell ref="E38:F38"/>
    <mergeCell ref="H38:I38"/>
    <mergeCell ref="A39:D40"/>
    <mergeCell ref="E39:F40"/>
    <mergeCell ref="G39:G40"/>
    <mergeCell ref="A41:A42"/>
    <mergeCell ref="A35:B35"/>
    <mergeCell ref="C36:E36"/>
    <mergeCell ref="C41:C42"/>
    <mergeCell ref="D41:D42"/>
    <mergeCell ref="E41:G42"/>
    <mergeCell ref="C37:E37"/>
    <mergeCell ref="A32:B32"/>
    <mergeCell ref="A43:A44"/>
    <mergeCell ref="B43:B44"/>
    <mergeCell ref="C43:C44"/>
    <mergeCell ref="D43:D44"/>
    <mergeCell ref="E43:G44"/>
    <mergeCell ref="A45:A46"/>
    <mergeCell ref="B45:B46"/>
    <mergeCell ref="C45:C46"/>
    <mergeCell ref="D45:D46"/>
    <mergeCell ref="E45:G46"/>
    <mergeCell ref="F37:J37"/>
    <mergeCell ref="G32:H32"/>
    <mergeCell ref="I18:J18"/>
    <mergeCell ref="G34:H34"/>
    <mergeCell ref="A33:B33"/>
    <mergeCell ref="A36:B36"/>
    <mergeCell ref="F20:H20"/>
    <mergeCell ref="I34:J34"/>
    <mergeCell ref="G36:H36"/>
    <mergeCell ref="I36:J36"/>
    <mergeCell ref="C26:D26"/>
    <mergeCell ref="A25:B25"/>
    <mergeCell ref="F31:J31"/>
    <mergeCell ref="C34:E34"/>
    <mergeCell ref="I32:J32"/>
    <mergeCell ref="C33:E33"/>
    <mergeCell ref="A37:B37"/>
    <mergeCell ref="G30:H30"/>
    <mergeCell ref="F35:J35"/>
    <mergeCell ref="C32:E32"/>
    <mergeCell ref="C35:E35"/>
    <mergeCell ref="A34:B34"/>
    <mergeCell ref="E5:E6"/>
    <mergeCell ref="F29:J29"/>
    <mergeCell ref="I12:J13"/>
    <mergeCell ref="F5:H6"/>
    <mergeCell ref="C16:D16"/>
    <mergeCell ref="I16:J16"/>
    <mergeCell ref="I25:J25"/>
    <mergeCell ref="J4:J5"/>
    <mergeCell ref="F33:J33"/>
    <mergeCell ref="F3:H4"/>
    <mergeCell ref="C3:C4"/>
    <mergeCell ref="G25:H25"/>
    <mergeCell ref="E3:E4"/>
    <mergeCell ref="F18:H18"/>
    <mergeCell ref="C31:E31"/>
    <mergeCell ref="F7:G7"/>
    <mergeCell ref="I28:J28"/>
    <mergeCell ref="I30:J30"/>
    <mergeCell ref="A30:B30"/>
    <mergeCell ref="I23:J23"/>
    <mergeCell ref="C30:E30"/>
    <mergeCell ref="C23:D23"/>
    <mergeCell ref="A29:B29"/>
    <mergeCell ref="F23:H23"/>
    <mergeCell ref="A5:A6"/>
    <mergeCell ref="C22:D22"/>
    <mergeCell ref="F26:J26"/>
    <mergeCell ref="I21:J21"/>
    <mergeCell ref="C28:E28"/>
    <mergeCell ref="C21:D21"/>
    <mergeCell ref="C29:E29"/>
    <mergeCell ref="C20:D20"/>
    <mergeCell ref="H10:J11"/>
    <mergeCell ref="A7:A8"/>
    <mergeCell ref="G10:G11"/>
    <mergeCell ref="F22:H22"/>
    <mergeCell ref="H12:H13"/>
    <mergeCell ref="F9:G9"/>
    <mergeCell ref="A15:J15"/>
    <mergeCell ref="I4:I5"/>
    <mergeCell ref="A12:C13"/>
    <mergeCell ref="B5:B6"/>
    <mergeCell ref="F19:H19"/>
    <mergeCell ref="A3:A4"/>
    <mergeCell ref="I19:J19"/>
    <mergeCell ref="B7:B8"/>
    <mergeCell ref="B1:D2"/>
    <mergeCell ref="I20:J20"/>
    <mergeCell ref="G12:G13"/>
    <mergeCell ref="C19:D19"/>
    <mergeCell ref="A28:B28"/>
    <mergeCell ref="F21:H21"/>
    <mergeCell ref="C25:E25"/>
    <mergeCell ref="G28:H28"/>
    <mergeCell ref="I22:J22"/>
    <mergeCell ref="B3:B4"/>
    <mergeCell ref="D3:D4"/>
    <mergeCell ref="C18:D18"/>
    <mergeCell ref="F16:H16"/>
  </mergeCells>
  <phoneticPr fontId="2"/>
  <conditionalFormatting sqref="D50:D55">
    <cfRule type="cellIs" dxfId="2" priority="3" operator="equal">
      <formula>$D49</formula>
    </cfRule>
  </conditionalFormatting>
  <conditionalFormatting sqref="I39">
    <cfRule type="cellIs" dxfId="1" priority="1" operator="lessThan">
      <formula>45658</formula>
    </cfRule>
  </conditionalFormatting>
  <conditionalFormatting sqref="J46">
    <cfRule type="cellIs" dxfId="0" priority="2" operator="equal">
      <formula>0</formula>
    </cfRule>
  </conditionalFormatting>
  <pageMargins left="0" right="0" top="0" bottom="0" header="0.51181102362204722" footer="0.51181102362204722"/>
  <pageSetup paperSize="9" scale="75" orientation="portrait" r:id="rId1"/>
  <headerFooter>
    <oddFooter>&amp;R&amp;P/&amp;N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k3358</cp:lastModifiedBy>
  <cp:lastPrinted>2025-08-25T00:26:32Z</cp:lastPrinted>
  <dcterms:created xsi:type="dcterms:W3CDTF">2024-07-11T02:08:33Z</dcterms:created>
  <dcterms:modified xsi:type="dcterms:W3CDTF">2025-09-09T07:58:26Z</dcterms:modified>
</cp:coreProperties>
</file>